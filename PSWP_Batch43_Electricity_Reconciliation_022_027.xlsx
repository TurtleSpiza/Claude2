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tements" sheetId="1" state="visible" r:id="rId3"/>
    <sheet name="Recon" sheetId="2" state="visible" r:id="rId4"/>
    <sheet name="Sub_accounts" sheetId="3" state="visible" r:id="rId5"/>
    <sheet name="Metho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<sst xmlns="http://schemas.openxmlformats.org/spreadsheetml/2006/main" count="12263" uniqueCount="3211">
  <si>
    <t xml:space="preserve">Statement</t>
  </si>
  <si>
    <t xml:space="preserve">Issue date</t>
  </si>
  <si>
    <t xml:space="preserve">Sub-accounts on statement</t>
  </si>
  <si>
    <t xml:space="preserve">Current charges incl GST</t>
  </si>
  <si>
    <t xml:space="preserve">GST</t>
  </si>
  <si>
    <t xml:space="preserve">Ex GST</t>
  </si>
  <si>
    <t xml:space="preserve">Sub-accounts on Parks register (tied)</t>
  </si>
  <si>
    <t xml:space="preserve">Parks register $ ex GST</t>
  </si>
  <si>
    <t xml:space="preserve">md5</t>
  </si>
  <si>
    <t xml:space="preserve">File</t>
  </si>
  <si>
    <t xml:space="preserve">A-FE35E476-022</t>
  </si>
  <si>
    <t xml:space="preserve">01 Sep 25</t>
  </si>
  <si>
    <t xml:space="preserve">759b84948312790ec53bbf6f08bebaea</t>
  </si>
  <si>
    <t xml:space="preserve">A-FE35E476-022-summary.pdf</t>
  </si>
  <si>
    <t xml:space="preserve">A-FE35E476-023</t>
  </si>
  <si>
    <t xml:space="preserve">01 Oct 25</t>
  </si>
  <si>
    <t xml:space="preserve">3b5bdc6e4bff5266d0e964c4783d3361</t>
  </si>
  <si>
    <t xml:space="preserve">A-FE35E476-023-summary.pdf</t>
  </si>
  <si>
    <t xml:space="preserve">A-FE35E476-024</t>
  </si>
  <si>
    <t xml:space="preserve">11 Nov 25</t>
  </si>
  <si>
    <t xml:space="preserve">3c9ce52456858881b99855921d87c46d</t>
  </si>
  <si>
    <t xml:space="preserve">A-FE35E476-024-summary.pdf</t>
  </si>
  <si>
    <t xml:space="preserve">A-FE35E476-025</t>
  </si>
  <si>
    <t xml:space="preserve">02 Dec 25</t>
  </si>
  <si>
    <t xml:space="preserve">3f7c3ed7523f8f7b5a35dac062015aef</t>
  </si>
  <si>
    <t xml:space="preserve">A-FE35E476-025-summary.pdf</t>
  </si>
  <si>
    <t xml:space="preserve">A-FE35E476-026</t>
  </si>
  <si>
    <t xml:space="preserve">02 Jan 26</t>
  </si>
  <si>
    <t xml:space="preserve">e3e381e3066908c6b40f909bd51c3b25</t>
  </si>
  <si>
    <t xml:space="preserve">A-FE35E476-026-summary (1).pdf</t>
  </si>
  <si>
    <t xml:space="preserve">A-FE35E476-027</t>
  </si>
  <si>
    <t xml:space="preserve">04 Feb 26</t>
  </si>
  <si>
    <t xml:space="preserve">d16e01daa6cb0b6d6e4b952907def2ec</t>
  </si>
  <si>
    <t xml:space="preserve">A-FE35E476-027-summary.pdf</t>
  </si>
  <si>
    <t xml:space="preserve">TOTAL</t>
  </si>
  <si>
    <t xml:space="preserve">NMI (register col AO)</t>
  </si>
  <si>
    <t xml:space="preserve">Statement sub-account</t>
  </si>
  <si>
    <t xml:space="preserve">Statement invoice number</t>
  </si>
  <si>
    <t xml:space="preserve">Supply address (statement, full)</t>
  </si>
  <si>
    <t xml:space="preserve">Supply point (register, 40-char label)</t>
  </si>
  <si>
    <t xml:space="preserve">Statement charges incl GST</t>
  </si>
  <si>
    <t xml:space="preserve">Statement GST</t>
  </si>
  <si>
    <t xml:space="preserve">Statement ex GST</t>
  </si>
  <si>
    <t xml:space="preserve">Register $ ex GST</t>
  </si>
  <si>
    <t xml:space="preserve">Register lines</t>
  </si>
  <si>
    <t xml:space="preserve">PK charged</t>
  </si>
  <si>
    <t xml:space="preserve">Natural account</t>
  </si>
  <si>
    <t xml:space="preserve">Register site (DY)</t>
  </si>
  <si>
    <t xml:space="preserve">Register site basis (DZ)</t>
  </si>
  <si>
    <t xml:space="preserve">Register rows</t>
  </si>
  <si>
    <t xml:space="preserve">Tie (register ex = statement ex, +/- 2c)</t>
  </si>
  <si>
    <t xml:space="preserve">QB065632365</t>
  </si>
  <si>
    <t xml:space="preserve">A-850545D8</t>
  </si>
  <si>
    <t xml:space="preserve">117033488</t>
  </si>
  <si>
    <t xml:space="preserve">Amenities Block, Lot 3 Boundary St, Beenleigh, QLD 4207</t>
  </si>
  <si>
    <t xml:space="preserve">Amenities Block Lot 3 Boundary St Beenle</t>
  </si>
  <si>
    <t xml:space="preserve">PK000022</t>
  </si>
  <si>
    <t xml:space="preserve">73312</t>
  </si>
  <si>
    <t xml:space="preserve">Supply-point address only (address route pending)</t>
  </si>
  <si>
    <t xml:space="preserve">2119,4942,9650,11078</t>
  </si>
  <si>
    <t xml:space="preserve">31200945048</t>
  </si>
  <si>
    <t xml:space="preserve">A-47BA027B</t>
  </si>
  <si>
    <t xml:space="preserve">118490404</t>
  </si>
  <si>
    <t xml:space="preserve">ST# 6 - 12 6-12 HARLEY ST SHAILER PARK QLD 4128</t>
  </si>
  <si>
    <t xml:space="preserve">ST# 6 - 12 6-12 HARLEY ST SHAILER PARK Q</t>
  </si>
  <si>
    <t xml:space="preserve">Harley St Shailer Park</t>
  </si>
  <si>
    <t xml:space="preserve">Electricity supply point</t>
  </si>
  <si>
    <t xml:space="preserve">3012,8234,9435,10397,13169,14434</t>
  </si>
  <si>
    <t xml:space="preserve">QB109907633</t>
  </si>
  <si>
    <t xml:space="preserve">A-C6909E2E</t>
  </si>
  <si>
    <t xml:space="preserve">117034009</t>
  </si>
  <si>
    <t xml:space="preserve">WEST LOGAN NETBALL COURTS 155 MIDDLE RD HILLCREST QLD 4118</t>
  </si>
  <si>
    <t xml:space="preserve">WEST LOGAN NETBALL COURTS 155 MIDDLE RD</t>
  </si>
  <si>
    <t xml:space="preserve">West Logan Netball Courts</t>
  </si>
  <si>
    <t xml:space="preserve">Non-park Council facility (named site, not a park)</t>
  </si>
  <si>
    <t xml:space="preserve">3037,4266,8590,9179,9185,9671,13354,13409</t>
  </si>
  <si>
    <t xml:space="preserve">117033675</t>
  </si>
  <si>
    <t xml:space="preserve">3158,7971,9228,12672</t>
  </si>
  <si>
    <t xml:space="preserve">118103324</t>
  </si>
  <si>
    <t xml:space="preserve">3207,3411,8641,9174,9227,9736,13353,13713</t>
  </si>
  <si>
    <t xml:space="preserve">QB070469793</t>
  </si>
  <si>
    <t xml:space="preserve">A-0400B578</t>
  </si>
  <si>
    <t xml:space="preserve">119881634</t>
  </si>
  <si>
    <t xml:space="preserve">Historical Society Amenities, 223 Main St, Beenleigh, QLD 4207</t>
  </si>
  <si>
    <t xml:space="preserve">Historical Society Amenities 223 Main St</t>
  </si>
  <si>
    <t xml:space="preserve">Historical Society Amenities (223 Main St)</t>
  </si>
  <si>
    <t xml:space="preserve">3718,7848,9474,12222</t>
  </si>
  <si>
    <t xml:space="preserve">QB094874928</t>
  </si>
  <si>
    <t xml:space="preserve">A-4D97FE67</t>
  </si>
  <si>
    <t xml:space="preserve">111121152</t>
  </si>
  <si>
    <t xml:space="preserve">Little Athelic Club, 293 Logan St, Eagleby, QLD 4207</t>
  </si>
  <si>
    <t xml:space="preserve">Little Athelic Club 293 Logan St Eagleby</t>
  </si>
  <si>
    <t xml:space="preserve">Olivers Sports Complex</t>
  </si>
  <si>
    <t xml:space="preserve">4343,7641,9706,12233</t>
  </si>
  <si>
    <t xml:space="preserve">111113599</t>
  </si>
  <si>
    <t xml:space="preserve">4360,8239,9530,12785</t>
  </si>
  <si>
    <t xml:space="preserve">119881604</t>
  </si>
  <si>
    <t xml:space="preserve">5313,7933,9576,11164</t>
  </si>
  <si>
    <t xml:space="preserve">31200942282</t>
  </si>
  <si>
    <t xml:space="preserve">A-130C10F2</t>
  </si>
  <si>
    <t xml:space="preserve">111119125</t>
  </si>
  <si>
    <t xml:space="preserve">Bbq And Lghting, 140 Tygum Rd, Waterford West, QLD 4133</t>
  </si>
  <si>
    <t xml:space="preserve">Bbq And Lghting 140 Tygum Rd Waterford W</t>
  </si>
  <si>
    <t xml:space="preserve">Tygum Park</t>
  </si>
  <si>
    <t xml:space="preserve">Electricity supply point (address = Council parcel record, number and street exact)</t>
  </si>
  <si>
    <t xml:space="preserve">6064,9348,10472,13318</t>
  </si>
  <si>
    <t xml:space="preserve">119881723</t>
  </si>
  <si>
    <t xml:space="preserve">6705,9375,9655,13093</t>
  </si>
  <si>
    <t xml:space="preserve">31156054003</t>
  </si>
  <si>
    <t xml:space="preserve">A-485CD648</t>
  </si>
  <si>
    <t xml:space="preserve">117033936</t>
  </si>
  <si>
    <t xml:space="preserve">Logan River Park, Lot 2 Peacock Ave, Beenleigh, QLD 4207</t>
  </si>
  <si>
    <t xml:space="preserve">Logan River Park Lot 2 Peacock Ave Beenl</t>
  </si>
  <si>
    <t xml:space="preserve">Logan River Park</t>
  </si>
  <si>
    <t xml:space="preserve">7025,8615,9649,11066</t>
  </si>
  <si>
    <t xml:space="preserve">31208935255</t>
  </si>
  <si>
    <t xml:space="preserve">A-D60D1A58</t>
  </si>
  <si>
    <t xml:space="preserve">113843892</t>
  </si>
  <si>
    <t xml:space="preserve">Logan Health Park, Lot 383 Armstrong Rd, Meadowbrook, QLD 4131</t>
  </si>
  <si>
    <t xml:space="preserve">Logan Health Park Lot 383 Armstrong Rd M</t>
  </si>
  <si>
    <t xml:space="preserve">Logan Health Park</t>
  </si>
  <si>
    <t xml:space="preserve">7122,10976</t>
  </si>
  <si>
    <t xml:space="preserve">QB094096963</t>
  </si>
  <si>
    <t xml:space="preserve">A-24594106</t>
  </si>
  <si>
    <t xml:space="preserve">117033379</t>
  </si>
  <si>
    <t xml:space="preserve">ROTARY PARK 1-27 1-27 JOHANNA ST JIMBOOMBA QLD 4280</t>
  </si>
  <si>
    <t xml:space="preserve">ROTARY PARK 1-27 1-27 JOHANNA ST JIMBOOM</t>
  </si>
  <si>
    <t xml:space="preserve">Rotary Park</t>
  </si>
  <si>
    <t xml:space="preserve">7123,9229,9990,10665,11190,13171,13753,14384</t>
  </si>
  <si>
    <t xml:space="preserve">31162104503</t>
  </si>
  <si>
    <t xml:space="preserve">A-2BCFC960</t>
  </si>
  <si>
    <t xml:space="preserve">117033148</t>
  </si>
  <si>
    <t xml:space="preserve">LOGAN AND DISTRICT SERVICES CL 5 CROYDON RD LOGAN CENTRAL QLD 4114</t>
  </si>
  <si>
    <t xml:space="preserve">LOGAN AND DISTRICT SERVICES CL 5 CROYDON</t>
  </si>
  <si>
    <t xml:space="preserve">Logan and District Services Club</t>
  </si>
  <si>
    <t xml:space="preserve">7128,8499,9702,10702</t>
  </si>
  <si>
    <t xml:space="preserve">117958640</t>
  </si>
  <si>
    <t xml:space="preserve">7421,10899</t>
  </si>
  <si>
    <t xml:space="preserve">111113412</t>
  </si>
  <si>
    <t xml:space="preserve">7468,10955</t>
  </si>
  <si>
    <t xml:space="preserve">120072801</t>
  </si>
  <si>
    <t xml:space="preserve">7614,11110</t>
  </si>
  <si>
    <t xml:space="preserve">QB132671321</t>
  </si>
  <si>
    <t xml:space="preserve">A-0F5BA09A</t>
  </si>
  <si>
    <t xml:space="preserve">119234703</t>
  </si>
  <si>
    <t xml:space="preserve">Jamie Nicolson Ave, Edens Landing, QLD 4207</t>
  </si>
  <si>
    <t xml:space="preserve">Jamie Nicolson Ave Edens Landing QLD 420</t>
  </si>
  <si>
    <t xml:space="preserve">Jamie Nicolson Park</t>
  </si>
  <si>
    <t xml:space="preserve">Electricity supply point (address = Council parcel record, street unique) [USER CHECK]</t>
  </si>
  <si>
    <t xml:space="preserve">7686,8508,9853,10705,13237,14442</t>
  </si>
  <si>
    <t xml:space="preserve">QB125886101</t>
  </si>
  <si>
    <t xml:space="preserve">A-A058A8EF</t>
  </si>
  <si>
    <t xml:space="preserve">119234843</t>
  </si>
  <si>
    <t xml:space="preserve">Logan Village Green, 18 Wharf St, Logan Village, QLD 4207</t>
  </si>
  <si>
    <t xml:space="preserve">Logan Village Green 18 Wharf St Logan Vi</t>
  </si>
  <si>
    <t xml:space="preserve">Logan Village Green</t>
  </si>
  <si>
    <t xml:space="preserve">7702,8306,9226,9831,9870,10438,13868,14277</t>
  </si>
  <si>
    <t xml:space="preserve">111125075</t>
  </si>
  <si>
    <t xml:space="preserve">7744,8397,8543,9627,10009,11144,13346,13828</t>
  </si>
  <si>
    <t xml:space="preserve">31200591613</t>
  </si>
  <si>
    <t xml:space="preserve">A-6D1E88FB</t>
  </si>
  <si>
    <t xml:space="preserve">117033694</t>
  </si>
  <si>
    <t xml:space="preserve">Woodlands District Park, 1 Grand Tce, Waterford, QLD 4133</t>
  </si>
  <si>
    <t xml:space="preserve">Woodlands District Park 1 Grand Tce Wate</t>
  </si>
  <si>
    <t xml:space="preserve">Woodlands District Park</t>
  </si>
  <si>
    <t xml:space="preserve">7783,9165,11173,13092</t>
  </si>
  <si>
    <t xml:space="preserve">QB140732009</t>
  </si>
  <si>
    <t xml:space="preserve">A-0556B40F</t>
  </si>
  <si>
    <t xml:space="preserve">117033167</t>
  </si>
  <si>
    <t xml:space="preserve">SOUTH ST JIMBOOMBA QLD 4280</t>
  </si>
  <si>
    <t xml:space="preserve">Jimboomba Park</t>
  </si>
  <si>
    <t xml:space="preserve">7919,8629,15072,15236</t>
  </si>
  <si>
    <t xml:space="preserve">31200093948</t>
  </si>
  <si>
    <t xml:space="preserve">A-EBA2BEF7</t>
  </si>
  <si>
    <t xml:space="preserve">114969433</t>
  </si>
  <si>
    <t xml:space="preserve">PLAYGROUND AREA 370 BROWNS PLAINS RD BERRINBA QLD 4117</t>
  </si>
  <si>
    <t xml:space="preserve">PLAYGROUND AREA 370 BROWNS PLAINS RD BER</t>
  </si>
  <si>
    <t xml:space="preserve">7950,8604,15083,15232</t>
  </si>
  <si>
    <t xml:space="preserve">QB128995510</t>
  </si>
  <si>
    <t xml:space="preserve">A-732642B1</t>
  </si>
  <si>
    <t xml:space="preserve">113523190</t>
  </si>
  <si>
    <t xml:space="preserve">19 South St, Jimboomba, QLD 4280</t>
  </si>
  <si>
    <t xml:space="preserve">19 South St Jimboomba QLD 4280</t>
  </si>
  <si>
    <t xml:space="preserve">7985,8548,11327</t>
  </si>
  <si>
    <t xml:space="preserve">31207851454</t>
  </si>
  <si>
    <t xml:space="preserve">A-DC977EF8</t>
  </si>
  <si>
    <t xml:space="preserve">115054891</t>
  </si>
  <si>
    <t xml:space="preserve">Bbq, 49 Kenny Rd, Chambers Flat, QLD 4133</t>
  </si>
  <si>
    <t xml:space="preserve">Bbq 49 Kenny Rd Chambers Flat QLD 4133</t>
  </si>
  <si>
    <t xml:space="preserve">Chambers Flat &amp; Logan Reserve Community Centre</t>
  </si>
  <si>
    <t xml:space="preserve">8014,8527,12129,12263,13466,13559,15845</t>
  </si>
  <si>
    <t xml:space="preserve">117815913</t>
  </si>
  <si>
    <t xml:space="preserve">8323,9455,11326</t>
  </si>
  <si>
    <t xml:space="preserve">118211150</t>
  </si>
  <si>
    <t xml:space="preserve">8352,9347,12343,13256</t>
  </si>
  <si>
    <t xml:space="preserve">122192255</t>
  </si>
  <si>
    <t xml:space="preserve">8364,9572,12669,13508</t>
  </si>
  <si>
    <t xml:space="preserve">115911304</t>
  </si>
  <si>
    <t xml:space="preserve">8395,9573,12752,13511</t>
  </si>
  <si>
    <t xml:space="preserve">117401483</t>
  </si>
  <si>
    <t xml:space="preserve">8403,8542</t>
  </si>
  <si>
    <t xml:space="preserve">118216567</t>
  </si>
  <si>
    <t xml:space="preserve">8495,9299,11254,12335,12744,13257,14447,14598</t>
  </si>
  <si>
    <t xml:space="preserve">31202545607</t>
  </si>
  <si>
    <t xml:space="preserve">A-A74420B6</t>
  </si>
  <si>
    <t xml:space="preserve">117034062</t>
  </si>
  <si>
    <t xml:space="preserve">BBQ AREA 380 PEPPERTREE DR JIMBOOMBA QLD 4280</t>
  </si>
  <si>
    <t xml:space="preserve">BBQ AREA 380 PEPPERTREE DR JIMBOOMBA QLD</t>
  </si>
  <si>
    <t xml:space="preserve">8538,9166,13107,13262</t>
  </si>
  <si>
    <t xml:space="preserve">117462988</t>
  </si>
  <si>
    <t xml:space="preserve">8564,8603,13983,14003</t>
  </si>
  <si>
    <t xml:space="preserve">31168811175</t>
  </si>
  <si>
    <t xml:space="preserve">A-BE64DEB0</t>
  </si>
  <si>
    <t xml:space="preserve">119881754</t>
  </si>
  <si>
    <t xml:space="preserve">8 Ponderosa St, Hillcrest, QLD 4118</t>
  </si>
  <si>
    <t xml:space="preserve">8 Ponderosa St Hillcrest QLD 4118</t>
  </si>
  <si>
    <t xml:space="preserve">Ponderosa Park</t>
  </si>
  <si>
    <t xml:space="preserve">User-adjudicated address decision (web-verified, Site_Crosswalk)</t>
  </si>
  <si>
    <t xml:space="preserve">8576,14973,15613,15936</t>
  </si>
  <si>
    <t xml:space="preserve">31168811258</t>
  </si>
  <si>
    <t xml:space="preserve">A-4AEDB480</t>
  </si>
  <si>
    <t xml:space="preserve">119881750</t>
  </si>
  <si>
    <t xml:space="preserve">36 SWEETGUM ST HILLCREST QLD 4118</t>
  </si>
  <si>
    <t xml:space="preserve">Sweetgum Park</t>
  </si>
  <si>
    <t xml:space="preserve">8577,14226,14974,15843</t>
  </si>
  <si>
    <t xml:space="preserve">31203324446</t>
  </si>
  <si>
    <t xml:space="preserve">A-868C5D6D</t>
  </si>
  <si>
    <t xml:space="preserve">117228822</t>
  </si>
  <si>
    <t xml:space="preserve">Lot 940, HIGHLANDS ST YARRABILBA QLD 4207</t>
  </si>
  <si>
    <t xml:space="preserve">Lot 940 HIGHLANDS ST YARRABILBA QLD 4207</t>
  </si>
  <si>
    <t xml:space="preserve">Daybreak Park</t>
  </si>
  <si>
    <t xml:space="preserve">8578,10802</t>
  </si>
  <si>
    <t xml:space="preserve">QB133433272</t>
  </si>
  <si>
    <t xml:space="preserve">A-BFE11368</t>
  </si>
  <si>
    <t xml:space="preserve">117410166</t>
  </si>
  <si>
    <t xml:space="preserve">LAVELLE PARK 17 ARGYLE RD GREENBANK QLD 4124</t>
  </si>
  <si>
    <t xml:space="preserve">LAVELLE PARK 17 ARGYLE RD GREENBANK QLD</t>
  </si>
  <si>
    <t xml:space="preserve">Lavelle Park</t>
  </si>
  <si>
    <t xml:space="preserve">8587,10512,14904</t>
  </si>
  <si>
    <t xml:space="preserve">117033583</t>
  </si>
  <si>
    <t xml:space="preserve">8588,11689,15310,15698</t>
  </si>
  <si>
    <t xml:space="preserve">QB087326557</t>
  </si>
  <si>
    <t xml:space="preserve">A-50F8DBE6</t>
  </si>
  <si>
    <t xml:space="preserve">119235885</t>
  </si>
  <si>
    <t xml:space="preserve">SILVERTOP PARK 8 SILVERTOP ST HILLCREST QLD 4118</t>
  </si>
  <si>
    <t xml:space="preserve">SILVERTOP PARK 8 SILVERTOP ST HILLCREST</t>
  </si>
  <si>
    <t xml:space="preserve">Silvertop Park</t>
  </si>
  <si>
    <t xml:space="preserve">8602,14438,15230,15231,15609</t>
  </si>
  <si>
    <t xml:space="preserve">31200966670</t>
  </si>
  <si>
    <t xml:space="preserve">A-8B2A5864</t>
  </si>
  <si>
    <t xml:space="preserve">114969405</t>
  </si>
  <si>
    <t xml:space="preserve">PARK BBQS Lot 902, BRADMAN ST NEW BEITH QLD 4124</t>
  </si>
  <si>
    <t xml:space="preserve">PARK BBQS Lot 902 BRADMAN ST NEW BEITH Q</t>
  </si>
  <si>
    <t xml:space="preserve">Teviot Downs Park</t>
  </si>
  <si>
    <t xml:space="preserve">8605,10033,14308,14674</t>
  </si>
  <si>
    <t xml:space="preserve">117033419</t>
  </si>
  <si>
    <t xml:space="preserve">8606,15772</t>
  </si>
  <si>
    <t xml:space="preserve">117033195</t>
  </si>
  <si>
    <t xml:space="preserve">8628,10484,15060,15235,15582,15930</t>
  </si>
  <si>
    <t xml:space="preserve">111124145</t>
  </si>
  <si>
    <t xml:space="preserve">8630,14557,14670,15780</t>
  </si>
  <si>
    <t xml:space="preserve">111113265</t>
  </si>
  <si>
    <t xml:space="preserve">8631,14414,14883,15796</t>
  </si>
  <si>
    <t xml:space="preserve">31203854055</t>
  </si>
  <si>
    <t xml:space="preserve">A-F46EEB08</t>
  </si>
  <si>
    <t xml:space="preserve">111117058</t>
  </si>
  <si>
    <t xml:space="preserve">Rachael Lee Art Work, Lot 9010 Garragull Dr, Yarrabilba, QLD 4207</t>
  </si>
  <si>
    <t xml:space="preserve">Rachael Lee Art Work Lot 9010 Garragull</t>
  </si>
  <si>
    <t xml:space="preserve">8632,12746,14415,15137</t>
  </si>
  <si>
    <t xml:space="preserve">QB120654635</t>
  </si>
  <si>
    <t xml:space="preserve">A-640911F2</t>
  </si>
  <si>
    <t xml:space="preserve">117033163</t>
  </si>
  <si>
    <t xml:space="preserve">149 Greenhill Rd, Munruben, QLD 4125</t>
  </si>
  <si>
    <t xml:space="preserve">149 Greenhill Rd Munruben QLD 4125</t>
  </si>
  <si>
    <t xml:space="preserve">Wearing Park</t>
  </si>
  <si>
    <t xml:space="preserve">8654,14189,15522,15920</t>
  </si>
  <si>
    <t xml:space="preserve">31203019750</t>
  </si>
  <si>
    <t xml:space="preserve">A-D14210D2</t>
  </si>
  <si>
    <t xml:space="preserve">111112812</t>
  </si>
  <si>
    <t xml:space="preserve">TOILET BLOCK 71 CLARKS RD LOGANHOLME QLD 4129</t>
  </si>
  <si>
    <t xml:space="preserve">TOILET BLOCK 71 CLARKS RD LOGANHOLME QLD</t>
  </si>
  <si>
    <t xml:space="preserve">Tudor Park</t>
  </si>
  <si>
    <t xml:space="preserve">8655,11903,14871,14950</t>
  </si>
  <si>
    <t xml:space="preserve">119881705</t>
  </si>
  <si>
    <t xml:space="preserve">8689,12148,14729,15460</t>
  </si>
  <si>
    <t xml:space="preserve">117633243</t>
  </si>
  <si>
    <t xml:space="preserve">8740,10185,14435,14818</t>
  </si>
  <si>
    <t xml:space="preserve">117650586</t>
  </si>
  <si>
    <t xml:space="preserve">9144,14002,15005,15794</t>
  </si>
  <si>
    <t xml:space="preserve">119881696</t>
  </si>
  <si>
    <t xml:space="preserve">9154,14190,14341,14975,15611,15847</t>
  </si>
  <si>
    <t xml:space="preserve">QB083337005</t>
  </si>
  <si>
    <t xml:space="preserve">A-B34FB29A</t>
  </si>
  <si>
    <t xml:space="preserve">119881615</t>
  </si>
  <si>
    <t xml:space="preserve">Council Pump, 1 Carl Heck Bvd, Windaroo, QLD 4207</t>
  </si>
  <si>
    <t xml:space="preserve">Council Pump 1 Carl Heck Bvd Windaroo QL</t>
  </si>
  <si>
    <t xml:space="preserve">9155,10456,13512,14340</t>
  </si>
  <si>
    <t xml:space="preserve">31174234730</t>
  </si>
  <si>
    <t xml:space="preserve">A-015867B6</t>
  </si>
  <si>
    <t xml:space="preserve">117033778</t>
  </si>
  <si>
    <t xml:space="preserve">BBQ SHELTER 1-61 1-61 SANCTUARY PKWY WATERFORD QLD 4133</t>
  </si>
  <si>
    <t xml:space="preserve">BBQ SHELTER 1-61 1-61 SANCTUARY PKWY WAT</t>
  </si>
  <si>
    <t xml:space="preserve">Sanctuary Parklands</t>
  </si>
  <si>
    <t xml:space="preserve">9163,13260,14605,15494</t>
  </si>
  <si>
    <t xml:space="preserve">31174237164</t>
  </si>
  <si>
    <t xml:space="preserve">A-B532F5E3</t>
  </si>
  <si>
    <t xml:space="preserve">117033769</t>
  </si>
  <si>
    <t xml:space="preserve">Bbq Shelter, 1 Sanctuary Pkwy, Waterford, QLD 4133</t>
  </si>
  <si>
    <t xml:space="preserve">Bbq Shelter 1 Sanctuary Pkwy Waterford Q</t>
  </si>
  <si>
    <t xml:space="preserve">9164,13261,15536,15895</t>
  </si>
  <si>
    <t xml:space="preserve">QB095059464</t>
  </si>
  <si>
    <t xml:space="preserve">A-620D17D4</t>
  </si>
  <si>
    <t xml:space="preserve">117033371</t>
  </si>
  <si>
    <t xml:space="preserve">BBQ 150 FEDERATION DR BETHANIA QLD 4205</t>
  </si>
  <si>
    <t xml:space="preserve">9167,13172</t>
  </si>
  <si>
    <t xml:space="preserve">QB123775972</t>
  </si>
  <si>
    <t xml:space="preserve">A-F2A13BFC</t>
  </si>
  <si>
    <t xml:space="preserve">117033216</t>
  </si>
  <si>
    <t xml:space="preserve">123 FEDERATION DR BETHANIA QLD 4205</t>
  </si>
  <si>
    <t xml:space="preserve">9168,13174</t>
  </si>
  <si>
    <t xml:space="preserve">118175840</t>
  </si>
  <si>
    <t xml:space="preserve">9171,9251,13284,13351</t>
  </si>
  <si>
    <t xml:space="preserve">QB004872873</t>
  </si>
  <si>
    <t xml:space="preserve">A-CC718A8C</t>
  </si>
  <si>
    <t xml:space="preserve">117033520</t>
  </si>
  <si>
    <t xml:space="preserve">PIONEER PARK MT LINDESAY HWY WOODHILL QLD 4285</t>
  </si>
  <si>
    <t xml:space="preserve">PIONEER PARK MT LINDESAY HWY WOODHILL QL</t>
  </si>
  <si>
    <t xml:space="preserve">Pioneer Park</t>
  </si>
  <si>
    <t xml:space="preserve">9177,13135,13263,14843</t>
  </si>
  <si>
    <t xml:space="preserve">QB095851175</t>
  </si>
  <si>
    <t xml:space="preserve">A-448D77FC</t>
  </si>
  <si>
    <t xml:space="preserve">117033362</t>
  </si>
  <si>
    <t xml:space="preserve">88 Station Rd, Bethania, QLD 4205</t>
  </si>
  <si>
    <t xml:space="preserve">88 Station Rd Bethania QLD 4205</t>
  </si>
  <si>
    <t xml:space="preserve">9178,13173,13475,14947</t>
  </si>
  <si>
    <t xml:space="preserve">31168811416</t>
  </si>
  <si>
    <t xml:space="preserve">A-13C4F524</t>
  </si>
  <si>
    <t xml:space="preserve">119881745</t>
  </si>
  <si>
    <t xml:space="preserve">12 VILLAGE DR DAISY HILL QLD 4127</t>
  </si>
  <si>
    <t xml:space="preserve">Village Park</t>
  </si>
  <si>
    <t xml:space="preserve">9180,13356</t>
  </si>
  <si>
    <t xml:space="preserve">111123178</t>
  </si>
  <si>
    <t xml:space="preserve">9210,10439,14225,14526</t>
  </si>
  <si>
    <t xml:space="preserve">115811380</t>
  </si>
  <si>
    <t xml:space="preserve">9213,9989,10530,11576,12804,13904</t>
  </si>
  <si>
    <t xml:space="preserve">111119521</t>
  </si>
  <si>
    <t xml:space="preserve">9230,13730</t>
  </si>
  <si>
    <t xml:space="preserve">118133175</t>
  </si>
  <si>
    <t xml:space="preserve">9249,13254,14793,15537</t>
  </si>
  <si>
    <t xml:space="preserve">118132026</t>
  </si>
  <si>
    <t xml:space="preserve">9250,13255,13297,14881</t>
  </si>
  <si>
    <t xml:space="preserve">118177050</t>
  </si>
  <si>
    <t xml:space="preserve">9252,13208,13352,14888</t>
  </si>
  <si>
    <t xml:space="preserve">31200318016</t>
  </si>
  <si>
    <t xml:space="preserve">A-75ACC93E</t>
  </si>
  <si>
    <t xml:space="preserve">117033735</t>
  </si>
  <si>
    <t xml:space="preserve">Millstream Retreat Park Bbqs, Lot 990 Woodlands Bvd, Waterford, QLD 4133</t>
  </si>
  <si>
    <t xml:space="preserve">Millstream Retreat Park Bbqs Lot 990 Woo</t>
  </si>
  <si>
    <t xml:space="preserve">Millstream Retreat Park</t>
  </si>
  <si>
    <t xml:space="preserve">9253,12300,13274,14611</t>
  </si>
  <si>
    <t xml:space="preserve">31166740144</t>
  </si>
  <si>
    <t xml:space="preserve">A-6E70D15A</t>
  </si>
  <si>
    <t xml:space="preserve">119881755</t>
  </si>
  <si>
    <t xml:space="preserve">2 ALBERT ST WATERFORD QLD 4133</t>
  </si>
  <si>
    <t xml:space="preserve">Larry Storey Park</t>
  </si>
  <si>
    <t xml:space="preserve">9254,11138,13094,14292</t>
  </si>
  <si>
    <t xml:space="preserve">31151679257</t>
  </si>
  <si>
    <t xml:space="preserve">A-896F1504</t>
  </si>
  <si>
    <t xml:space="preserve">111116886</t>
  </si>
  <si>
    <t xml:space="preserve">101 PARADISE RD SLACKS CREEK QLD 4127</t>
  </si>
  <si>
    <t xml:space="preserve">9255,11175,13729,14483</t>
  </si>
  <si>
    <t xml:space="preserve">118331686</t>
  </si>
  <si>
    <t xml:space="preserve">9300,13258</t>
  </si>
  <si>
    <t xml:space="preserve">118332489</t>
  </si>
  <si>
    <t xml:space="preserve">9301,13170,14468,15267</t>
  </si>
  <si>
    <t xml:space="preserve">118219834</t>
  </si>
  <si>
    <t xml:space="preserve">9302,13259</t>
  </si>
  <si>
    <t xml:space="preserve">31164834815</t>
  </si>
  <si>
    <t xml:space="preserve">A-23A5C2AA</t>
  </si>
  <si>
    <t xml:space="preserve">117033907</t>
  </si>
  <si>
    <t xml:space="preserve">Bbq, 45A Woodlands Bvd, Waterford, QLD 4133</t>
  </si>
  <si>
    <t xml:space="preserve">Bbq 45A Woodlands Bvd Waterford QLD 4133</t>
  </si>
  <si>
    <t xml:space="preserve">9303,12299,15640,15894</t>
  </si>
  <si>
    <t xml:space="preserve">31201394146</t>
  </si>
  <si>
    <t xml:space="preserve">A-B25473AC</t>
  </si>
  <si>
    <t xml:space="preserve">117033649</t>
  </si>
  <si>
    <t xml:space="preserve">PUBLIC BBQ 38 RIDGEVALE BVD HOLMVIEW QLD 4207</t>
  </si>
  <si>
    <t xml:space="preserve">PUBLIC BBQ 38 RIDGEVALE BVD HOLMVIEW QLD</t>
  </si>
  <si>
    <t xml:space="preserve">Valley View Park</t>
  </si>
  <si>
    <t xml:space="preserve">9304,12221,14713,15291</t>
  </si>
  <si>
    <t xml:space="preserve">119881770</t>
  </si>
  <si>
    <t xml:space="preserve">9305,12709,13264,14662,15795,15923</t>
  </si>
  <si>
    <t xml:space="preserve">31201077552</t>
  </si>
  <si>
    <t xml:space="preserve">A-1E9BFFE9</t>
  </si>
  <si>
    <t xml:space="preserve">119881718</t>
  </si>
  <si>
    <t xml:space="preserve">PARK BBQ SEE WP S0300205 256-282 256-282 DAIRY CREEK RD WATERFORD QLD 4133</t>
  </si>
  <si>
    <t xml:space="preserve">PARK BBQ SEE WP S0300205 256-282 256-282</t>
  </si>
  <si>
    <t xml:space="preserve">9306,13175,13520,14894</t>
  </si>
  <si>
    <t xml:space="preserve">111121011</t>
  </si>
  <si>
    <t xml:space="preserve">9307,13813,14297,15274</t>
  </si>
  <si>
    <t xml:space="preserve">122095969</t>
  </si>
  <si>
    <t xml:space="preserve">9342,10537,10631,12739,13110,13903</t>
  </si>
  <si>
    <t xml:space="preserve">111111136</t>
  </si>
  <si>
    <t xml:space="preserve">9349,11188,13731,14476</t>
  </si>
  <si>
    <t xml:space="preserve">31200942300</t>
  </si>
  <si>
    <t xml:space="preserve">A-AB5A62BA</t>
  </si>
  <si>
    <t xml:space="preserve">117033682</t>
  </si>
  <si>
    <t xml:space="preserve">SAUNDERS PARK 49-65 49-65 OLD BLUFF RD CEDAR VALE QLD 4285</t>
  </si>
  <si>
    <t xml:space="preserve">SAUNDERS PARK 49-65 49-65 OLD BLUFF RD C</t>
  </si>
  <si>
    <t xml:space="preserve">Saunders Park</t>
  </si>
  <si>
    <t xml:space="preserve">9373,12220</t>
  </si>
  <si>
    <t xml:space="preserve">QB093791266</t>
  </si>
  <si>
    <t xml:space="preserve">A-E09F52CD</t>
  </si>
  <si>
    <t xml:space="preserve">117033388</t>
  </si>
  <si>
    <t xml:space="preserve">99 Ewing Rd, Woodridge, QLD 4114</t>
  </si>
  <si>
    <t xml:space="preserve">99 Ewing Rd Woodridge QLD 4114</t>
  </si>
  <si>
    <t xml:space="preserve">Ewing Park</t>
  </si>
  <si>
    <t xml:space="preserve">Manual site crosswalk (user-adjudicated, outranks the matcher)</t>
  </si>
  <si>
    <t xml:space="preserve">9374,12158,13082,13395,14455,14573,14720,15268</t>
  </si>
  <si>
    <t xml:space="preserve">31203890539</t>
  </si>
  <si>
    <t xml:space="preserve">A-E59491EE</t>
  </si>
  <si>
    <t xml:space="preserve">119881794</t>
  </si>
  <si>
    <t xml:space="preserve">Council Park, Lot 501 Spring Mountain Dr, New Beith, QLD 4124</t>
  </si>
  <si>
    <t xml:space="preserve">Council Park Lot 501 Spring Mountain Dr</t>
  </si>
  <si>
    <t xml:space="preserve">Council Park</t>
  </si>
  <si>
    <t xml:space="preserve">9376,12673,12705,14465</t>
  </si>
  <si>
    <t xml:space="preserve">111119390</t>
  </si>
  <si>
    <t xml:space="preserve">9436,12455,13156,14408</t>
  </si>
  <si>
    <t xml:space="preserve">QB097890493</t>
  </si>
  <si>
    <t xml:space="preserve">A-0AF7D9D1</t>
  </si>
  <si>
    <t xml:space="preserve">117033341</t>
  </si>
  <si>
    <t xml:space="preserve">20 Lincoln Green Dr, Forestdale, QLD 4118</t>
  </si>
  <si>
    <t xml:space="preserve">20 Lincoln Green Dr Forestdale QLD 4118</t>
  </si>
  <si>
    <t xml:space="preserve">Lincoln Green</t>
  </si>
  <si>
    <t xml:space="preserve">9458,9473,12159,12172</t>
  </si>
  <si>
    <t xml:space="preserve">31155469777</t>
  </si>
  <si>
    <t xml:space="preserve">A-B87265A0</t>
  </si>
  <si>
    <t xml:space="preserve">117033950</t>
  </si>
  <si>
    <t xml:space="preserve">JINGERI PARK 2 MERLUNA RD PARK RIDGE SOUTH QLD 4125</t>
  </si>
  <si>
    <t xml:space="preserve">JINGERI PARK 2 MERLUNA RD PARK RIDGE SOU</t>
  </si>
  <si>
    <t xml:space="preserve">Jingeri Park</t>
  </si>
  <si>
    <t xml:space="preserve">Multi-site list reduced to one park (suburb removed)</t>
  </si>
  <si>
    <t xml:space="preserve">9471,12219,15003,15528</t>
  </si>
  <si>
    <t xml:space="preserve">31200505415</t>
  </si>
  <si>
    <t xml:space="preserve">A-7DC58CC6</t>
  </si>
  <si>
    <t xml:space="preserve">117033703</t>
  </si>
  <si>
    <t xml:space="preserve">Park Bbq Shelter, 20 Outlook Dr, Waterford, QLD 4133</t>
  </si>
  <si>
    <t xml:space="preserve">Park Bbq Shelter 20 Outlook Dr Waterford</t>
  </si>
  <si>
    <t xml:space="preserve">Outlook Drive Park</t>
  </si>
  <si>
    <t xml:space="preserve">9472,12156,14756,15272</t>
  </si>
  <si>
    <t xml:space="preserve">31160750727</t>
  </si>
  <si>
    <t xml:space="preserve">A-C495903C</t>
  </si>
  <si>
    <t xml:space="preserve">111114938</t>
  </si>
  <si>
    <t xml:space="preserve">Lot 806, TULLY CONNECTION RD GREENBANK QLD 4124</t>
  </si>
  <si>
    <t xml:space="preserve">Lot 806 TULLY CONNECTION RD GREENBANK QL</t>
  </si>
  <si>
    <t xml:space="preserve">Spring Mountain Reserve</t>
  </si>
  <si>
    <t xml:space="preserve">9475,13155,14487,15172</t>
  </si>
  <si>
    <t xml:space="preserve">QB055679987</t>
  </si>
  <si>
    <t xml:space="preserve">A-D1AB9741</t>
  </si>
  <si>
    <t xml:space="preserve">111116455</t>
  </si>
  <si>
    <t xml:space="preserve">Atlantic Park, 108 Atlantic Dr, Loganholme, QLD 4129</t>
  </si>
  <si>
    <t xml:space="preserve">Atlantic Park 108 Atlantic Dr Loganholme</t>
  </si>
  <si>
    <t xml:space="preserve">Atlantic Park</t>
  </si>
  <si>
    <t xml:space="preserve">9476,12784,15496,15781</t>
  </si>
  <si>
    <t xml:space="preserve">QB100515891</t>
  </si>
  <si>
    <t xml:space="preserve">A-F8104A5A</t>
  </si>
  <si>
    <t xml:space="preserve">119881583</t>
  </si>
  <si>
    <t xml:space="preserve">ALBERT RIVER PARK 1 FRYAR RD EAGLEBY QLD 4207</t>
  </si>
  <si>
    <t xml:space="preserve">ALBERT RIVER PARK 1 FRYAR RD EAGLEBY QLD</t>
  </si>
  <si>
    <t xml:space="preserve">Albert River Park</t>
  </si>
  <si>
    <t xml:space="preserve">9480,9559,11137,11228</t>
  </si>
  <si>
    <t xml:space="preserve">118617123</t>
  </si>
  <si>
    <t xml:space="preserve">9493,12461,15654,15893</t>
  </si>
  <si>
    <t xml:space="preserve">118638980</t>
  </si>
  <si>
    <t xml:space="preserve">9494,12462,13665,14736</t>
  </si>
  <si>
    <t xml:space="preserve">119881759</t>
  </si>
  <si>
    <t xml:space="preserve">9495,12463,14804,15331</t>
  </si>
  <si>
    <t xml:space="preserve">QB100498519</t>
  </si>
  <si>
    <t xml:space="preserve">A-7E7593AB</t>
  </si>
  <si>
    <t xml:space="preserve">117033306</t>
  </si>
  <si>
    <t xml:space="preserve">CECIL CLARK PARK FRYAR RD EAGLEBY QLD 4207</t>
  </si>
  <si>
    <t xml:space="preserve">CECIL CLARK PARK FRYAR RD EAGLEBY QLD 42</t>
  </si>
  <si>
    <t xml:space="preserve">Cecil Clark Park</t>
  </si>
  <si>
    <t xml:space="preserve">9498,9715,10166,10393</t>
  </si>
  <si>
    <t xml:space="preserve">118729819</t>
  </si>
  <si>
    <t xml:space="preserve">9526,12215,15842,15919</t>
  </si>
  <si>
    <t xml:space="preserve">118740298</t>
  </si>
  <si>
    <t xml:space="preserve">9527,12296</t>
  </si>
  <si>
    <t xml:space="preserve">118743198</t>
  </si>
  <si>
    <t xml:space="preserve">9528,12297,14889,15404</t>
  </si>
  <si>
    <t xml:space="preserve">119881643</t>
  </si>
  <si>
    <t xml:space="preserve">9529,12464,14441,15198,15642</t>
  </si>
  <si>
    <t xml:space="preserve">31203232863</t>
  </si>
  <si>
    <t xml:space="preserve">A-283468C5</t>
  </si>
  <si>
    <t xml:space="preserve">117033594</t>
  </si>
  <si>
    <t xml:space="preserve">PARK BBQ 2-10 2-10 DARNELL ST YARRABILBA QLD 4207</t>
  </si>
  <si>
    <t xml:space="preserve">PARK BBQ 2-10 2-10 DARNELL ST YARRABILBA</t>
  </si>
  <si>
    <t xml:space="preserve">Greenstone Park</t>
  </si>
  <si>
    <t xml:space="preserve">9534,12680,14561,15115</t>
  </si>
  <si>
    <t xml:space="preserve">31203145168</t>
  </si>
  <si>
    <t xml:space="preserve">A-263544ED</t>
  </si>
  <si>
    <t xml:space="preserve">111125049</t>
  </si>
  <si>
    <t xml:space="preserve">Park, Lot 951 Foxx Ct, Yarrabilba, QLD 4207</t>
  </si>
  <si>
    <t xml:space="preserve">Park Lot 951 Foxx Ct Yarrabilba QLD 4207</t>
  </si>
  <si>
    <t xml:space="preserve">9535,13206,14562,15219</t>
  </si>
  <si>
    <t xml:space="preserve">118675506</t>
  </si>
  <si>
    <t xml:space="preserve">9555,11413,14704,15154</t>
  </si>
  <si>
    <t xml:space="preserve">118750715</t>
  </si>
  <si>
    <t xml:space="preserve">9556,12298,13556,14065,14599,14634,14899,15174</t>
  </si>
  <si>
    <t xml:space="preserve">118758064</t>
  </si>
  <si>
    <t xml:space="preserve">9557,10459,12218,13435</t>
  </si>
  <si>
    <t xml:space="preserve">31201052191</t>
  </si>
  <si>
    <t xml:space="preserve">A-60E52C62</t>
  </si>
  <si>
    <t xml:space="preserve">119881720</t>
  </si>
  <si>
    <t xml:space="preserve">CORNUBIA ADVENTURE PARK BBQ 6-14 6-14 CORNUBIA PARK DR SHAILER PARK QLD 4128</t>
  </si>
  <si>
    <t xml:space="preserve">CORNUBIA ADVENTURE PARK BBQ 6-14 6-14 CO</t>
  </si>
  <si>
    <t xml:space="preserve">Cornubia Adventure Park</t>
  </si>
  <si>
    <t xml:space="preserve">9558,11317,13143,14301</t>
  </si>
  <si>
    <t xml:space="preserve">31206666085</t>
  </si>
  <si>
    <t xml:space="preserve">A-285C70B0</t>
  </si>
  <si>
    <t xml:space="preserve">113843775</t>
  </si>
  <si>
    <t xml:space="preserve">Park Lighting, Lot 802 Everleigh Dr, Greenbank, QLD 4124</t>
  </si>
  <si>
    <t xml:space="preserve">Park Lighting Lot 802 Everleigh Dr Green</t>
  </si>
  <si>
    <t xml:space="preserve">Everleigh Dr Green</t>
  </si>
  <si>
    <t xml:space="preserve">9568,10969</t>
  </si>
  <si>
    <t xml:space="preserve">QB080914558</t>
  </si>
  <si>
    <t xml:space="preserve">A-627DFDF9</t>
  </si>
  <si>
    <t xml:space="preserve">117033454</t>
  </si>
  <si>
    <t xml:space="preserve">SPRINGWOOD PARK 77 CINDERELLA DR SPRINGWOOD QLD 4127</t>
  </si>
  <si>
    <t xml:space="preserve">SPRINGWOOD PARK 77 CINDERELLA DR SPRINGW</t>
  </si>
  <si>
    <t xml:space="preserve">Springwood Park</t>
  </si>
  <si>
    <t xml:space="preserve">9575,11131,11162,13444</t>
  </si>
  <si>
    <t xml:space="preserve">31206430862</t>
  </si>
  <si>
    <t xml:space="preserve">A-552D04F2</t>
  </si>
  <si>
    <t xml:space="preserve">113103143</t>
  </si>
  <si>
    <t xml:space="preserve">UNDERWOOD PARK - CONTEMPLATION 982 UNDERWOOD RD PRIESTDALE QLD 4127</t>
  </si>
  <si>
    <t xml:space="preserve">UNDERWOOD PARK - CONTEMPLATION 982 UNDER</t>
  </si>
  <si>
    <t xml:space="preserve">Underwood Park</t>
  </si>
  <si>
    <t xml:space="preserve">9587,10966</t>
  </si>
  <si>
    <t xml:space="preserve">111123724</t>
  </si>
  <si>
    <t xml:space="preserve">9609,10945</t>
  </si>
  <si>
    <t xml:space="preserve">119881701</t>
  </si>
  <si>
    <t xml:space="preserve">9646,14365,14373,15066,15615,15867</t>
  </si>
  <si>
    <t xml:space="preserve">119237765</t>
  </si>
  <si>
    <t xml:space="preserve">9647,13401,14374,15067,15183,15641</t>
  </si>
  <si>
    <t xml:space="preserve">QB106345176</t>
  </si>
  <si>
    <t xml:space="preserve">A-B3CD97E5</t>
  </si>
  <si>
    <t xml:space="preserve">117033264</t>
  </si>
  <si>
    <t xml:space="preserve">41 Logan St, Beenleigh, QLD 4207</t>
  </si>
  <si>
    <t xml:space="preserve">41 Logan St Beenleigh QLD 4207</t>
  </si>
  <si>
    <t xml:space="preserve">Doug Larsen Park</t>
  </si>
  <si>
    <t xml:space="preserve">9651,11083,11783,13220,13625,14237,15088,15480</t>
  </si>
  <si>
    <t xml:space="preserve">111118596</t>
  </si>
  <si>
    <t xml:space="preserve">9652,12317,13086,14278</t>
  </si>
  <si>
    <t xml:space="preserve">31203520798</t>
  </si>
  <si>
    <t xml:space="preserve">A-71406153</t>
  </si>
  <si>
    <t xml:space="preserve">111110932</t>
  </si>
  <si>
    <t xml:space="preserve">Demeio Park, 116 Demeio Rd, Marsden, QLD 4132</t>
  </si>
  <si>
    <t xml:space="preserve">Demeio Park 116 Demeio Rd Marsden QLD 41</t>
  </si>
  <si>
    <t xml:space="preserve">Demeio Park</t>
  </si>
  <si>
    <t xml:space="preserve">9653,12179,13162,14274</t>
  </si>
  <si>
    <t xml:space="preserve">117894881</t>
  </si>
  <si>
    <t xml:space="preserve">9668,10897</t>
  </si>
  <si>
    <t xml:space="preserve">QB085036813</t>
  </si>
  <si>
    <t xml:space="preserve">A-3F2F4B42</t>
  </si>
  <si>
    <t xml:space="preserve">119066080</t>
  </si>
  <si>
    <t xml:space="preserve">LANCASTER PARK 2 CHAMBERS FLAT RD WATERFORD WEST QLD 4133</t>
  </si>
  <si>
    <t xml:space="preserve">LANCASTER PARK 2 CHAMBERS FLAT RD WATERF</t>
  </si>
  <si>
    <t xml:space="preserve">Lancaster Park</t>
  </si>
  <si>
    <t xml:space="preserve">9674,11158,12203,13728</t>
  </si>
  <si>
    <t xml:space="preserve">31155142426</t>
  </si>
  <si>
    <t xml:space="preserve">A-CD378909</t>
  </si>
  <si>
    <t xml:space="preserve">117033963</t>
  </si>
  <si>
    <t xml:space="preserve">94 Brookvale Dr, Underwood, QLD 4119</t>
  </si>
  <si>
    <t xml:space="preserve">94 Brookvale Dr Underwood QLD 4119</t>
  </si>
  <si>
    <t xml:space="preserve">Brookvale Park</t>
  </si>
  <si>
    <t xml:space="preserve">9675,11159</t>
  </si>
  <si>
    <t xml:space="preserve">117033444</t>
  </si>
  <si>
    <t xml:space="preserve">9676,11226,12162,13750</t>
  </si>
  <si>
    <t xml:space="preserve">111119640</t>
  </si>
  <si>
    <t xml:space="preserve">9677,9998,12291,12318</t>
  </si>
  <si>
    <t xml:space="preserve">31200504853</t>
  </si>
  <si>
    <t xml:space="preserve">A-B5C24B07</t>
  </si>
  <si>
    <t xml:space="preserve">117033710</t>
  </si>
  <si>
    <t xml:space="preserve">COALSTON CRSG PARK BBQ SHELTER Lot 107, COALSTOUN CROSSING WATERFORD QLD 4133</t>
  </si>
  <si>
    <t xml:space="preserve">COALSTON CRSG PARK BBQ SHELTER Lot 107 C</t>
  </si>
  <si>
    <t xml:space="preserve">Coalston Crsg Park</t>
  </si>
  <si>
    <t xml:space="preserve">9691,13465,14303,15156</t>
  </si>
  <si>
    <t xml:space="preserve">119266615</t>
  </si>
  <si>
    <t xml:space="preserve">9701,11157,11277,13468</t>
  </si>
  <si>
    <t xml:space="preserve">31169793460</t>
  </si>
  <si>
    <t xml:space="preserve">A-235D0AB6</t>
  </si>
  <si>
    <t xml:space="preserve">117033870</t>
  </si>
  <si>
    <t xml:space="preserve">85 St Jude Cct, Glenlogan, QLD 4280</t>
  </si>
  <si>
    <t xml:space="preserve">85 St Jude Cct Glenlogan QLD 4280</t>
  </si>
  <si>
    <t xml:space="preserve">Glenlogan Lakes Park</t>
  </si>
  <si>
    <t xml:space="preserve">9703,10703,14236,14639</t>
  </si>
  <si>
    <t xml:space="preserve">119881498</t>
  </si>
  <si>
    <t xml:space="preserve">9704,11318,13754,14440,14502,15360</t>
  </si>
  <si>
    <t xml:space="preserve">QB110984225</t>
  </si>
  <si>
    <t xml:space="preserve">A-3804507E</t>
  </si>
  <si>
    <t xml:space="preserve">119881570</t>
  </si>
  <si>
    <t xml:space="preserve">NEXUS PARK 28 OVERLAND DR EDENS LANDING QLD 4207</t>
  </si>
  <si>
    <t xml:space="preserve">NEXUS PARK 28 OVERLAND DR EDENS LANDING</t>
  </si>
  <si>
    <t xml:space="preserve">Nexus Park</t>
  </si>
  <si>
    <t xml:space="preserve">9705,11112,13479,14325</t>
  </si>
  <si>
    <t xml:space="preserve">119235297</t>
  </si>
  <si>
    <t xml:space="preserve">9726,10779,12146,13290,13524,14192,15112,15459</t>
  </si>
  <si>
    <t xml:space="preserve">31143105973</t>
  </si>
  <si>
    <t xml:space="preserve">A-3FD89EAD</t>
  </si>
  <si>
    <t xml:space="preserve">113117439</t>
  </si>
  <si>
    <t xml:space="preserve">Lansdown Park, 32 Lansdown Rd, Waterford West, QLD 4133</t>
  </si>
  <si>
    <t xml:space="preserve">Lansdown Park 32 Lansdown Rd Waterford W</t>
  </si>
  <si>
    <t xml:space="preserve">Lansdown Park</t>
  </si>
  <si>
    <t xml:space="preserve">9727,10738</t>
  </si>
  <si>
    <t xml:space="preserve">QB136176138</t>
  </si>
  <si>
    <t xml:space="preserve">A-A1C0F2D2</t>
  </si>
  <si>
    <t xml:space="preserve">113183315</t>
  </si>
  <si>
    <t xml:space="preserve">16 Kiewa Dr, Loganholme, QLD 4129</t>
  </si>
  <si>
    <t xml:space="preserve">16 Kiewa Dr Loganholme QLD 4129</t>
  </si>
  <si>
    <t xml:space="preserve">Kiewa Park</t>
  </si>
  <si>
    <t xml:space="preserve">9728,10672</t>
  </si>
  <si>
    <t xml:space="preserve">111118270</t>
  </si>
  <si>
    <t xml:space="preserve">9729,11811,13230,14200</t>
  </si>
  <si>
    <t xml:space="preserve">118217468</t>
  </si>
  <si>
    <t xml:space="preserve">9783,13644,14470,15290</t>
  </si>
  <si>
    <t xml:space="preserve">31201588013</t>
  </si>
  <si>
    <t xml:space="preserve">A-42E43BA0</t>
  </si>
  <si>
    <t xml:space="preserve">119238050</t>
  </si>
  <si>
    <t xml:space="preserve">720 Middle Rd, Greenbank, QLD 4124</t>
  </si>
  <si>
    <t xml:space="preserve">720 Middle Rd Greenbank QLD 4124</t>
  </si>
  <si>
    <t xml:space="preserve">Greenbank Recreation Reserve</t>
  </si>
  <si>
    <t xml:space="preserve">9817,10616,14409,14692</t>
  </si>
  <si>
    <t xml:space="preserve">QB100514654</t>
  </si>
  <si>
    <t xml:space="preserve">A-C960C2B6</t>
  </si>
  <si>
    <t xml:space="preserve">113337301</t>
  </si>
  <si>
    <t xml:space="preserve">Ray Hackwood Park, 2 Saverin Rd, Eagleby, QLD 4207</t>
  </si>
  <si>
    <t xml:space="preserve">Ray Hackwood Park 2 Saverin Rd Eagleby Q</t>
  </si>
  <si>
    <t xml:space="preserve">Ray Hackwood Park</t>
  </si>
  <si>
    <t xml:space="preserve">9818,10567,15252,15500</t>
  </si>
  <si>
    <t xml:space="preserve">111143254</t>
  </si>
  <si>
    <t xml:space="preserve">9819,11187,13749,14317</t>
  </si>
  <si>
    <t xml:space="preserve">31151450009</t>
  </si>
  <si>
    <t xml:space="preserve">A-7960968D</t>
  </si>
  <si>
    <t xml:space="preserve">119238647</t>
  </si>
  <si>
    <t xml:space="preserve">ALBERT ST LOGAN VILLAGE QLD 4207</t>
  </si>
  <si>
    <t xml:space="preserve">9850,10433,12338,13184</t>
  </si>
  <si>
    <t xml:space="preserve">31201868819</t>
  </si>
  <si>
    <t xml:space="preserve">A-3FA89813</t>
  </si>
  <si>
    <t xml:space="preserve">119237993</t>
  </si>
  <si>
    <t xml:space="preserve">PARK AMENITIES 24 WHARF ST LOGAN VILLAGE QLD 4207</t>
  </si>
  <si>
    <t xml:space="preserve">PARK AMENITIES 24 WHARF ST LOGAN VILLAGE</t>
  </si>
  <si>
    <t xml:space="preserve">9851,10398,10435,11153</t>
  </si>
  <si>
    <t xml:space="preserve">QB106306519</t>
  </si>
  <si>
    <t xml:space="preserve">A-647136D4</t>
  </si>
  <si>
    <t xml:space="preserve">119235324</t>
  </si>
  <si>
    <t xml:space="preserve">53 Plover Dr, Eagleby, QLD 4207</t>
  </si>
  <si>
    <t xml:space="preserve">53 Plover Dr Eagleby QLD 4207</t>
  </si>
  <si>
    <t xml:space="preserve">Booiurragun Park</t>
  </si>
  <si>
    <t xml:space="preserve">9852,10437,13205,13712</t>
  </si>
  <si>
    <t xml:space="preserve">31206418214</t>
  </si>
  <si>
    <t xml:space="preserve">A-4728CD92</t>
  </si>
  <si>
    <t xml:space="preserve">113103142</t>
  </si>
  <si>
    <t xml:space="preserve">STURDEE PARK 73 STATION RD LOGANLEA QLD 4131</t>
  </si>
  <si>
    <t xml:space="preserve">STURDEE PARK 73 STATION RD LOGANLEA QLD</t>
  </si>
  <si>
    <t xml:space="preserve">Sturdee Park</t>
  </si>
  <si>
    <t xml:space="preserve">9858,10965</t>
  </si>
  <si>
    <t xml:space="preserve">111118216</t>
  </si>
  <si>
    <t xml:space="preserve">9866,10944</t>
  </si>
  <si>
    <t xml:space="preserve">31163113452</t>
  </si>
  <si>
    <t xml:space="preserve">A-7237AA7F</t>
  </si>
  <si>
    <t xml:space="preserve">119238534</t>
  </si>
  <si>
    <t xml:space="preserve">Evergreen Park, 70 Evergreen Ave, Loganlea, QLD 4131</t>
  </si>
  <si>
    <t xml:space="preserve">Evergreen Park 70 Evergreen Ave Loganlea</t>
  </si>
  <si>
    <t xml:space="preserve">Evergreen Park</t>
  </si>
  <si>
    <t xml:space="preserve">9869,10392,15322,15508</t>
  </si>
  <si>
    <t xml:space="preserve">111152070</t>
  </si>
  <si>
    <t xml:space="preserve">9871,11249,14504,14853</t>
  </si>
  <si>
    <t xml:space="preserve">115054954</t>
  </si>
  <si>
    <t xml:space="preserve">9877,9939,10904,11069</t>
  </si>
  <si>
    <t xml:space="preserve">121261915</t>
  </si>
  <si>
    <t xml:space="preserve">9898,10927</t>
  </si>
  <si>
    <t xml:space="preserve">QB090084039</t>
  </si>
  <si>
    <t xml:space="preserve">A-476BAE18</t>
  </si>
  <si>
    <t xml:space="preserve">119235757</t>
  </si>
  <si>
    <t xml:space="preserve">Oates Ave, Woodridge, QLD 4114</t>
  </si>
  <si>
    <t xml:space="preserve">Oates Ave Woodridge QLD 4114</t>
  </si>
  <si>
    <t xml:space="preserve">Oates Park</t>
  </si>
  <si>
    <t xml:space="preserve">9908,10296,15080,15182</t>
  </si>
  <si>
    <t xml:space="preserve">QB100515118</t>
  </si>
  <si>
    <t xml:space="preserve">A-E9B7F457</t>
  </si>
  <si>
    <t xml:space="preserve">119235392</t>
  </si>
  <si>
    <t xml:space="preserve">TENNIS COURTS 1 BISHOP ST EAGLEBY QLD 4207</t>
  </si>
  <si>
    <t xml:space="preserve">TENNIS COURTS 1 BISHOP ST EAGLEBY QLD 42</t>
  </si>
  <si>
    <t xml:space="preserve">Bishop Street Park</t>
  </si>
  <si>
    <t xml:space="preserve">9909,10436,14054,14348</t>
  </si>
  <si>
    <t xml:space="preserve">31203421519</t>
  </si>
  <si>
    <t xml:space="preserve">A-3749779B</t>
  </si>
  <si>
    <t xml:space="preserve">117034050</t>
  </si>
  <si>
    <t xml:space="preserve">CRESTMEAD PARK BBQ 35A ROYENA CT CRESTMEAD QLD 4132</t>
  </si>
  <si>
    <t xml:space="preserve">CRESTMEAD PARK BBQ 35A ROYENA CT CRESTME</t>
  </si>
  <si>
    <t xml:space="preserve">Crestmead Park</t>
  </si>
  <si>
    <t xml:space="preserve">9935,12443,14117,14806</t>
  </si>
  <si>
    <t xml:space="preserve">31200578525</t>
  </si>
  <si>
    <t xml:space="preserve">A-F4018379</t>
  </si>
  <si>
    <t xml:space="preserve">119239537</t>
  </si>
  <si>
    <t xml:space="preserve">TOILETS, BBQ &amp; STAGE AREA Lot 902, PARKSIDE DR FLAGSTONE QLD 4280</t>
  </si>
  <si>
    <t xml:space="preserve">TOILETS BBQ &amp; STAGE AREA Lot 902 PARKSID</t>
  </si>
  <si>
    <t xml:space="preserve">9944,10294,14891,14994</t>
  </si>
  <si>
    <t xml:space="preserve">QB094431341</t>
  </si>
  <si>
    <t xml:space="preserve">A-8A58A10D</t>
  </si>
  <si>
    <t xml:space="preserve">119235708</t>
  </si>
  <si>
    <t xml:space="preserve">Regents Park, 21 Bennett Dr, Regents Park, QLD 4118</t>
  </si>
  <si>
    <t xml:space="preserve">Regents Park 21 Bennett Dr Regents Park</t>
  </si>
  <si>
    <t xml:space="preserve">Regents Park</t>
  </si>
  <si>
    <t xml:space="preserve">9945,10342</t>
  </si>
  <si>
    <t xml:space="preserve">117114638</t>
  </si>
  <si>
    <t xml:space="preserve">9952,11053</t>
  </si>
  <si>
    <t xml:space="preserve">QB141152636</t>
  </si>
  <si>
    <t xml:space="preserve">A-FFDADDE4</t>
  </si>
  <si>
    <t xml:space="preserve">123267587</t>
  </si>
  <si>
    <t xml:space="preserve">CARETAKERS RESIDENCE 19 SOUTH ST JIMBOOMBA QLD 4280</t>
  </si>
  <si>
    <t xml:space="preserve">CARETAKERS RESIDENCE 19 SOUTH ST JIMBOOM</t>
  </si>
  <si>
    <t xml:space="preserve">9992,12316</t>
  </si>
  <si>
    <t xml:space="preserve">108600470</t>
  </si>
  <si>
    <t xml:space="preserve">10006,11142,11788,12840</t>
  </si>
  <si>
    <t xml:space="preserve">31174015515</t>
  </si>
  <si>
    <t xml:space="preserve">A-065A08CD</t>
  </si>
  <si>
    <t xml:space="preserve">108125950</t>
  </si>
  <si>
    <t xml:space="preserve">71 Barbaralla Dr, Springwood, QLD 4127</t>
  </si>
  <si>
    <t xml:space="preserve">71 Barbaralla Dr Springwood QLD 4127</t>
  </si>
  <si>
    <t xml:space="preserve">Barbaralla Park</t>
  </si>
  <si>
    <t xml:space="preserve">10007,10659,14411,14517</t>
  </si>
  <si>
    <t xml:space="preserve">108517550</t>
  </si>
  <si>
    <t xml:space="preserve">10008,11143,11241,12639</t>
  </si>
  <si>
    <t xml:space="preserve">118947124</t>
  </si>
  <si>
    <t xml:space="preserve">10025,12307,14316,14882</t>
  </si>
  <si>
    <t xml:space="preserve">106866196</t>
  </si>
  <si>
    <t xml:space="preserve">10027,11113</t>
  </si>
  <si>
    <t xml:space="preserve">119238334</t>
  </si>
  <si>
    <t xml:space="preserve">10031,10434,14402,14525</t>
  </si>
  <si>
    <t xml:space="preserve">QB135463179</t>
  </si>
  <si>
    <t xml:space="preserve">A-52176E3C</t>
  </si>
  <si>
    <t xml:space="preserve">119234664</t>
  </si>
  <si>
    <t xml:space="preserve">4 TRINETTE ST SHAILER PARK QLD 4128</t>
  </si>
  <si>
    <t xml:space="preserve">Trinette St Shailer Park</t>
  </si>
  <si>
    <t xml:space="preserve">10032,10343,13783,14033</t>
  </si>
  <si>
    <t xml:space="preserve">115054961</t>
  </si>
  <si>
    <t xml:space="preserve">10061,10905,11070</t>
  </si>
  <si>
    <t xml:space="preserve">31201383405</t>
  </si>
  <si>
    <t xml:space="preserve">A-14ABE59C</t>
  </si>
  <si>
    <t xml:space="preserve">119238078</t>
  </si>
  <si>
    <t xml:space="preserve">Ridgecrest Park, 6 Ridgecrest Dr, Flagstone, QLD 4280</t>
  </si>
  <si>
    <t xml:space="preserve">Ridgecrest Park 6 Ridgecrest Dr Flagston</t>
  </si>
  <si>
    <t xml:space="preserve">Ridgecrest Park</t>
  </si>
  <si>
    <t xml:space="preserve">10076,10341,14432,15299,15400</t>
  </si>
  <si>
    <t xml:space="preserve">31202492525</t>
  </si>
  <si>
    <t xml:space="preserve">A-0988EC52</t>
  </si>
  <si>
    <t xml:space="preserve">119237849</t>
  </si>
  <si>
    <t xml:space="preserve">169 BEAUDESERT-BEENLEIGH RD MOUNT WARREN PARK QLD 4207</t>
  </si>
  <si>
    <t xml:space="preserve">169 BEAUDESERT-BEENLEIGH RD MOUNT WARREN</t>
  </si>
  <si>
    <t xml:space="preserve">Noyer Park</t>
  </si>
  <si>
    <t xml:space="preserve">10077,10163,14287,14337</t>
  </si>
  <si>
    <t xml:space="preserve">QB052516565</t>
  </si>
  <si>
    <t xml:space="preserve">A-20DBC840</t>
  </si>
  <si>
    <t xml:space="preserve">119236343</t>
  </si>
  <si>
    <t xml:space="preserve">16 FERMONT RD UNDERWOOD QLD 4119</t>
  </si>
  <si>
    <t xml:space="preserve">Charles Barton Park</t>
  </si>
  <si>
    <t xml:space="preserve">10078,10295,14202,14315</t>
  </si>
  <si>
    <t xml:space="preserve">108331780</t>
  </si>
  <si>
    <t xml:space="preserve">10079,10725,15523,15570</t>
  </si>
  <si>
    <t xml:space="preserve">108050584</t>
  </si>
  <si>
    <t xml:space="preserve">10080,10612,13788,13947</t>
  </si>
  <si>
    <t xml:space="preserve">31170225684</t>
  </si>
  <si>
    <t xml:space="preserve">A-29D7A69D</t>
  </si>
  <si>
    <t xml:space="preserve">119238449</t>
  </si>
  <si>
    <t xml:space="preserve">150 FLESSER RD CHAMBERS FLAT QLD 4133</t>
  </si>
  <si>
    <t xml:space="preserve">10110,10260,14870,14946</t>
  </si>
  <si>
    <t xml:space="preserve">31201593053</t>
  </si>
  <si>
    <t xml:space="preserve">A-D8A25675</t>
  </si>
  <si>
    <t xml:space="preserve">119238011</t>
  </si>
  <si>
    <t xml:space="preserve">BBQ STOTEN PARK 24A MONIVAE CCT EAGLEBY QLD 4207</t>
  </si>
  <si>
    <t xml:space="preserve">BBQ STOTEN PARK 24A MONIVAE CCT EAGLEBY</t>
  </si>
  <si>
    <t xml:space="preserve">Bbq Stoten Park</t>
  </si>
  <si>
    <t xml:space="preserve">10111,10139,15597,15608</t>
  </si>
  <si>
    <t xml:space="preserve">QB094431005</t>
  </si>
  <si>
    <t xml:space="preserve">A-387441E6</t>
  </si>
  <si>
    <t xml:space="preserve">119235733</t>
  </si>
  <si>
    <t xml:space="preserve">Sturdee Park, 11 Sturdee St, Loganlea, QLD 4131</t>
  </si>
  <si>
    <t xml:space="preserve">Sturdee Park 11 Sturdee St Loganlea QLD</t>
  </si>
  <si>
    <t xml:space="preserve">10112,10165,13236,13275</t>
  </si>
  <si>
    <t xml:space="preserve">QB110983500</t>
  </si>
  <si>
    <t xml:space="preserve">A-55244136</t>
  </si>
  <si>
    <t xml:space="preserve">119235239</t>
  </si>
  <si>
    <t xml:space="preserve">WILLOW PARK 49 SUNRISE ST BEENLEIGH QLD 4207</t>
  </si>
  <si>
    <t xml:space="preserve">WILLOW PARK 49 SUNRISE ST BEENLEIGH QLD</t>
  </si>
  <si>
    <t xml:space="preserve">Willow Park</t>
  </si>
  <si>
    <t xml:space="preserve">10113,10297,14128,14285,14433,15359</t>
  </si>
  <si>
    <t xml:space="preserve">108357617</t>
  </si>
  <si>
    <t xml:space="preserve">10114,10724,14640,14742</t>
  </si>
  <si>
    <t xml:space="preserve">108199344</t>
  </si>
  <si>
    <t xml:space="preserve">10115,10686,12305,12748</t>
  </si>
  <si>
    <t xml:space="preserve">123265969</t>
  </si>
  <si>
    <t xml:space="preserve">10132,11300</t>
  </si>
  <si>
    <t xml:space="preserve">QB086511672</t>
  </si>
  <si>
    <t xml:space="preserve">A-AB902864</t>
  </si>
  <si>
    <t xml:space="preserve">119235921</t>
  </si>
  <si>
    <t xml:space="preserve">Leawarra Park, 30 Garrima Dr, Loganholme, QLD 4129</t>
  </si>
  <si>
    <t xml:space="preserve">Leawarra Park 30 Garrima Dr Loganholme Q</t>
  </si>
  <si>
    <t xml:space="preserve">Leawarra Park</t>
  </si>
  <si>
    <t xml:space="preserve">10140,10164,15271,15284</t>
  </si>
  <si>
    <t xml:space="preserve">107155636</t>
  </si>
  <si>
    <t xml:space="preserve">10175,11114,15868,15904</t>
  </si>
  <si>
    <t xml:space="preserve">115055675</t>
  </si>
  <si>
    <t xml:space="preserve">10177,10646,11977,12130</t>
  </si>
  <si>
    <t xml:space="preserve">31206596489</t>
  </si>
  <si>
    <t xml:space="preserve">A-2580FFEE</t>
  </si>
  <si>
    <t xml:space="preserve">111121974</t>
  </si>
  <si>
    <t xml:space="preserve">CAFE 982 UNDERWOOD RD PRIESTDALE QLD 4127</t>
  </si>
  <si>
    <t xml:space="preserve">CAFE 982 UNDERWOOD RD PRIESTDALE QLD 412</t>
  </si>
  <si>
    <t xml:space="preserve">10190,10947</t>
  </si>
  <si>
    <t xml:space="preserve">31143485943</t>
  </si>
  <si>
    <t xml:space="preserve">A-CC95DC7A</t>
  </si>
  <si>
    <t xml:space="preserve">113103027</t>
  </si>
  <si>
    <t xml:space="preserve">RIVERDALE PARK/MEADOWBROOK PAR 90-110 ARMSTRONG RD MEADOWBROOK QLD 4131</t>
  </si>
  <si>
    <t xml:space="preserve">RIVERDALE PARK/MEADOWBROOK PAR 90-110 AR</t>
  </si>
  <si>
    <t xml:space="preserve">Riverdale Park</t>
  </si>
  <si>
    <t xml:space="preserve">10191,10963</t>
  </si>
  <si>
    <t xml:space="preserve">120072668</t>
  </si>
  <si>
    <t xml:space="preserve">10209,11106</t>
  </si>
  <si>
    <t xml:space="preserve">108359115</t>
  </si>
  <si>
    <t xml:space="preserve">10231,10726,13329,13485</t>
  </si>
  <si>
    <t xml:space="preserve">107401048</t>
  </si>
  <si>
    <t xml:space="preserve">10247,10706,13373,13994</t>
  </si>
  <si>
    <t xml:space="preserve">107420897</t>
  </si>
  <si>
    <t xml:space="preserve">10248,10673,15546,15644</t>
  </si>
  <si>
    <t xml:space="preserve">121161045</t>
  </si>
  <si>
    <t xml:space="preserve">10253,11171,11411</t>
  </si>
  <si>
    <t xml:space="preserve">108157528</t>
  </si>
  <si>
    <t xml:space="preserve">10261,10685,15643,15662</t>
  </si>
  <si>
    <t xml:space="preserve">107759363</t>
  </si>
  <si>
    <t xml:space="preserve">10262,10467,15202,15258</t>
  </si>
  <si>
    <t xml:space="preserve">107893655</t>
  </si>
  <si>
    <t xml:space="preserve">10263,10509,14574,14629</t>
  </si>
  <si>
    <t xml:space="preserve">31203096170</t>
  </si>
  <si>
    <t xml:space="preserve">A-650B1947</t>
  </si>
  <si>
    <t xml:space="preserve">119239516</t>
  </si>
  <si>
    <t xml:space="preserve">33 Copal Dr, Logan Reserve, QLD 4133</t>
  </si>
  <si>
    <t xml:space="preserve">33 Copal Dr Logan Reserve QLD 4133</t>
  </si>
  <si>
    <t xml:space="preserve">Copal Dr Logan Reserve</t>
  </si>
  <si>
    <t xml:space="preserve">10273,10754,14233,14453</t>
  </si>
  <si>
    <t xml:space="preserve">108052651</t>
  </si>
  <si>
    <t xml:space="preserve">10298,10422,14475,14538</t>
  </si>
  <si>
    <t xml:space="preserve">107886569</t>
  </si>
  <si>
    <t xml:space="preserve">10299,10468</t>
  </si>
  <si>
    <t xml:space="preserve">111123032</t>
  </si>
  <si>
    <t xml:space="preserve">10313,10941</t>
  </si>
  <si>
    <t xml:space="preserve">31203724851</t>
  </si>
  <si>
    <t xml:space="preserve">A-71A78A2A</t>
  </si>
  <si>
    <t xml:space="preserve">119239481</t>
  </si>
  <si>
    <t xml:space="preserve">Dog Park, Lot 908 Homestead Dr, Flagstone, QLD 4280</t>
  </si>
  <si>
    <t xml:space="preserve">Dog Park Lot 908 Homestead Dr Flagstone</t>
  </si>
  <si>
    <t xml:space="preserve">Homestead Park (Jimboomba)</t>
  </si>
  <si>
    <t xml:space="preserve">10321,11177,13406,13902</t>
  </si>
  <si>
    <t xml:space="preserve">108639009</t>
  </si>
  <si>
    <t xml:space="preserve">10322,12185,13335,13939</t>
  </si>
  <si>
    <t xml:space="preserve">117116838</t>
  </si>
  <si>
    <t xml:space="preserve">10334,12121</t>
  </si>
  <si>
    <t xml:space="preserve">107758413</t>
  </si>
  <si>
    <t xml:space="preserve">10344,10466,14302,14392</t>
  </si>
  <si>
    <t xml:space="preserve">107524506</t>
  </si>
  <si>
    <t xml:space="preserve">10353,10617</t>
  </si>
  <si>
    <t xml:space="preserve">107518842</t>
  </si>
  <si>
    <t xml:space="preserve">10354,10569,13851,14273</t>
  </si>
  <si>
    <t xml:space="preserve">31207009277</t>
  </si>
  <si>
    <t xml:space="preserve">A-A8F14CAF</t>
  </si>
  <si>
    <t xml:space="preserve">111123655</t>
  </si>
  <si>
    <t xml:space="preserve">PEBBLE CREEK DISTRICT PARK Lot 9001, BLOOMFIELD ESP SOUTH MACLEAN QLD 4280</t>
  </si>
  <si>
    <t xml:space="preserve">PEBBLE CREEK DISTRICT PARK Lot 9001 BLOO</t>
  </si>
  <si>
    <t xml:space="preserve">Pebble Creek District Park</t>
  </si>
  <si>
    <t xml:space="preserve">10357,11989</t>
  </si>
  <si>
    <t xml:space="preserve">113103145</t>
  </si>
  <si>
    <t xml:space="preserve">10360,10968</t>
  </si>
  <si>
    <t xml:space="preserve">107623129</t>
  </si>
  <si>
    <t xml:space="preserve">10385,10528</t>
  </si>
  <si>
    <t xml:space="preserve">111117217</t>
  </si>
  <si>
    <t xml:space="preserve">10411,10948</t>
  </si>
  <si>
    <t xml:space="preserve">107724514</t>
  </si>
  <si>
    <t xml:space="preserve">10423,10568,13445,13803</t>
  </si>
  <si>
    <t xml:space="preserve">113103362</t>
  </si>
  <si>
    <t xml:space="preserve">10469,12006</t>
  </si>
  <si>
    <t xml:space="preserve">115910775</t>
  </si>
  <si>
    <t xml:space="preserve">10485,11591,12750,13509</t>
  </si>
  <si>
    <t xml:space="preserve">121262860</t>
  </si>
  <si>
    <t xml:space="preserve">10500,11978</t>
  </si>
  <si>
    <t xml:space="preserve">31203557450</t>
  </si>
  <si>
    <t xml:space="preserve">A-185B19C8</t>
  </si>
  <si>
    <t xml:space="preserve">113103137</t>
  </si>
  <si>
    <t xml:space="preserve">Park), Lot 9042 Buxton Ave, Yarrabilba, QLD 4207</t>
  </si>
  <si>
    <t xml:space="preserve">Park) Lot 9042 Buxton Ave Yarrabilba QLD</t>
  </si>
  <si>
    <t xml:space="preserve">Buxton Park</t>
  </si>
  <si>
    <t xml:space="preserve">10502,11775</t>
  </si>
  <si>
    <t xml:space="preserve">111111064</t>
  </si>
  <si>
    <t xml:space="preserve">10529,11995</t>
  </si>
  <si>
    <t xml:space="preserve">115055130</t>
  </si>
  <si>
    <t xml:space="preserve">10555,10731,10901,11065</t>
  </si>
  <si>
    <t xml:space="preserve">115054828</t>
  </si>
  <si>
    <t xml:space="preserve">10595,11132,11974,12126</t>
  </si>
  <si>
    <t xml:space="preserve">107724973</t>
  </si>
  <si>
    <t xml:space="preserve">10661,11235,13701,14235</t>
  </si>
  <si>
    <t xml:space="preserve">QB080914391</t>
  </si>
  <si>
    <t xml:space="preserve">A-6832BE22</t>
  </si>
  <si>
    <t xml:space="preserve">115290672</t>
  </si>
  <si>
    <t xml:space="preserve">Bbq Underwood Park, 956 Underwood Rd, Priestdale, QLD 4127</t>
  </si>
  <si>
    <t xml:space="preserve">Bbq Underwood Park 956 Underwood Rd Prie</t>
  </si>
  <si>
    <t xml:space="preserve">Bbq Underwood Park</t>
  </si>
  <si>
    <t xml:space="preserve">10704,11161,13635,13691,13844,14283,15234,15621,15763</t>
  </si>
  <si>
    <t xml:space="preserve">113105027</t>
  </si>
  <si>
    <t xml:space="preserve">10708,12012</t>
  </si>
  <si>
    <t xml:space="preserve">115054959</t>
  </si>
  <si>
    <t xml:space="preserve">10723,10908,10990,11073</t>
  </si>
  <si>
    <t xml:space="preserve">115054942</t>
  </si>
  <si>
    <t xml:space="preserve">10752,11120,11971,12123</t>
  </si>
  <si>
    <t xml:space="preserve">QB135704210</t>
  </si>
  <si>
    <t xml:space="preserve">A-6CE2B935</t>
  </si>
  <si>
    <t xml:space="preserve">117817760</t>
  </si>
  <si>
    <t xml:space="preserve">Magellan Park, Raleigh St, Springwood, QLD 4127</t>
  </si>
  <si>
    <t xml:space="preserve">Magellan Park Raleigh St Springwood QLD</t>
  </si>
  <si>
    <t xml:space="preserve">Magellan Park</t>
  </si>
  <si>
    <t xml:space="preserve">10780,15612</t>
  </si>
  <si>
    <t xml:space="preserve">31208249481</t>
  </si>
  <si>
    <t xml:space="preserve">A-52CEBC81</t>
  </si>
  <si>
    <t xml:space="preserve">117894976</t>
  </si>
  <si>
    <t xml:space="preserve">Homestead Park Toilet Block, Lot 943 Homestead Dr, Flagstone, QLD 4280</t>
  </si>
  <si>
    <t xml:space="preserve">Homestead Park Toilet Block Lot 943 Home</t>
  </si>
  <si>
    <t xml:space="preserve">Homestead Park</t>
  </si>
  <si>
    <t xml:space="preserve">10898,15513</t>
  </si>
  <si>
    <t xml:space="preserve">31208397902</t>
  </si>
  <si>
    <t xml:space="preserve">A-768BAB62</t>
  </si>
  <si>
    <t xml:space="preserve">121410317</t>
  </si>
  <si>
    <t xml:space="preserve">Amenities Lighting Lot 9003, Everleigh Dr, Greenbank, QLD 4124</t>
  </si>
  <si>
    <t xml:space="preserve">Amenities Lighting Lot 9003 Everleigh Dr</t>
  </si>
  <si>
    <t xml:space="preserve">Everleigh Park</t>
  </si>
  <si>
    <t xml:space="preserve">10900,11414,12764,13185</t>
  </si>
  <si>
    <t xml:space="preserve">31201031719</t>
  </si>
  <si>
    <t xml:space="preserve">A-0F1C2178</t>
  </si>
  <si>
    <t xml:space="preserve">115054655</t>
  </si>
  <si>
    <t xml:space="preserve">Electric Bbq'S, 77 Couldery Ct, Cedar Grove, QLD 4285</t>
  </si>
  <si>
    <t xml:space="preserve">Electric Bbq'S 77 Couldery Ct Cedar Grov</t>
  </si>
  <si>
    <t xml:space="preserve">10902,11067,15545,15614</t>
  </si>
  <si>
    <t xml:space="preserve">31202223855</t>
  </si>
  <si>
    <t xml:space="preserve">A-29FAE6D9</t>
  </si>
  <si>
    <t xml:space="preserve">115054685</t>
  </si>
  <si>
    <t xml:space="preserve">138 School Rd, Logan Reserve, QLD 4133</t>
  </si>
  <si>
    <t xml:space="preserve">138 School Rd Logan Reserve QLD 4133</t>
  </si>
  <si>
    <t xml:space="preserve">School Rd Logan Reserve</t>
  </si>
  <si>
    <t xml:space="preserve">10903,11068,14892,15937</t>
  </si>
  <si>
    <t xml:space="preserve">31206577068</t>
  </si>
  <si>
    <t xml:space="preserve">A-EF2C777D</t>
  </si>
  <si>
    <t xml:space="preserve">115054872</t>
  </si>
  <si>
    <t xml:space="preserve">COLVILLE PARK Lot 3000, COLVILLE ST GREENBANK QLD 4124</t>
  </si>
  <si>
    <t xml:space="preserve">COLVILLE PARK Lot 3000 COLVILLE ST GREEN</t>
  </si>
  <si>
    <t xml:space="preserve">Colville Park</t>
  </si>
  <si>
    <t xml:space="preserve">10906,11071,14057,14114</t>
  </si>
  <si>
    <t xml:space="preserve">31206750062</t>
  </si>
  <si>
    <t xml:space="preserve">A-291FEEB5</t>
  </si>
  <si>
    <t xml:space="preserve">115054963</t>
  </si>
  <si>
    <t xml:space="preserve">Homestead Park, 4 Jodie St, Shailer Park, QLD 4128</t>
  </si>
  <si>
    <t xml:space="preserve">Homestead Park 4 Jodie St Shailer Park Q</t>
  </si>
  <si>
    <t xml:space="preserve">10909,11074</t>
  </si>
  <si>
    <t xml:space="preserve">31207911571</t>
  </si>
  <si>
    <t xml:space="preserve">A-2F56E5CE</t>
  </si>
  <si>
    <t xml:space="preserve">115054910</t>
  </si>
  <si>
    <t xml:space="preserve">ALBERTA PARK Lot 235, BEAUDESERT-BEENLEIGH RD WOLFFDENE QLD 4207</t>
  </si>
  <si>
    <t xml:space="preserve">ALBERTA PARK Lot 235 BEAUDESERT-BEENLEIG</t>
  </si>
  <si>
    <t xml:space="preserve">Alberta Park</t>
  </si>
  <si>
    <t xml:space="preserve">10910,11075,15495,15502</t>
  </si>
  <si>
    <t xml:space="preserve">31208360050</t>
  </si>
  <si>
    <t xml:space="preserve">A-C39C6395</t>
  </si>
  <si>
    <t xml:space="preserve">115054847</t>
  </si>
  <si>
    <t xml:space="preserve">271 Bushman Dr, Flagstone, QLD 4280</t>
  </si>
  <si>
    <t xml:space="preserve">271 Bushman Dr Flagstone QLD 4280</t>
  </si>
  <si>
    <t xml:space="preserve">10911,11076</t>
  </si>
  <si>
    <t xml:space="preserve">31208388652</t>
  </si>
  <si>
    <t xml:space="preserve">A-821C107A</t>
  </si>
  <si>
    <t xml:space="preserve">115720792</t>
  </si>
  <si>
    <t xml:space="preserve">32 Turill St, Shailer Park, QLD 4128</t>
  </si>
  <si>
    <t xml:space="preserve">32 Turill St Shailer Park QLD 4128</t>
  </si>
  <si>
    <t xml:space="preserve">Turill St Shailer Park</t>
  </si>
  <si>
    <t xml:space="preserve">10913,12301,13834,15405,15901</t>
  </si>
  <si>
    <t xml:space="preserve">115184578</t>
  </si>
  <si>
    <t xml:space="preserve">10914,11160,12756,12811,15233,15510</t>
  </si>
  <si>
    <t xml:space="preserve">31209485846</t>
  </si>
  <si>
    <t xml:space="preserve">A-4DB150AA</t>
  </si>
  <si>
    <t xml:space="preserve">115488558</t>
  </si>
  <si>
    <t xml:space="preserve">1 CUPANIA ST DAISY HILL QLD 4127</t>
  </si>
  <si>
    <t xml:space="preserve">Brough Place</t>
  </si>
  <si>
    <t xml:space="preserve">10915,11698,13674,13831,14439,15017</t>
  </si>
  <si>
    <t xml:space="preserve">QB087442386</t>
  </si>
  <si>
    <t xml:space="preserve">A-C1D0FE09</t>
  </si>
  <si>
    <t xml:space="preserve">115054950</t>
  </si>
  <si>
    <t xml:space="preserve">Loganlea Rd, Loganlea, QLD 4131</t>
  </si>
  <si>
    <t xml:space="preserve">Loganlea Rd Loganlea QLD 4131</t>
  </si>
  <si>
    <t xml:space="preserve">10916,10917,10918,11079,11672,15787,15846,15866,18841,18847,18861,19350,19366,19367</t>
  </si>
  <si>
    <t xml:space="preserve">QB090084384</t>
  </si>
  <si>
    <t xml:space="preserve">A-6A6D4FFF</t>
  </si>
  <si>
    <t xml:space="preserve">115054362</t>
  </si>
  <si>
    <t xml:space="preserve">Forestglen Park, 118 Browns Plains Rd, Browns Plains, QLD 4118</t>
  </si>
  <si>
    <t xml:space="preserve">Forestglen Park 118 Browns Plains Rd Bro</t>
  </si>
  <si>
    <t xml:space="preserve">Forestglen Park</t>
  </si>
  <si>
    <t xml:space="preserve">10919,11080,12736,12766</t>
  </si>
  <si>
    <t xml:space="preserve">QB094431185</t>
  </si>
  <si>
    <t xml:space="preserve">A-376C6943</t>
  </si>
  <si>
    <t xml:space="preserve">115054371</t>
  </si>
  <si>
    <t xml:space="preserve">SCOUTERS PARK 118 LYNDALE ST DAISY HILL QLD 4127</t>
  </si>
  <si>
    <t xml:space="preserve">SCOUTERS PARK 118 LYNDALE ST DAISY HILL</t>
  </si>
  <si>
    <t xml:space="preserve">Scouters Park</t>
  </si>
  <si>
    <t xml:space="preserve">10920,11081</t>
  </si>
  <si>
    <t xml:space="preserve">QB103902517</t>
  </si>
  <si>
    <t xml:space="preserve">A-F48464EF</t>
  </si>
  <si>
    <t xml:space="preserve">115054591</t>
  </si>
  <si>
    <t xml:space="preserve">Brushwood Park, Cedar Grove Rd, Cedar Grove, QLD 4285</t>
  </si>
  <si>
    <t xml:space="preserve">Brushwood Park Cedar Grove Rd Cedar Grov</t>
  </si>
  <si>
    <t xml:space="preserve">Brushwood Park</t>
  </si>
  <si>
    <t xml:space="preserve">10921,11082,11573,11589</t>
  </si>
  <si>
    <t xml:space="preserve">QB110983334</t>
  </si>
  <si>
    <t xml:space="preserve">A-D60A154F</t>
  </si>
  <si>
    <t xml:space="preserve">115054593</t>
  </si>
  <si>
    <t xml:space="preserve">BEDFORD PARK 229-239 229-239 RIVER HILLS RD EAGLEBY QLD 4207</t>
  </si>
  <si>
    <t xml:space="preserve">BEDFORD PARK 229-239 229-239 RIVER HILLS</t>
  </si>
  <si>
    <t xml:space="preserve">Bedford Park</t>
  </si>
  <si>
    <t xml:space="preserve">10923,11084,12033,12330</t>
  </si>
  <si>
    <t xml:space="preserve">121261857</t>
  </si>
  <si>
    <t xml:space="preserve">10924,15312</t>
  </si>
  <si>
    <t xml:space="preserve">121271193</t>
  </si>
  <si>
    <t xml:space="preserve">10925,12174</t>
  </si>
  <si>
    <t xml:space="preserve">121262392</t>
  </si>
  <si>
    <t xml:space="preserve">10926,15025</t>
  </si>
  <si>
    <t xml:space="preserve">121261919</t>
  </si>
  <si>
    <t xml:space="preserve">10928</t>
  </si>
  <si>
    <t xml:space="preserve">121262001</t>
  </si>
  <si>
    <t xml:space="preserve">10929</t>
  </si>
  <si>
    <t xml:space="preserve">121261927</t>
  </si>
  <si>
    <t xml:space="preserve">10932,11267</t>
  </si>
  <si>
    <t xml:space="preserve">121261930</t>
  </si>
  <si>
    <t xml:space="preserve">10933</t>
  </si>
  <si>
    <t xml:space="preserve">121262153</t>
  </si>
  <si>
    <t xml:space="preserve">10934,15473</t>
  </si>
  <si>
    <t xml:space="preserve">121261962</t>
  </si>
  <si>
    <t xml:space="preserve">10935</t>
  </si>
  <si>
    <t xml:space="preserve">121261697</t>
  </si>
  <si>
    <t xml:space="preserve">10936,15848</t>
  </si>
  <si>
    <t xml:space="preserve">121261687</t>
  </si>
  <si>
    <t xml:space="preserve">10937,12621</t>
  </si>
  <si>
    <t xml:space="preserve">121261706</t>
  </si>
  <si>
    <t xml:space="preserve">10938</t>
  </si>
  <si>
    <t xml:space="preserve">121261789</t>
  </si>
  <si>
    <t xml:space="preserve">10939,11694</t>
  </si>
  <si>
    <t xml:space="preserve">121261801</t>
  </si>
  <si>
    <t xml:space="preserve">10940,11274</t>
  </si>
  <si>
    <t xml:space="preserve">111111243</t>
  </si>
  <si>
    <t xml:space="preserve">10942,15517</t>
  </si>
  <si>
    <t xml:space="preserve">111115103</t>
  </si>
  <si>
    <t xml:space="preserve">10943</t>
  </si>
  <si>
    <t xml:space="preserve">111114959</t>
  </si>
  <si>
    <t xml:space="preserve">10946,13818</t>
  </si>
  <si>
    <t xml:space="preserve">111110575</t>
  </si>
  <si>
    <t xml:space="preserve">10949</t>
  </si>
  <si>
    <t xml:space="preserve">111119332</t>
  </si>
  <si>
    <t xml:space="preserve">10950,15514</t>
  </si>
  <si>
    <t xml:space="preserve">111116290</t>
  </si>
  <si>
    <t xml:space="preserve">10951,12824</t>
  </si>
  <si>
    <t xml:space="preserve">111121182</t>
  </si>
  <si>
    <t xml:space="preserve">10952</t>
  </si>
  <si>
    <t xml:space="preserve">111120233</t>
  </si>
  <si>
    <t xml:space="preserve">10953,15591</t>
  </si>
  <si>
    <t xml:space="preserve">110787795</t>
  </si>
  <si>
    <t xml:space="preserve">10954,12710</t>
  </si>
  <si>
    <t xml:space="preserve">111118201</t>
  </si>
  <si>
    <t xml:space="preserve">10956,13438</t>
  </si>
  <si>
    <t xml:space="preserve">111114682</t>
  </si>
  <si>
    <t xml:space="preserve">10957,15882</t>
  </si>
  <si>
    <t xml:space="preserve">111112088</t>
  </si>
  <si>
    <t xml:space="preserve">10958,13084</t>
  </si>
  <si>
    <t xml:space="preserve">111119669</t>
  </si>
  <si>
    <t xml:space="preserve">10959</t>
  </si>
  <si>
    <t xml:space="preserve">111119296</t>
  </si>
  <si>
    <t xml:space="preserve">10960,11408</t>
  </si>
  <si>
    <t xml:space="preserve">111113850</t>
  </si>
  <si>
    <t xml:space="preserve">10961,13133</t>
  </si>
  <si>
    <t xml:space="preserve">113102861</t>
  </si>
  <si>
    <t xml:space="preserve">10962,15175</t>
  </si>
  <si>
    <t xml:space="preserve">113103286</t>
  </si>
  <si>
    <t xml:space="preserve">10964</t>
  </si>
  <si>
    <t xml:space="preserve">113103062</t>
  </si>
  <si>
    <t xml:space="preserve">10967,13869</t>
  </si>
  <si>
    <t xml:space="preserve">113103148</t>
  </si>
  <si>
    <t xml:space="preserve">10970</t>
  </si>
  <si>
    <t xml:space="preserve">113103087</t>
  </si>
  <si>
    <t xml:space="preserve">10971,15406</t>
  </si>
  <si>
    <t xml:space="preserve">113843919</t>
  </si>
  <si>
    <t xml:space="preserve">10972,14688</t>
  </si>
  <si>
    <t xml:space="preserve">113103428</t>
  </si>
  <si>
    <t xml:space="preserve">10973</t>
  </si>
  <si>
    <t xml:space="preserve">113599885</t>
  </si>
  <si>
    <t xml:space="preserve">10974,15742</t>
  </si>
  <si>
    <t xml:space="preserve">113024579</t>
  </si>
  <si>
    <t xml:space="preserve">10975,12714</t>
  </si>
  <si>
    <t xml:space="preserve">113397963</t>
  </si>
  <si>
    <t xml:space="preserve">10977,13533</t>
  </si>
  <si>
    <t xml:space="preserve">113103021</t>
  </si>
  <si>
    <t xml:space="preserve">10978,15853</t>
  </si>
  <si>
    <t xml:space="preserve">113103022</t>
  </si>
  <si>
    <t xml:space="preserve">10980,12211</t>
  </si>
  <si>
    <t xml:space="preserve">113103023</t>
  </si>
  <si>
    <t xml:space="preserve">10981</t>
  </si>
  <si>
    <t xml:space="preserve">113103102</t>
  </si>
  <si>
    <t xml:space="preserve">10983,11250</t>
  </si>
  <si>
    <t xml:space="preserve">113103105</t>
  </si>
  <si>
    <t xml:space="preserve">10984,12212</t>
  </si>
  <si>
    <t xml:space="preserve">117114740</t>
  </si>
  <si>
    <t xml:space="preserve">11050,11405</t>
  </si>
  <si>
    <t xml:space="preserve">117114133</t>
  </si>
  <si>
    <t xml:space="preserve">11051,15323</t>
  </si>
  <si>
    <t xml:space="preserve">117115079</t>
  </si>
  <si>
    <t xml:space="preserve">11052,15009</t>
  </si>
  <si>
    <t xml:space="preserve">117114645</t>
  </si>
  <si>
    <t xml:space="preserve">11054</t>
  </si>
  <si>
    <t xml:space="preserve">117114924</t>
  </si>
  <si>
    <t xml:space="preserve">11055,14501</t>
  </si>
  <si>
    <t xml:space="preserve">117114922</t>
  </si>
  <si>
    <t xml:space="preserve">11056,11145</t>
  </si>
  <si>
    <t xml:space="preserve">117114905</t>
  </si>
  <si>
    <t xml:space="preserve">11057</t>
  </si>
  <si>
    <t xml:space="preserve">117114962</t>
  </si>
  <si>
    <t xml:space="preserve">11058,15485</t>
  </si>
  <si>
    <t xml:space="preserve">117115195</t>
  </si>
  <si>
    <t xml:space="preserve">11059</t>
  </si>
  <si>
    <t xml:space="preserve">117114689</t>
  </si>
  <si>
    <t xml:space="preserve">11060,15739</t>
  </si>
  <si>
    <t xml:space="preserve">117256614</t>
  </si>
  <si>
    <t xml:space="preserve">11061,13194</t>
  </si>
  <si>
    <t xml:space="preserve">117114690</t>
  </si>
  <si>
    <t xml:space="preserve">11062</t>
  </si>
  <si>
    <t xml:space="preserve">117114216</t>
  </si>
  <si>
    <t xml:space="preserve">11063,11785</t>
  </si>
  <si>
    <t xml:space="preserve">117114225</t>
  </si>
  <si>
    <t xml:space="preserve">11064,11584</t>
  </si>
  <si>
    <t xml:space="preserve">120072720</t>
  </si>
  <si>
    <t xml:space="preserve">11107,15237</t>
  </si>
  <si>
    <t xml:space="preserve">117771064</t>
  </si>
  <si>
    <t xml:space="preserve">11108,15366</t>
  </si>
  <si>
    <t xml:space="preserve">117253469</t>
  </si>
  <si>
    <t xml:space="preserve">11109,12808</t>
  </si>
  <si>
    <t xml:space="preserve">117460457</t>
  </si>
  <si>
    <t xml:space="preserve">11111,13817</t>
  </si>
  <si>
    <t xml:space="preserve">114969365</t>
  </si>
  <si>
    <t xml:space="preserve">11115,12871,13826</t>
  </si>
  <si>
    <t xml:space="preserve">117400480</t>
  </si>
  <si>
    <t xml:space="preserve">11163,14387,14497</t>
  </si>
  <si>
    <t xml:space="preserve">111119157</t>
  </si>
  <si>
    <t xml:space="preserve">11165,14696</t>
  </si>
  <si>
    <t xml:space="preserve">113615704</t>
  </si>
  <si>
    <t xml:space="preserve">11166,15238</t>
  </si>
  <si>
    <t xml:space="preserve">121727394</t>
  </si>
  <si>
    <t xml:space="preserve">11225,14178,14437,14580,15133,15465</t>
  </si>
  <si>
    <t xml:space="preserve">115404296</t>
  </si>
  <si>
    <t xml:space="preserve">11227,11316,13835,15142,15610,15773</t>
  </si>
  <si>
    <t xml:space="preserve">123265908</t>
  </si>
  <si>
    <t xml:space="preserve">11240,11307</t>
  </si>
  <si>
    <t xml:space="preserve">121261946</t>
  </si>
  <si>
    <t xml:space="preserve">11251,11982</t>
  </si>
  <si>
    <t xml:space="preserve">122191285</t>
  </si>
  <si>
    <t xml:space="preserve">11269,12665,12734,13506</t>
  </si>
  <si>
    <t xml:space="preserve">123265973</t>
  </si>
  <si>
    <t xml:space="preserve">11281,12456</t>
  </si>
  <si>
    <t xml:space="preserve">123265690</t>
  </si>
  <si>
    <t xml:space="preserve">11282,15326</t>
  </si>
  <si>
    <t xml:space="preserve">123266353</t>
  </si>
  <si>
    <t xml:space="preserve">11283,15082</t>
  </si>
  <si>
    <t xml:space="preserve">123265907</t>
  </si>
  <si>
    <t xml:space="preserve">11305,13111</t>
  </si>
  <si>
    <t xml:space="preserve">123266133</t>
  </si>
  <si>
    <t xml:space="preserve">11306,15844</t>
  </si>
  <si>
    <t xml:space="preserve">123265920</t>
  </si>
  <si>
    <t xml:space="preserve">11308</t>
  </si>
  <si>
    <t xml:space="preserve">123266157</t>
  </si>
  <si>
    <t xml:space="preserve">11309,15499</t>
  </si>
  <si>
    <t xml:space="preserve">123266115</t>
  </si>
  <si>
    <t xml:space="preserve">11310</t>
  </si>
  <si>
    <t xml:space="preserve">123265250</t>
  </si>
  <si>
    <t xml:space="preserve">11311</t>
  </si>
  <si>
    <t xml:space="preserve">123265245</t>
  </si>
  <si>
    <t xml:space="preserve">11312,13279</t>
  </si>
  <si>
    <t xml:space="preserve">123265249</t>
  </si>
  <si>
    <t xml:space="preserve">11313</t>
  </si>
  <si>
    <t xml:space="preserve">123265182</t>
  </si>
  <si>
    <t xml:space="preserve">11314,12273</t>
  </si>
  <si>
    <t xml:space="preserve">123265171</t>
  </si>
  <si>
    <t xml:space="preserve">11315,12030</t>
  </si>
  <si>
    <t xml:space="preserve">121699694</t>
  </si>
  <si>
    <t xml:space="preserve">11415,12217,14177,14334,14436,15093</t>
  </si>
  <si>
    <t xml:space="preserve">117114632</t>
  </si>
  <si>
    <t xml:space="preserve">11574,12112</t>
  </si>
  <si>
    <t xml:space="preserve">31207423681</t>
  </si>
  <si>
    <t xml:space="preserve">A-A244968D</t>
  </si>
  <si>
    <t xml:space="preserve">111125755</t>
  </si>
  <si>
    <t xml:space="preserve">Tbs, 32 Logan St, Logan Village, QLD 4207</t>
  </si>
  <si>
    <t xml:space="preserve">Tbs 32 Logan St Logan Village QLD 4207</t>
  </si>
  <si>
    <t xml:space="preserve">11593,11990</t>
  </si>
  <si>
    <t xml:space="preserve">121271366</t>
  </si>
  <si>
    <t xml:space="preserve">11596,11979</t>
  </si>
  <si>
    <t xml:space="preserve">113103082</t>
  </si>
  <si>
    <t xml:space="preserve">11693,12007</t>
  </si>
  <si>
    <t xml:space="preserve">117115176</t>
  </si>
  <si>
    <t xml:space="preserve">11793,12116</t>
  </si>
  <si>
    <t xml:space="preserve">31206463904</t>
  </si>
  <si>
    <t xml:space="preserve">A-864DB654</t>
  </si>
  <si>
    <t xml:space="preserve">117783160</t>
  </si>
  <si>
    <t xml:space="preserve">PARK BBQ Lot 21, CHAMBERS RIDGE BVD PARK RIDGE QLD 4125</t>
  </si>
  <si>
    <t xml:space="preserve">PARK BBQ Lot 21 CHAMBERS RIDGE BVD PARK</t>
  </si>
  <si>
    <t xml:space="preserve">Chambers Ridge Bvd Park</t>
  </si>
  <si>
    <t xml:space="preserve">11966</t>
  </si>
  <si>
    <t xml:space="preserve">31207826316</t>
  </si>
  <si>
    <t xml:space="preserve">A-F1C230B2</t>
  </si>
  <si>
    <t xml:space="preserve">117894866</t>
  </si>
  <si>
    <t xml:space="preserve">Sequana Central Park, 2 Josh St, Logan Reserve, QLD 4133</t>
  </si>
  <si>
    <t xml:space="preserve">Sequana Central Park 2 Josh St Logan Res</t>
  </si>
  <si>
    <t xml:space="preserve">Sequana Central Park</t>
  </si>
  <si>
    <t xml:space="preserve">11967,14861</t>
  </si>
  <si>
    <t xml:space="preserve">31208658583</t>
  </si>
  <si>
    <t xml:space="preserve">A-BAADEAE2</t>
  </si>
  <si>
    <t xml:space="preserve">117811740</t>
  </si>
  <si>
    <t xml:space="preserve">Lot 90301, College Dr, Flagstone, QLD 4280</t>
  </si>
  <si>
    <t xml:space="preserve">Lot 90301 College Dr Flagstone QLD 4280</t>
  </si>
  <si>
    <t xml:space="preserve">11968,13761</t>
  </si>
  <si>
    <t xml:space="preserve">31208807059</t>
  </si>
  <si>
    <t xml:space="preserve">A-C1436247</t>
  </si>
  <si>
    <t xml:space="preserve">117811746</t>
  </si>
  <si>
    <t xml:space="preserve">PARK CANX L911 SP303089 2 VESPAR RD FLAGSTONE QLD 4280</t>
  </si>
  <si>
    <t xml:space="preserve">PARK CANX L911 SP303089 2 VESPAR RD FLAG</t>
  </si>
  <si>
    <t xml:space="preserve">11969,13944</t>
  </si>
  <si>
    <t xml:space="preserve">31209099598</t>
  </si>
  <si>
    <t xml:space="preserve">A-126FCC3E</t>
  </si>
  <si>
    <t xml:space="preserve">118253301</t>
  </si>
  <si>
    <t xml:space="preserve">LEAF PARK 89 KESSELS BVD GREENBANK QLD 4124</t>
  </si>
  <si>
    <t xml:space="preserve">LEAF PARK 89 KESSELS BVD GREENBANK QLD 4</t>
  </si>
  <si>
    <t xml:space="preserve">Leaf Park</t>
  </si>
  <si>
    <t xml:space="preserve">11970</t>
  </si>
  <si>
    <t xml:space="preserve">31203734850</t>
  </si>
  <si>
    <t xml:space="preserve">A-31EFAF4E</t>
  </si>
  <si>
    <t xml:space="preserve">115054936</t>
  </si>
  <si>
    <t xml:space="preserve">34 FAIRBAIRN ST MARSDEN QLD 4132</t>
  </si>
  <si>
    <t xml:space="preserve">Brandon Park</t>
  </si>
  <si>
    <t xml:space="preserve">11972,12124,13776,13789</t>
  </si>
  <si>
    <t xml:space="preserve">31206791775</t>
  </si>
  <si>
    <t xml:space="preserve">A-EF08E9E4</t>
  </si>
  <si>
    <t xml:space="preserve">115054883</t>
  </si>
  <si>
    <t xml:space="preserve">ERIDANI PARK BBQ 21-31 21-31 ERIDANI AVE KINGSTON QLD 4114</t>
  </si>
  <si>
    <t xml:space="preserve">ERIDANI PARK BBQ 21-31 21-31 ERIDANI AVE</t>
  </si>
  <si>
    <t xml:space="preserve">Eridani Park</t>
  </si>
  <si>
    <t xml:space="preserve">11973,12125</t>
  </si>
  <si>
    <t xml:space="preserve">115054901</t>
  </si>
  <si>
    <t xml:space="preserve">11975,12127,12189,12206</t>
  </si>
  <si>
    <t xml:space="preserve">31207690192</t>
  </si>
  <si>
    <t xml:space="preserve">A-FE646D8C</t>
  </si>
  <si>
    <t xml:space="preserve">115054902</t>
  </si>
  <si>
    <t xml:space="preserve">Public Toilet Block, 143 Meakin Rd, Slacks Creek, QLD 4127</t>
  </si>
  <si>
    <t xml:space="preserve">Public Toilet Block 143 Meakin Rd Slacks</t>
  </si>
  <si>
    <t xml:space="preserve">11976,12128,14672,14694</t>
  </si>
  <si>
    <t xml:space="preserve">121271267</t>
  </si>
  <si>
    <t xml:space="preserve">11980,13787</t>
  </si>
  <si>
    <t xml:space="preserve">121262058</t>
  </si>
  <si>
    <t xml:space="preserve">11981,14966</t>
  </si>
  <si>
    <t xml:space="preserve">121262082</t>
  </si>
  <si>
    <t xml:space="preserve">11983,12459</t>
  </si>
  <si>
    <t xml:space="preserve">121271197</t>
  </si>
  <si>
    <t xml:space="preserve">11984,14754</t>
  </si>
  <si>
    <t xml:space="preserve">121262148</t>
  </si>
  <si>
    <t xml:space="preserve">11985,15453</t>
  </si>
  <si>
    <t xml:space="preserve">111124930</t>
  </si>
  <si>
    <t xml:space="preserve">11986,13706</t>
  </si>
  <si>
    <t xml:space="preserve">111123947</t>
  </si>
  <si>
    <t xml:space="preserve">11987</t>
  </si>
  <si>
    <t xml:space="preserve">111119621</t>
  </si>
  <si>
    <t xml:space="preserve">11988</t>
  </si>
  <si>
    <t xml:space="preserve">111115670</t>
  </si>
  <si>
    <t xml:space="preserve">11991,14571</t>
  </si>
  <si>
    <t xml:space="preserve">111118352</t>
  </si>
  <si>
    <t xml:space="preserve">11992,14895</t>
  </si>
  <si>
    <t xml:space="preserve">111125206</t>
  </si>
  <si>
    <t xml:space="preserve">11993,15852</t>
  </si>
  <si>
    <t xml:space="preserve">111115377</t>
  </si>
  <si>
    <t xml:space="preserve">11994</t>
  </si>
  <si>
    <t xml:space="preserve">113103139</t>
  </si>
  <si>
    <t xml:space="preserve">11996,13782</t>
  </si>
  <si>
    <t xml:space="preserve">113776102</t>
  </si>
  <si>
    <t xml:space="preserve">12004</t>
  </si>
  <si>
    <t xml:space="preserve">113103066</t>
  </si>
  <si>
    <t xml:space="preserve">12005</t>
  </si>
  <si>
    <t xml:space="preserve">113103089</t>
  </si>
  <si>
    <t xml:space="preserve">12008,14609</t>
  </si>
  <si>
    <t xml:space="preserve">113843720</t>
  </si>
  <si>
    <t xml:space="preserve">12009,14874</t>
  </si>
  <si>
    <t xml:space="preserve">113103085</t>
  </si>
  <si>
    <t xml:space="preserve">12010,15176</t>
  </si>
  <si>
    <t xml:space="preserve">114157760</t>
  </si>
  <si>
    <t xml:space="preserve">12011</t>
  </si>
  <si>
    <t xml:space="preserve">117114642</t>
  </si>
  <si>
    <t xml:space="preserve">12113,13825</t>
  </si>
  <si>
    <t xml:space="preserve">117114938</t>
  </si>
  <si>
    <t xml:space="preserve">12114,15886</t>
  </si>
  <si>
    <t xml:space="preserve">117114956</t>
  </si>
  <si>
    <t xml:space="preserve">12117,12347</t>
  </si>
  <si>
    <t xml:space="preserve">117114960</t>
  </si>
  <si>
    <t xml:space="preserve">12118,14744</t>
  </si>
  <si>
    <t xml:space="preserve">117114965</t>
  </si>
  <si>
    <t xml:space="preserve">12119,15841</t>
  </si>
  <si>
    <t xml:space="preserve">119994518</t>
  </si>
  <si>
    <t xml:space="preserve">12131</t>
  </si>
  <si>
    <t xml:space="preserve">120072634</t>
  </si>
  <si>
    <t xml:space="preserve">12132,14795</t>
  </si>
  <si>
    <t xml:space="preserve">120008470</t>
  </si>
  <si>
    <t xml:space="preserve">12133,13909</t>
  </si>
  <si>
    <t xml:space="preserve">120008472</t>
  </si>
  <si>
    <t xml:space="preserve">12135,14129</t>
  </si>
  <si>
    <t xml:space="preserve">120398190</t>
  </si>
  <si>
    <t xml:space="preserve">12136</t>
  </si>
  <si>
    <t xml:space="preserve">121981426</t>
  </si>
  <si>
    <t xml:space="preserve">12155,13632,15533,15740</t>
  </si>
  <si>
    <t xml:space="preserve">122016774</t>
  </si>
  <si>
    <t xml:space="preserve">12216,13833</t>
  </si>
  <si>
    <t xml:space="preserve">123266105</t>
  </si>
  <si>
    <t xml:space="preserve">12254,12311</t>
  </si>
  <si>
    <t xml:space="preserve">123266001</t>
  </si>
  <si>
    <t xml:space="preserve">12304,12308</t>
  </si>
  <si>
    <t xml:space="preserve">123265970</t>
  </si>
  <si>
    <t xml:space="preserve">12309,13945</t>
  </si>
  <si>
    <t xml:space="preserve">123266140</t>
  </si>
  <si>
    <t xml:space="preserve">12310,15018</t>
  </si>
  <si>
    <t xml:space="preserve">123266145</t>
  </si>
  <si>
    <t xml:space="preserve">12312,12760</t>
  </si>
  <si>
    <t xml:space="preserve">123266150</t>
  </si>
  <si>
    <t xml:space="preserve">12313,14858</t>
  </si>
  <si>
    <t xml:space="preserve">123266149</t>
  </si>
  <si>
    <t xml:space="preserve">12314</t>
  </si>
  <si>
    <t xml:space="preserve">122192108</t>
  </si>
  <si>
    <t xml:space="preserve">12668,13507,15509,15635</t>
  </si>
  <si>
    <t xml:space="preserve">115911469</t>
  </si>
  <si>
    <t xml:space="preserve">12751,13510,15718,15877</t>
  </si>
  <si>
    <t xml:space="preserve">122179680</t>
  </si>
  <si>
    <t xml:space="preserve">13129,13928</t>
  </si>
  <si>
    <t xml:space="preserve">122209268</t>
  </si>
  <si>
    <t xml:space="preserve">13130,13929,14358,14710</t>
  </si>
  <si>
    <t xml:space="preserve">122209267</t>
  </si>
  <si>
    <t xml:space="preserve">13131,13931,14583,14982</t>
  </si>
  <si>
    <t xml:space="preserve">122190808</t>
  </si>
  <si>
    <t xml:space="preserve">13189,13806,14942,15311</t>
  </si>
  <si>
    <t xml:space="preserve">115918124</t>
  </si>
  <si>
    <t xml:space="preserve">13190,13932</t>
  </si>
  <si>
    <t xml:space="preserve">115782322</t>
  </si>
  <si>
    <t xml:space="preserve">13191,13934,14238,14628</t>
  </si>
  <si>
    <t xml:space="preserve">115782328</t>
  </si>
  <si>
    <t xml:space="preserve">13192,13935,14489,14663</t>
  </si>
  <si>
    <t xml:space="preserve">115910574</t>
  </si>
  <si>
    <t xml:space="preserve">13271,13807,15155,15364</t>
  </si>
  <si>
    <t xml:space="preserve">122569945</t>
  </si>
  <si>
    <t xml:space="preserve">13332,13645</t>
  </si>
  <si>
    <t xml:space="preserve">116256250</t>
  </si>
  <si>
    <t xml:space="preserve">13333,13710</t>
  </si>
  <si>
    <t xml:space="preserve">112927465</t>
  </si>
  <si>
    <t xml:space="preserve">13740,14596,14976,15143,15620,15741</t>
  </si>
  <si>
    <t xml:space="preserve">114108185</t>
  </si>
  <si>
    <t xml:space="preserve">14188,14595</t>
  </si>
  <si>
    <t xml:space="preserve">Groups tied</t>
  </si>
  <si>
    <t xml:space="preserve">Register total on the six statements ties Recon J</t>
  </si>
  <si>
    <t xml:space="preserve">Sub-account</t>
  </si>
  <si>
    <t xml:space="preserve">Invoice number</t>
  </si>
  <si>
    <t xml:space="preserve">Supply address</t>
  </si>
  <si>
    <t xml:space="preserve">Charges incl GST</t>
  </si>
  <si>
    <t xml:space="preserve">On the PS/WP register</t>
  </si>
  <si>
    <t xml:space="preserve">Y</t>
  </si>
  <si>
    <t xml:space="preserve">A-E6FDD8C5</t>
  </si>
  <si>
    <t xml:space="preserve">106886921</t>
  </si>
  <si>
    <t xml:space="preserve">PUMP 32 DEWAR DR LOGANHOLME QLD 4129</t>
  </si>
  <si>
    <t xml:space="preserve">N</t>
  </si>
  <si>
    <t xml:space="preserve">A-8C7776B5</t>
  </si>
  <si>
    <t xml:space="preserve">107094899</t>
  </si>
  <si>
    <t xml:space="preserve">Beenleigh Cemetery, 31 River Hills Rd, Eagleby, QLD 4207</t>
  </si>
  <si>
    <t xml:space="preserve">A-2095B5D6</t>
  </si>
  <si>
    <t xml:space="preserve">107201125</t>
  </si>
  <si>
    <t xml:space="preserve">SEWERAGE PUMP STATION 11 TAMBORINE ST LOGANHOLME QLD 4129</t>
  </si>
  <si>
    <t xml:space="preserve">A-F47A273C</t>
  </si>
  <si>
    <t xml:space="preserve">107216799</t>
  </si>
  <si>
    <t xml:space="preserve">51 TREVALLYAN DR DAISY HILL QLD 4127</t>
  </si>
  <si>
    <t xml:space="preserve">A-038399B4</t>
  </si>
  <si>
    <t xml:space="preserve">107227406</t>
  </si>
  <si>
    <t xml:space="preserve">395 SPRINGWOOD RD SPRINGWOOD QLD 4127</t>
  </si>
  <si>
    <t xml:space="preserve">A-7642A1A2</t>
  </si>
  <si>
    <t xml:space="preserve">107230771</t>
  </si>
  <si>
    <t xml:space="preserve">18 Tygum Rd, Waterford West, QLD 4133</t>
  </si>
  <si>
    <t xml:space="preserve">A-22C49A96</t>
  </si>
  <si>
    <t xml:space="preserve">107231427</t>
  </si>
  <si>
    <t xml:space="preserve">91 BUROW RD WATERFORD WEST QLD 4133</t>
  </si>
  <si>
    <t xml:space="preserve">A-890D06EF</t>
  </si>
  <si>
    <t xml:space="preserve">107289501</t>
  </si>
  <si>
    <t xml:space="preserve">SEWERAGE PUMP STATION 18 BELLFINCH RD EAGLEBY QLD 4207</t>
  </si>
  <si>
    <t xml:space="preserve">A-1A11787F</t>
  </si>
  <si>
    <t xml:space="preserve">107401056</t>
  </si>
  <si>
    <t xml:space="preserve">7 Danyenah St, Loganholme, QLD 4129</t>
  </si>
  <si>
    <t xml:space="preserve">A-76424319</t>
  </si>
  <si>
    <t xml:space="preserve">107401989</t>
  </si>
  <si>
    <t xml:space="preserve">Sewerage Pump Station, 17 Wren St, Eagleby, QLD 4207</t>
  </si>
  <si>
    <t xml:space="preserve">A-1CAFA4D6</t>
  </si>
  <si>
    <t xml:space="preserve">107413126</t>
  </si>
  <si>
    <t xml:space="preserve">Council Lighting, 3 Ceduna St, Loganholme, QLD 4129</t>
  </si>
  <si>
    <t xml:space="preserve">A-B84074C5</t>
  </si>
  <si>
    <t xml:space="preserve">107422873</t>
  </si>
  <si>
    <t xml:space="preserve">8 BUSHMAN DR FLAGSTONE QLD 4280</t>
  </si>
  <si>
    <t xml:space="preserve">A-2E4B9D78</t>
  </si>
  <si>
    <t xml:space="preserve">107481993</t>
  </si>
  <si>
    <t xml:space="preserve">+00792104978178&gt; +009241+ &lt;0000000000&gt; &lt;0000000000&gt; +444+ Office Block, 1801 Mount Cotton Rd, Cornubia, QLD 4130</t>
  </si>
  <si>
    <t xml:space="preserve">A-2165A0FD</t>
  </si>
  <si>
    <t xml:space="preserve">107505275</t>
  </si>
  <si>
    <t xml:space="preserve">80B HANLON ST TANAH MERAH QLD 4128</t>
  </si>
  <si>
    <t xml:space="preserve">A-1529A5B7</t>
  </si>
  <si>
    <t xml:space="preserve">107536864</t>
  </si>
  <si>
    <t xml:space="preserve">ACACIA PARK 2 FERN ST BROWNS PLAINS QLD 4118</t>
  </si>
  <si>
    <t xml:space="preserve">A-3920279A</t>
  </si>
  <si>
    <t xml:space="preserve">107546290</t>
  </si>
  <si>
    <t xml:space="preserve">BRYANTS RD LOGANHOLME QLD 4129</t>
  </si>
  <si>
    <t xml:space="preserve">A-FAA57F34</t>
  </si>
  <si>
    <t xml:space="preserve">107559546</t>
  </si>
  <si>
    <t xml:space="preserve">SEWERAGE PUMP 1 CITY RD BEENLEIGH QLD 4207</t>
  </si>
  <si>
    <t xml:space="preserve">A-4F8E7565</t>
  </si>
  <si>
    <t xml:space="preserve">107586136</t>
  </si>
  <si>
    <t xml:space="preserve">5 Garfield Rd, Woodridge, QLD 4114</t>
  </si>
  <si>
    <t xml:space="preserve">A-DF9ED620</t>
  </si>
  <si>
    <t xml:space="preserve">107606086</t>
  </si>
  <si>
    <t xml:space="preserve">Jacaranda Ridge Water Tower, 38 Rosemont Ct, Underwood, QLD 4119</t>
  </si>
  <si>
    <t xml:space="preserve">A-AA00D1E8</t>
  </si>
  <si>
    <t xml:space="preserve">107608139</t>
  </si>
  <si>
    <t xml:space="preserve">Unit 2, 10A Railway Pde, Logan Central, QLD 4114</t>
  </si>
  <si>
    <t xml:space="preserve">A-47D5DB34</t>
  </si>
  <si>
    <t xml:space="preserve">107744388</t>
  </si>
  <si>
    <t xml:space="preserve">Pump, 50 Elm Ave, Woodridge, QLD 4114</t>
  </si>
  <si>
    <t xml:space="preserve">A-6FBC8DBB</t>
  </si>
  <si>
    <t xml:space="preserve">107764221</t>
  </si>
  <si>
    <t xml:space="preserve">83 PACIFIC HWY TANAH MERAH QLD 4128</t>
  </si>
  <si>
    <t xml:space="preserve">A-A027D930</t>
  </si>
  <si>
    <t xml:space="preserve">107864795</t>
  </si>
  <si>
    <t xml:space="preserve">OLD WATER TOWERS 22B PATRICIA AVE WOODRIDGE QLD 4114</t>
  </si>
  <si>
    <t xml:space="preserve">A-0046B23A</t>
  </si>
  <si>
    <t xml:space="preserve">107872786</t>
  </si>
  <si>
    <t xml:space="preserve">Beenleigh Transfer Station, Lot 1 Beaudesert-Beenleigh Rd, Beenleigh, QLD 4207</t>
  </si>
  <si>
    <t xml:space="preserve">A-28A61E12</t>
  </si>
  <si>
    <t xml:space="preserve">107886563</t>
  </si>
  <si>
    <t xml:space="preserve">SARATOGA PARK. G.C.C.C. 33A YAN YEAN ST BEENLEIGH QLD 4207</t>
  </si>
  <si>
    <t xml:space="preserve">A-714C5B85</t>
  </si>
  <si>
    <t xml:space="preserve">107886577</t>
  </si>
  <si>
    <t xml:space="preserve">SEWERAGE PUMP STATION BE 46 ALBERT VALLEY DR BAHRS SCRUB QLD 4207</t>
  </si>
  <si>
    <t xml:space="preserve">A-F153F2CF</t>
  </si>
  <si>
    <t xml:space="preserve">107993129</t>
  </si>
  <si>
    <t xml:space="preserve">Koplick Rd, Chambers Flat, QLD 4133</t>
  </si>
  <si>
    <t xml:space="preserve">A-9C2F908F</t>
  </si>
  <si>
    <t xml:space="preserve">108159997</t>
  </si>
  <si>
    <t xml:space="preserve">Sewerage Pump Station Be37, 32A Stoten St, Eagleby, QLD 4207</t>
  </si>
  <si>
    <t xml:space="preserve">A-27C24005</t>
  </si>
  <si>
    <t xml:space="preserve">108196424</t>
  </si>
  <si>
    <t xml:space="preserve">SEWERAGE PUMP STATION FRYAR RD EAGLEBY QLD 4207</t>
  </si>
  <si>
    <t xml:space="preserve">A-2C6F5E1E</t>
  </si>
  <si>
    <t xml:space="preserve">108322800</t>
  </si>
  <si>
    <t xml:space="preserve">296 River Hills Rd, Eagleby, QLD 4207</t>
  </si>
  <si>
    <t xml:space="preserve">A-17ABD228</t>
  </si>
  <si>
    <t xml:space="preserve">108356929</t>
  </si>
  <si>
    <t xml:space="preserve">SPS116 51 EMERSON RD BANNOCKBURN QLD 4207</t>
  </si>
  <si>
    <t xml:space="preserve">A-541A8F03</t>
  </si>
  <si>
    <t xml:space="preserve">108357616</t>
  </si>
  <si>
    <t xml:space="preserve">Water Flow Meter Outside, 18 Monash Rd, Loganlea, QLD 4131</t>
  </si>
  <si>
    <t xml:space="preserve">A-767EA4D0</t>
  </si>
  <si>
    <t xml:space="preserve">108360619</t>
  </si>
  <si>
    <t xml:space="preserve">11A Melrose Pl, Eagleby, QLD 4207</t>
  </si>
  <si>
    <t xml:space="preserve">A-0CB89FDE</t>
  </si>
  <si>
    <t xml:space="preserve">108490039</t>
  </si>
  <si>
    <t xml:space="preserve">PUMP STATION 1-9 1-9 MALLARD CL EAGLEBY QLD 4207</t>
  </si>
  <si>
    <t xml:space="preserve">A-428B8B71</t>
  </si>
  <si>
    <t xml:space="preserve">108523154</t>
  </si>
  <si>
    <t xml:space="preserve">Unit 2, Logan Village Library, 36 Wharf St, Logan Village, QLD 4207</t>
  </si>
  <si>
    <t xml:space="preserve">A-07860B7B</t>
  </si>
  <si>
    <t xml:space="preserve">108593283</t>
  </si>
  <si>
    <t xml:space="preserve">SEWERAGE PUMP STN. Lot 901, TOWNS AVE LOGAN VILLAGE QLD 4207</t>
  </si>
  <si>
    <t xml:space="preserve">A-2D82BF7C</t>
  </si>
  <si>
    <t xml:space="preserve">108770019</t>
  </si>
  <si>
    <t xml:space="preserve">COMMON AREA LIGHT. PENSION UNI 19 NERIDA ST ROCHEDALE SOUTH QLD 4123</t>
  </si>
  <si>
    <t xml:space="preserve">A-641F2EE6</t>
  </si>
  <si>
    <t xml:space="preserve">108992492</t>
  </si>
  <si>
    <t xml:space="preserve">659A PRIESTDALE RD ROCHEDALE SOUTH QLD 4123</t>
  </si>
  <si>
    <t xml:space="preserve">A-2C34FC9A</t>
  </si>
  <si>
    <t xml:space="preserve">110935498</t>
  </si>
  <si>
    <t xml:space="preserve">Pump Station, 36 Reine Ave, Jimboomba, QLD 4280</t>
  </si>
  <si>
    <t xml:space="preserve">A-1A3D03F1</t>
  </si>
  <si>
    <t xml:space="preserve">111063727</t>
  </si>
  <si>
    <t xml:space="preserve">Interpretive Centre, 370 Browns Plains Rd, Berrinba, QLD 4117</t>
  </si>
  <si>
    <t xml:space="preserve">A-2DA00051</t>
  </si>
  <si>
    <t xml:space="preserve">111075759</t>
  </si>
  <si>
    <t xml:space="preserve">PUMP STATION 95 MANNING ST JIMBOOMBA QLD 4280</t>
  </si>
  <si>
    <t xml:space="preserve">A-13EAF38A</t>
  </si>
  <si>
    <t xml:space="preserve">111077814</t>
  </si>
  <si>
    <t xml:space="preserve">PATHWAY LIGHTING 1568 WATERFORD TAMBORINE RD YARRABILBA QLD 4207</t>
  </si>
  <si>
    <t xml:space="preserve">A-CFD76A4C</t>
  </si>
  <si>
    <t xml:space="preserve">111080882</t>
  </si>
  <si>
    <t xml:space="preserve">Sewerage Pumping Station, 1 Scrubby Creek Rd, Browns Plains, QLD 4118</t>
  </si>
  <si>
    <t xml:space="preserve">111089340</t>
  </si>
  <si>
    <t xml:space="preserve">A-CE367E9A</t>
  </si>
  <si>
    <t xml:space="preserve">111089353</t>
  </si>
  <si>
    <t xml:space="preserve">Off Wayne Goss Dr Wetlands Pk, 370 Browns Plains Rd, Berrinba, QLD 4117</t>
  </si>
  <si>
    <t xml:space="preserve">111095635</t>
  </si>
  <si>
    <t xml:space="preserve">A-8CF06D10</t>
  </si>
  <si>
    <t xml:space="preserve">111095674</t>
  </si>
  <si>
    <t xml:space="preserve">63 Anders St, Jimboomba, QLD 4280</t>
  </si>
  <si>
    <t xml:space="preserve">A-9B80D8EA</t>
  </si>
  <si>
    <t xml:space="preserve">111110237</t>
  </si>
  <si>
    <t xml:space="preserve">No 1 Pump Station, Lot 1 Albert St, Logan Village, QLD 4207</t>
  </si>
  <si>
    <t xml:space="preserve">A-A672EFD1</t>
  </si>
  <si>
    <t xml:space="preserve">111110313</t>
  </si>
  <si>
    <t xml:space="preserve">SEWERAGE PUMPING STATION 3 TURQUOISE ST BETHANIA QLD 4205</t>
  </si>
  <si>
    <t xml:space="preserve">A-13B6A0D4</t>
  </si>
  <si>
    <t xml:space="preserve">111110642</t>
  </si>
  <si>
    <t xml:space="preserve">SHOP 1 SOHO 1 96 YORK ST BEENLEIGH QLD 4207</t>
  </si>
  <si>
    <t xml:space="preserve">A-9890150B</t>
  </si>
  <si>
    <t xml:space="preserve">111110643</t>
  </si>
  <si>
    <t xml:space="preserve">MEALS ON WHEELS 956-1028 956-1028 UNDERWOOD RD PRIESTDALE QLD 4127</t>
  </si>
  <si>
    <t xml:space="preserve">A-8D3598D9</t>
  </si>
  <si>
    <t xml:space="preserve">111110669</t>
  </si>
  <si>
    <t xml:space="preserve">PUMP STATION Lot 7000, BLOOMFIELD ESP SOUTH MACLEAN QLD 4280</t>
  </si>
  <si>
    <t xml:space="preserve">A-9FEE00C8</t>
  </si>
  <si>
    <t xml:space="preserve">111110965</t>
  </si>
  <si>
    <t xml:space="preserve">Reserve Park Lighting, 2 Gunungai Dr, Slacks Creek, QLD 4127</t>
  </si>
  <si>
    <t xml:space="preserve">A-32C63BBD</t>
  </si>
  <si>
    <t xml:space="preserve">111110995</t>
  </si>
  <si>
    <t xml:space="preserve">55 RANDWICK AVE LOGAN RESERVE QLD 4133</t>
  </si>
  <si>
    <t xml:space="preserve">A-BE4157E8</t>
  </si>
  <si>
    <t xml:space="preserve">111111040</t>
  </si>
  <si>
    <t xml:space="preserve">PARK 38 AMBER CCT GREENBANK QLD 4124</t>
  </si>
  <si>
    <t xml:space="preserve">A-3A1455D8</t>
  </si>
  <si>
    <t xml:space="preserve">111111147</t>
  </si>
  <si>
    <t xml:space="preserve">OLIVER SPORTS COMPLEX 293 LOGAN ST EAGLEBY QLD 4207</t>
  </si>
  <si>
    <t xml:space="preserve">A-FA726D44</t>
  </si>
  <si>
    <t xml:space="preserve">111111151</t>
  </si>
  <si>
    <t xml:space="preserve">SEWERAGE PUMP STATION Lot 2, PEACOCK AVE BEENLEIGH QLD 4207</t>
  </si>
  <si>
    <t xml:space="preserve">A-B0FCCD85</t>
  </si>
  <si>
    <t xml:space="preserve">111111583</t>
  </si>
  <si>
    <t xml:space="preserve">177 Chambers Flat Rd, Marsden, QLD 4132</t>
  </si>
  <si>
    <t xml:space="preserve">A-9492DEA4</t>
  </si>
  <si>
    <t xml:space="preserve">111111958</t>
  </si>
  <si>
    <t xml:space="preserve">SEWER PUMP STATION 70 EVERGREEN AVE LOGANLEA QLD 4131</t>
  </si>
  <si>
    <t xml:space="preserve">A-B4EF4B72</t>
  </si>
  <si>
    <t xml:space="preserve">111112348</t>
  </si>
  <si>
    <t xml:space="preserve">PUMP STATION 246 THIRD AVE MARSDEN QLD 4132</t>
  </si>
  <si>
    <t xml:space="preserve">A-6053E8CD</t>
  </si>
  <si>
    <t xml:space="preserve">111112371</t>
  </si>
  <si>
    <t xml:space="preserve">PARK LIGHTING Lot 801, EVERLEIGH DR GREENBANK QLD 4124</t>
  </si>
  <si>
    <t xml:space="preserve">A-65B0A382</t>
  </si>
  <si>
    <t xml:space="preserve">111112382</t>
  </si>
  <si>
    <t xml:space="preserve">NO: 2 PUMP STATION CENTENARY PL LOGAN VILLAGE QLD 4207</t>
  </si>
  <si>
    <t xml:space="preserve">A-BFDB46C5</t>
  </si>
  <si>
    <t xml:space="preserve">111112728</t>
  </si>
  <si>
    <t xml:space="preserve">SEWERAGE PUMP 45A TREVALLYAN DR DAISY HILL QLD 4127</t>
  </si>
  <si>
    <t xml:space="preserve">A-A0EB568A</t>
  </si>
  <si>
    <t xml:space="preserve">111112788</t>
  </si>
  <si>
    <t xml:space="preserve">Sewerage Pump Station, Lot 1 Alamein St, Beenleigh, QLD 4207</t>
  </si>
  <si>
    <t xml:space="preserve">A-6BA12B98</t>
  </si>
  <si>
    <t xml:space="preserve">111112836</t>
  </si>
  <si>
    <t xml:space="preserve">6 KONARA DR LOGANHOLME QLD 4129</t>
  </si>
  <si>
    <t xml:space="preserve">A-3B3C7F12</t>
  </si>
  <si>
    <t xml:space="preserve">111112940</t>
  </si>
  <si>
    <t xml:space="preserve">10 COWPER AVE EAGLEBY QLD 4207</t>
  </si>
  <si>
    <t xml:space="preserve">A-2C919ACE</t>
  </si>
  <si>
    <t xml:space="preserve">111113109</t>
  </si>
  <si>
    <t xml:space="preserve">Park Lighting, Lot 804 Ivory Pkwy, Greenbank, QLD 4124</t>
  </si>
  <si>
    <t xml:space="preserve">A-92737036</t>
  </si>
  <si>
    <t xml:space="preserve">111113175</t>
  </si>
  <si>
    <t xml:space="preserve">SEWAGE PUMP STATION 28 WILHELM DR WINDAROO QLD 4207</t>
  </si>
  <si>
    <t xml:space="preserve">A-024843D0</t>
  </si>
  <si>
    <t xml:space="preserve">111113264</t>
  </si>
  <si>
    <t xml:space="preserve">LOGAN GARDENS SHARED PATHWAY 4 ROSNY CT LOGAN CENTRAL QLD 4114</t>
  </si>
  <si>
    <t xml:space="preserve">A-52A73B98</t>
  </si>
  <si>
    <t xml:space="preserve">111113357</t>
  </si>
  <si>
    <t xml:space="preserve">36 MARTENS ST BEENLEIGH QLD 4207</t>
  </si>
  <si>
    <t xml:space="preserve">A-3F942E52</t>
  </si>
  <si>
    <t xml:space="preserve">111113514</t>
  </si>
  <si>
    <t xml:space="preserve">SEWERAGE PUMP STATION 129 FEDERATION DR BETHANIA QLD 4205</t>
  </si>
  <si>
    <t xml:space="preserve">A-D15E05FB</t>
  </si>
  <si>
    <t xml:space="preserve">111113584</t>
  </si>
  <si>
    <t xml:space="preserve">STREETSCAPE 689 CUSACK LANE JIMBOOMBA QLD 4280</t>
  </si>
  <si>
    <t xml:space="preserve">A-98E3AC8A</t>
  </si>
  <si>
    <t xml:space="preserve">111113700</t>
  </si>
  <si>
    <t xml:space="preserve">MOUNTAIN BIKE CLUB 956-1028 956-1028 UNDERWOOD RD PRIESTDALE QLD 4127</t>
  </si>
  <si>
    <t xml:space="preserve">A-7FED8AD0</t>
  </si>
  <si>
    <t xml:space="preserve">111113860</t>
  </si>
  <si>
    <t xml:space="preserve">102 Murrays Rd, Tanah Merah, QLD 4128</t>
  </si>
  <si>
    <t xml:space="preserve">A-98B85B27</t>
  </si>
  <si>
    <t xml:space="preserve">111113889</t>
  </si>
  <si>
    <t xml:space="preserve">SHOP 6 RETAIL TENNANCY 2 96 YORK ST BEENLEIGH QLD 4207</t>
  </si>
  <si>
    <t xml:space="preserve">A-4E0EE251</t>
  </si>
  <si>
    <t xml:space="preserve">111114128</t>
  </si>
  <si>
    <t xml:space="preserve">Pump Station, Lot 996 Yarrabilba Dr, Yarrabilba, QLD 4207</t>
  </si>
  <si>
    <t xml:space="preserve">A-852AEA95</t>
  </si>
  <si>
    <t xml:space="preserve">111114403</t>
  </si>
  <si>
    <t xml:space="preserve">SEWERAGE PUMP STATION 33 DULWICH ST LOGANHOLME QLD 4129</t>
  </si>
  <si>
    <t xml:space="preserve">A-02308032</t>
  </si>
  <si>
    <t xml:space="preserve">111114539</t>
  </si>
  <si>
    <t xml:space="preserve">22 Benz St, Logan Central, QLD 4114</t>
  </si>
  <si>
    <t xml:space="preserve">A-5621DFB8</t>
  </si>
  <si>
    <t xml:space="preserve">111114575</t>
  </si>
  <si>
    <t xml:space="preserve">PATHWAY LIGHTING 113 WEMBLEY RD LOGAN CENTRAL QLD 4114</t>
  </si>
  <si>
    <t xml:space="preserve">A-1E5E199B</t>
  </si>
  <si>
    <t xml:space="preserve">111114782</t>
  </si>
  <si>
    <t xml:space="preserve">247 GREEN RD PARK RIDGE QLD 4125</t>
  </si>
  <si>
    <t xml:space="preserve">A-161BF56D</t>
  </si>
  <si>
    <t xml:space="preserve">111114905</t>
  </si>
  <si>
    <t xml:space="preserve">PUMP STATION Lot 951, LADY ARDEE CCT STOCKLEIGH QLD 4280</t>
  </si>
  <si>
    <t xml:space="preserve">A-1996FB17</t>
  </si>
  <si>
    <t xml:space="preserve">111115131</t>
  </si>
  <si>
    <t xml:space="preserve">Booster Pump Station, 196 Middle Rd, Boronia Heights, QLD 4124</t>
  </si>
  <si>
    <t xml:space="preserve">A-FDCFD493</t>
  </si>
  <si>
    <t xml:space="preserve">111115179</t>
  </si>
  <si>
    <t xml:space="preserve">SEWERAGE PUMPING STATION Lot 992, BEUTEL ST WATERFORD WEST QLD 4133</t>
  </si>
  <si>
    <t xml:space="preserve">A-1073578F</t>
  </si>
  <si>
    <t xml:space="preserve">111115296</t>
  </si>
  <si>
    <t xml:space="preserve">2 FITZGERALD AVE SPRINGWOOD QLD 4127</t>
  </si>
  <si>
    <t xml:space="preserve">A-E38525BF</t>
  </si>
  <si>
    <t xml:space="preserve">111115335</t>
  </si>
  <si>
    <t xml:space="preserve">17 Brosnahan Ct, Belivah, QLD 4207</t>
  </si>
  <si>
    <t xml:space="preserve">A-A9A81A5A</t>
  </si>
  <si>
    <t xml:space="preserve">111115554</t>
  </si>
  <si>
    <t xml:space="preserve">PUB LANE RESERVOIR 177 PUB LANE GREENBANK QLD 4124</t>
  </si>
  <si>
    <t xml:space="preserve">A-A5311C4E</t>
  </si>
  <si>
    <t xml:space="preserve">111115716</t>
  </si>
  <si>
    <t xml:space="preserve">Path Lighting, 39 Allgas St, Slacks Creek, QLD 4127</t>
  </si>
  <si>
    <t xml:space="preserve">A-D9EA7D5F</t>
  </si>
  <si>
    <t xml:space="preserve">111115718</t>
  </si>
  <si>
    <t xml:space="preserve">PATHWAY LIGHTING 71 FLAGSTONIAN DR FLAGSTONE QLD 4280</t>
  </si>
  <si>
    <t xml:space="preserve">A-FD1C844C</t>
  </si>
  <si>
    <t xml:space="preserve">111115770</t>
  </si>
  <si>
    <t xml:space="preserve">SHOP 4 SOHO 4 96 YORK ST BEENLEIGH QLD 4207</t>
  </si>
  <si>
    <t xml:space="preserve">A-D47806AA</t>
  </si>
  <si>
    <t xml:space="preserve">111116192</t>
  </si>
  <si>
    <t xml:space="preserve">Lighting, 101 George St, Beenleigh, QLD 4207</t>
  </si>
  <si>
    <t xml:space="preserve">A-EF791B36</t>
  </si>
  <si>
    <t xml:space="preserve">111116243</t>
  </si>
  <si>
    <t xml:space="preserve">PARK SWITCHBOARD 56 SHERIDAN DR FLAGSTONE QLD 4280</t>
  </si>
  <si>
    <t xml:space="preserve">A-54297833</t>
  </si>
  <si>
    <t xml:space="preserve">111116324</t>
  </si>
  <si>
    <t xml:space="preserve">LCC S/L 101 GEORGE ST BEENLEIGH QLD 4207</t>
  </si>
  <si>
    <t xml:space="preserve">A-9129B51E</t>
  </si>
  <si>
    <t xml:space="preserve">111116528</t>
  </si>
  <si>
    <t xml:space="preserve">Pump Station, 21 Excalibur Rd, Cornubia, QLD 4130</t>
  </si>
  <si>
    <t xml:space="preserve">A-FE27668E</t>
  </si>
  <si>
    <t xml:space="preserve">111116589</t>
  </si>
  <si>
    <t xml:space="preserve">SEWERAGE PUMP STATION 17 PEACOCK AVE BEENLEIGH QLD 4207</t>
  </si>
  <si>
    <t xml:space="preserve">A-06D93A65</t>
  </si>
  <si>
    <t xml:space="preserve">111116834</t>
  </si>
  <si>
    <t xml:space="preserve">SEWERAGE PUMPING STATION 22 LOUDEN ST WOODRIDGE QLD 4114</t>
  </si>
  <si>
    <t xml:space="preserve">A-A1F8AC5E</t>
  </si>
  <si>
    <t xml:space="preserve">111117207</t>
  </si>
  <si>
    <t xml:space="preserve">Mckinnon Park Street Lighting, 1042 Yarrabilba Dr, Yarrabilba, QLD 4207</t>
  </si>
  <si>
    <t xml:space="preserve">A-E632F057</t>
  </si>
  <si>
    <t xml:space="preserve">111117305</t>
  </si>
  <si>
    <t xml:space="preserve">Allconnex Water Pump Station 2, 25 Red Ash Ct, Flagstone, QLD 4280</t>
  </si>
  <si>
    <t xml:space="preserve">A-3431DCE2</t>
  </si>
  <si>
    <t xml:space="preserve">111117366</t>
  </si>
  <si>
    <t xml:space="preserve">39 CORAL ST LOGANLEA QLD 4131</t>
  </si>
  <si>
    <t xml:space="preserve">A-8B18C485</t>
  </si>
  <si>
    <t xml:space="preserve">111117540</t>
  </si>
  <si>
    <t xml:space="preserve">1644 Beenleigh Rd, Underwood, QLD 4119</t>
  </si>
  <si>
    <t xml:space="preserve">A-985729E7</t>
  </si>
  <si>
    <t xml:space="preserve">111117549</t>
  </si>
  <si>
    <t xml:space="preserve">Water Pump, 4 Karawatha St, Springwood, QLD 4127</t>
  </si>
  <si>
    <t xml:space="preserve">A-002128E3</t>
  </si>
  <si>
    <t xml:space="preserve">111117555</t>
  </si>
  <si>
    <t xml:space="preserve">BOARDWALK LIGHTING 99 CINDERELLA DR SPRINGWOOD QLD 4127</t>
  </si>
  <si>
    <t xml:space="preserve">A-AA7F56C9</t>
  </si>
  <si>
    <t xml:space="preserve">111117953</t>
  </si>
  <si>
    <t xml:space="preserve">Common Lighting, 956 Underwood Rd, Priestdale, QLD 4127</t>
  </si>
  <si>
    <t xml:space="preserve">A-C879B165</t>
  </si>
  <si>
    <t xml:space="preserve">111118261</t>
  </si>
  <si>
    <t xml:space="preserve">24 DENNIS RD SPRINGWOOD QLD 4127</t>
  </si>
  <si>
    <t xml:space="preserve">A-E730B5E2</t>
  </si>
  <si>
    <t xml:space="preserve">111118332</t>
  </si>
  <si>
    <t xml:space="preserve">SEWERAGE PUMP STATOIN 124 BAHRS SCRUB RD BAHRS SCRUB QLD 4207</t>
  </si>
  <si>
    <t xml:space="preserve">A-9EA95D82</t>
  </si>
  <si>
    <t xml:space="preserve">111118441</t>
  </si>
  <si>
    <t xml:space="preserve">SEWERAGE PUMP STATION Lot 900, PARVULA PL LOGAN RESERVE QLD 4133</t>
  </si>
  <si>
    <t xml:space="preserve">A-5A7A08F1</t>
  </si>
  <si>
    <t xml:space="preserve">111118767</t>
  </si>
  <si>
    <t xml:space="preserve">SEWERAGE PLANT OFF PARKSIDE DR Lot 896, RED CEDAR CRES FLAGSTONE QLD 4280</t>
  </si>
  <si>
    <t xml:space="preserve">A-CF57F78E</t>
  </si>
  <si>
    <t xml:space="preserve">111118875</t>
  </si>
  <si>
    <t xml:space="preserve">PUMP 14 HOMESTEAD DR FLAGSTONE QLD 4280</t>
  </si>
  <si>
    <t xml:space="preserve">A-B647B60D</t>
  </si>
  <si>
    <t xml:space="preserve">111119105</t>
  </si>
  <si>
    <t xml:space="preserve">SEWAGE PUMPING STATION Lot 3, MAIN ST EAGLEBY QLD 4207</t>
  </si>
  <si>
    <t xml:space="preserve">A-DFF86968</t>
  </si>
  <si>
    <t xml:space="preserve">111119161</t>
  </si>
  <si>
    <t xml:space="preserve">Reservoir, 116 Marks Rd, Logan Village, QLD 4207</t>
  </si>
  <si>
    <t xml:space="preserve">A-3A7700C2</t>
  </si>
  <si>
    <t xml:space="preserve">111119285</t>
  </si>
  <si>
    <t xml:space="preserve">Bellevue Park Public Amenities, 384 Middle Rd, Greenbank, QLD 4124</t>
  </si>
  <si>
    <t xml:space="preserve">A-01666384</t>
  </si>
  <si>
    <t xml:space="preserve">111119351</t>
  </si>
  <si>
    <t xml:space="preserve">143 TYGUM RD WATERFORD WEST QLD 4133</t>
  </si>
  <si>
    <t xml:space="preserve">A-C6A6AFF5</t>
  </si>
  <si>
    <t xml:space="preserve">111119453</t>
  </si>
  <si>
    <t xml:space="preserve">Sewer Pump Station, Lot 1000 Ivory Parkway, Greenbank, QLD 4124</t>
  </si>
  <si>
    <t xml:space="preserve">A-683DC96D</t>
  </si>
  <si>
    <t xml:space="preserve">111119482</t>
  </si>
  <si>
    <t xml:space="preserve">SEWERAGE PUMP STATION Lot 9996, CHERVIL DR GREENBANK QLD 4124</t>
  </si>
  <si>
    <t xml:space="preserve">A-35C4A947</t>
  </si>
  <si>
    <t xml:space="preserve">111119590</t>
  </si>
  <si>
    <t xml:space="preserve">Water Pump Station, Lot 1 Wuraga Rd, Beenleigh, QLD 4207</t>
  </si>
  <si>
    <t xml:space="preserve">A-FB4B7659</t>
  </si>
  <si>
    <t xml:space="preserve">111119858</t>
  </si>
  <si>
    <t xml:space="preserve">Lcc S/L, 4 John St, Beenleigh, QLD 4207</t>
  </si>
  <si>
    <t xml:space="preserve">A-EA1E94B3</t>
  </si>
  <si>
    <t xml:space="preserve">111120023</t>
  </si>
  <si>
    <t xml:space="preserve">Street Lighting, Lot 901 Mundoolun Rd, Mundoolun, QLD 4285</t>
  </si>
  <si>
    <t xml:space="preserve">A-D92B4306</t>
  </si>
  <si>
    <t xml:space="preserve">111120051</t>
  </si>
  <si>
    <t xml:space="preserve">Roundabout Traffic Island, Jalan St, Tanah Merah, QLD 4128</t>
  </si>
  <si>
    <t xml:space="preserve">A-8FB5F517</t>
  </si>
  <si>
    <t xml:space="preserve">111120248</t>
  </si>
  <si>
    <t xml:space="preserve">PUMP STATION Lot 50027, OXFORD DR FLAGSTONE QLD 4280</t>
  </si>
  <si>
    <t xml:space="preserve">A-72258C07</t>
  </si>
  <si>
    <t xml:space="preserve">111120263</t>
  </si>
  <si>
    <t xml:space="preserve">ANIMAL MANAGEMENT CENTRE 213-223 213-223 QUEENS RD KINGSTON QLD 4114</t>
  </si>
  <si>
    <t xml:space="preserve">A-6C5B9083</t>
  </si>
  <si>
    <t xml:space="preserve">111120325</t>
  </si>
  <si>
    <t xml:space="preserve">MUNRUBEN DEPOT 113 CROWSON LANE MUNRUBEN QLD 4125</t>
  </si>
  <si>
    <t xml:space="preserve">A-0B251606</t>
  </si>
  <si>
    <t xml:space="preserve">111120387</t>
  </si>
  <si>
    <t xml:space="preserve">27 Loffs Rd, Loganholme, QLD 4129</t>
  </si>
  <si>
    <t xml:space="preserve">A-74CB3332</t>
  </si>
  <si>
    <t xml:space="preserve">111120712</t>
  </si>
  <si>
    <t xml:space="preserve">35 MATT CT JIMBOOMBA QLD 4280</t>
  </si>
  <si>
    <t xml:space="preserve">A-75FB5FFC</t>
  </si>
  <si>
    <t xml:space="preserve">111120812</t>
  </si>
  <si>
    <t xml:space="preserve">Beenleigh Bears Rugby Club, Lot 40 Beaudesert-Beenleigh Rd, Mount Warren Park, QLD 4207</t>
  </si>
  <si>
    <t xml:space="preserve">A-A1DBC39E</t>
  </si>
  <si>
    <t xml:space="preserve">111121235</t>
  </si>
  <si>
    <t xml:space="preserve">11 ABELL RD JIMBOOMBA QLD 4280</t>
  </si>
  <si>
    <t xml:space="preserve">A-2029DFEF</t>
  </si>
  <si>
    <t xml:space="preserve">111121303</t>
  </si>
  <si>
    <t xml:space="preserve">Sewer Pump Stn, 3308 Mt Lindesay Hwy, Browns Plains, QLD 4118</t>
  </si>
  <si>
    <t xml:space="preserve">A-65E62E5A</t>
  </si>
  <si>
    <t xml:space="preserve">111121357</t>
  </si>
  <si>
    <t xml:space="preserve">BOOSTER PUMP STATION 20 LEAH DR BELIVAH QLD 4207</t>
  </si>
  <si>
    <t xml:space="preserve">A-5CD8C4BC</t>
  </si>
  <si>
    <t xml:space="preserve">111121394</t>
  </si>
  <si>
    <t xml:space="preserve">Sungold Rd Wwps, 1 Sungold Rd, Chambers Flat, QLD 4133</t>
  </si>
  <si>
    <t xml:space="preserve">A-F12E5E70</t>
  </si>
  <si>
    <t xml:space="preserve">111121420</t>
  </si>
  <si>
    <t xml:space="preserve">108 BRINDABELLA ST CORNUBIA QLD 4130</t>
  </si>
  <si>
    <t xml:space="preserve">A-4AF642BF</t>
  </si>
  <si>
    <t xml:space="preserve">111121430</t>
  </si>
  <si>
    <t xml:space="preserve">SITE B350 ADDITONAL PUMP SAPIUM ST KINGSTON QLD 4114</t>
  </si>
  <si>
    <t xml:space="preserve">A-3C4C2AB8</t>
  </si>
  <si>
    <t xml:space="preserve">111121484</t>
  </si>
  <si>
    <t xml:space="preserve">1 ANDREW RD GREENBANK QLD 4124</t>
  </si>
  <si>
    <t xml:space="preserve">A-8AB33C1C</t>
  </si>
  <si>
    <t xml:space="preserve">111121538</t>
  </si>
  <si>
    <t xml:space="preserve">71 East St, Jimboomba, QLD 4280</t>
  </si>
  <si>
    <t xml:space="preserve">A-9D3C656C</t>
  </si>
  <si>
    <t xml:space="preserve">111121628</t>
  </si>
  <si>
    <t xml:space="preserve">BOOSTER PUMP STATION Lot 908, WENTWORTH DR FLAGSTONE QLD 4280</t>
  </si>
  <si>
    <t xml:space="preserve">A-FA8260A3</t>
  </si>
  <si>
    <t xml:space="preserve">111121638</t>
  </si>
  <si>
    <t xml:space="preserve">LIGHTING 106 CITY RD BEENLEIGH QLD 4207</t>
  </si>
  <si>
    <t xml:space="preserve">A-6B2D11DC</t>
  </si>
  <si>
    <t xml:space="preserve">111121979</t>
  </si>
  <si>
    <t xml:space="preserve">Bbq Huth Munte Park, George St, Beenleigh, QLD 4207</t>
  </si>
  <si>
    <t xml:space="preserve">A-5541706C</t>
  </si>
  <si>
    <t xml:space="preserve">111122111</t>
  </si>
  <si>
    <t xml:space="preserve">1 SOUTH ST JIMBOOMBA QLD 4280</t>
  </si>
  <si>
    <t xml:space="preserve">A-9FE36223</t>
  </si>
  <si>
    <t xml:space="preserve">111122345</t>
  </si>
  <si>
    <t xml:space="preserve">Pumping Station, Lot 9002 Ivory Pkwy, Greenbank, QLD 4124</t>
  </si>
  <si>
    <t xml:space="preserve">A-62D0ED29</t>
  </si>
  <si>
    <t xml:space="preserve">111122381</t>
  </si>
  <si>
    <t xml:space="preserve">Arline St, Waterford West, QLD 4133</t>
  </si>
  <si>
    <t xml:space="preserve">A-9921C1BA</t>
  </si>
  <si>
    <t xml:space="preserve">111122422</t>
  </si>
  <si>
    <t xml:space="preserve">PUMP 111 TYGUM RD WATERFORD WEST QLD 4133</t>
  </si>
  <si>
    <t xml:space="preserve">A-20DD19A6</t>
  </si>
  <si>
    <t xml:space="preserve">111122560</t>
  </si>
  <si>
    <t xml:space="preserve">2778 Logan Rd, Eight Mile Plains, QLD 4113</t>
  </si>
  <si>
    <t xml:space="preserve">A-E02F2257</t>
  </si>
  <si>
    <t xml:space="preserve">111122563</t>
  </si>
  <si>
    <t xml:space="preserve">SEWERAGE PUMP STATION RAMU ST EAGLEBY QLD 4207</t>
  </si>
  <si>
    <t xml:space="preserve">A-B51E7860</t>
  </si>
  <si>
    <t xml:space="preserve">111122564</t>
  </si>
  <si>
    <t xml:space="preserve">1548 WATERFORD TAMBORINE RD YARRABILBA QLD 4207</t>
  </si>
  <si>
    <t xml:space="preserve">A-D1897EA1</t>
  </si>
  <si>
    <t xml:space="preserve">111122622</t>
  </si>
  <si>
    <t xml:space="preserve">47 Ellen St, Logan Central, QLD 4114</t>
  </si>
  <si>
    <t xml:space="preserve">A-46E66EE4</t>
  </si>
  <si>
    <t xml:space="preserve">111122884</t>
  </si>
  <si>
    <t xml:space="preserve">SHED 1 SES 3812 MT LINDESAY HWY PARK RIDGE QLD 4125</t>
  </si>
  <si>
    <t xml:space="preserve">A-13633B9D</t>
  </si>
  <si>
    <t xml:space="preserve">111122963</t>
  </si>
  <si>
    <t xml:space="preserve">SUNDAY RESERVE 39 STRUSS CT JIMBOOMBA QLD 4280</t>
  </si>
  <si>
    <t xml:space="preserve">A-C0C2620B</t>
  </si>
  <si>
    <t xml:space="preserve">111122977</t>
  </si>
  <si>
    <t xml:space="preserve">PUMP STATION 181 BAHRS SCRUB RD BAHRS SCRUB QLD 4207</t>
  </si>
  <si>
    <t xml:space="preserve">A-C4B8226C</t>
  </si>
  <si>
    <t xml:space="preserve">111122978</t>
  </si>
  <si>
    <t xml:space="preserve">SHOP 2 SOHO 2 96 YORK ST BEENLEIGH QLD 4207</t>
  </si>
  <si>
    <t xml:space="preserve">A-72D9DD7D</t>
  </si>
  <si>
    <t xml:space="preserve">111123257</t>
  </si>
  <si>
    <t xml:space="preserve">Lot 19, 535 Logan Reserve Rd, Logan Reserve, QLD 4133</t>
  </si>
  <si>
    <t xml:space="preserve">A-3EF98F97</t>
  </si>
  <si>
    <t xml:space="preserve">111123275</t>
  </si>
  <si>
    <t xml:space="preserve">STREET LIGHTING Lot 3, CROYDON RD LOGAN CENTRAL QLD 4114</t>
  </si>
  <si>
    <t xml:space="preserve">A-3C2A0F3B</t>
  </si>
  <si>
    <t xml:space="preserve">111123403</t>
  </si>
  <si>
    <t xml:space="preserve">10 COLWILL CRES WOLFFDENE QLD 4207</t>
  </si>
  <si>
    <t xml:space="preserve">A-30B3781B</t>
  </si>
  <si>
    <t xml:space="preserve">111123617</t>
  </si>
  <si>
    <t xml:space="preserve">18 HONORA ST JIMBOOMBA QLD 4280</t>
  </si>
  <si>
    <t xml:space="preserve">A-724E079C</t>
  </si>
  <si>
    <t xml:space="preserve">111123666</t>
  </si>
  <si>
    <t xml:space="preserve">9 LAURINDA CRES SPRINGWOOD QLD 4127</t>
  </si>
  <si>
    <t xml:space="preserve">A-2E629AAB</t>
  </si>
  <si>
    <t xml:space="preserve">111123993</t>
  </si>
  <si>
    <t xml:space="preserve">Pump Station, Lot 810 Menora Rd, Bahrs Scrub, QLD 4207</t>
  </si>
  <si>
    <t xml:space="preserve">A-985442E9</t>
  </si>
  <si>
    <t xml:space="preserve">111124257</t>
  </si>
  <si>
    <t xml:space="preserve">LIGHTING 4 JOHN ST BEENLEIGH QLD 4207</t>
  </si>
  <si>
    <t xml:space="preserve">A-0FDFDCF9</t>
  </si>
  <si>
    <t xml:space="preserve">111124274</t>
  </si>
  <si>
    <t xml:space="preserve">36 Roderick St, Cornubia, QLD 4130</t>
  </si>
  <si>
    <t xml:space="preserve">A-A004E125</t>
  </si>
  <si>
    <t xml:space="preserve">111124359</t>
  </si>
  <si>
    <t xml:space="preserve">Flow Recorder North Back, Pacific Hwy, Loganholme, QLD 4129</t>
  </si>
  <si>
    <t xml:space="preserve">A-27E6EDFA</t>
  </si>
  <si>
    <t xml:space="preserve">111124414</t>
  </si>
  <si>
    <t xml:space="preserve">SEWERAGE PUMP STATION 39 TURQUOISE ST BETHANIA QLD 4205</t>
  </si>
  <si>
    <t xml:space="preserve">A-8BF8531B</t>
  </si>
  <si>
    <t xml:space="preserve">111124540</t>
  </si>
  <si>
    <t xml:space="preserve">NATURE STRIP 23 FITZGERALD AVE SPRINGWOOD QLD 4127</t>
  </si>
  <si>
    <t xml:space="preserve">A-8FB91994</t>
  </si>
  <si>
    <t xml:space="preserve">111124557</t>
  </si>
  <si>
    <t xml:space="preserve">Lcc S/L, 106 City Rd, Beenleigh, QLD 4207</t>
  </si>
  <si>
    <t xml:space="preserve">A-F6D402C1</t>
  </si>
  <si>
    <t xml:space="preserve">111124768</t>
  </si>
  <si>
    <t xml:space="preserve">Sewer Pump Station, 249 Logan Reserve Rd, Logan Reserve, QLD 4133</t>
  </si>
  <si>
    <t xml:space="preserve">A-8FF3DB20</t>
  </si>
  <si>
    <t xml:space="preserve">111124908</t>
  </si>
  <si>
    <t xml:space="preserve">PATH LIGHTING 70 MOSS ST SLACKS CREEK QLD 4127</t>
  </si>
  <si>
    <t xml:space="preserve">A-B07A8A58</t>
  </si>
  <si>
    <t xml:space="preserve">111125095</t>
  </si>
  <si>
    <t xml:space="preserve">SHOP 5 RETAIL TENNANCY 1 96 YORK ST BEENLEIGH QLD 4207</t>
  </si>
  <si>
    <t xml:space="preserve">A-DDD28699</t>
  </si>
  <si>
    <t xml:space="preserve">111125153</t>
  </si>
  <si>
    <t xml:space="preserve">Pump Crn St Jude Cct/Cusack Ln, 1 Henderson Rd, Glenlogan, QLD 4280</t>
  </si>
  <si>
    <t xml:space="preserve">A-A0DB1D33</t>
  </si>
  <si>
    <t xml:space="preserve">111125224</t>
  </si>
  <si>
    <t xml:space="preserve">SEWERAGE PUMP STATION LOANE DR EDENS LANDING QLD 4207</t>
  </si>
  <si>
    <t xml:space="preserve">A-C4C6BB3F</t>
  </si>
  <si>
    <t xml:space="preserve">111125376</t>
  </si>
  <si>
    <t xml:space="preserve">3025 Logan Rd, Underwood, QLD 4119</t>
  </si>
  <si>
    <t xml:space="preserve">A-286ED9F9</t>
  </si>
  <si>
    <t xml:space="preserve">111125639</t>
  </si>
  <si>
    <t xml:space="preserve">120 DEWAR DR LOGANHOLME QLD 4129</t>
  </si>
  <si>
    <t xml:space="preserve">A-6050B4EB</t>
  </si>
  <si>
    <t xml:space="preserve">111125694</t>
  </si>
  <si>
    <t xml:space="preserve">Soho 3, 96-98 York St, Beenleigh, QLD 4207</t>
  </si>
  <si>
    <t xml:space="preserve">A-ABC15C70</t>
  </si>
  <si>
    <t xml:space="preserve">111125724</t>
  </si>
  <si>
    <t xml:space="preserve">Sps160 Pump Station, Lot 800 School Rd, Logan Reserve, QLD 4133</t>
  </si>
  <si>
    <t xml:space="preserve">A-2141C3F8</t>
  </si>
  <si>
    <t xml:space="preserve">111146479</t>
  </si>
  <si>
    <t xml:space="preserve">Adj To Railway Bridge, Middle Rd, Greenbank, QLD 4124</t>
  </si>
  <si>
    <t xml:space="preserve">A-EED75B6A</t>
  </si>
  <si>
    <t xml:space="preserve">111155578</t>
  </si>
  <si>
    <t xml:space="preserve">SEWERAGE PUMP Lot 50030, FALCON CCT FLAGSTONE QLD 4280</t>
  </si>
  <si>
    <t xml:space="preserve">A-9446C427</t>
  </si>
  <si>
    <t xml:space="preserve">112269085</t>
  </si>
  <si>
    <t xml:space="preserve">Pleasant View, 66 Pleasant View Rd, Chambers Flat, QLD 4133</t>
  </si>
  <si>
    <t xml:space="preserve">A-2E206A89</t>
  </si>
  <si>
    <t xml:space="preserve">112443771</t>
  </si>
  <si>
    <t xml:space="preserve">Hammel Park Baseball Ground, Lot 262 ,James St, Beenleigh, QLD 4207</t>
  </si>
  <si>
    <t xml:space="preserve">A-9CA36127</t>
  </si>
  <si>
    <t xml:space="preserve">112866092</t>
  </si>
  <si>
    <t xml:space="preserve">Water Supply &amp; Sewage, 14 Kalimna St, Loganholme, QLD 4129</t>
  </si>
  <si>
    <t xml:space="preserve">A-31107E9E</t>
  </si>
  <si>
    <t xml:space="preserve">113883298</t>
  </si>
  <si>
    <t xml:space="preserve">PUMP STATION #57-75 57-75 MOUNT HUNTLEY ST PARK RIDGE QLD 4125</t>
  </si>
  <si>
    <t xml:space="preserve">A-802F9F38</t>
  </si>
  <si>
    <t xml:space="preserve">111110245</t>
  </si>
  <si>
    <t xml:space="preserve">2 Pimpama St, Waterford, QLD 4133</t>
  </si>
  <si>
    <t xml:space="preserve">A-C1C8E6DD</t>
  </si>
  <si>
    <t xml:space="preserve">111110289</t>
  </si>
  <si>
    <t xml:space="preserve">NEW SEWERAGE PUMP 76 CLARKS RD LOGANHOLME QLD 4129</t>
  </si>
  <si>
    <t xml:space="preserve">A-79C3A76C</t>
  </si>
  <si>
    <t xml:space="preserve">111110485</t>
  </si>
  <si>
    <t xml:space="preserve">SEWAGE PUMPING STATION 212 CALIFORNIA CREEK RD CORNUBIA QLD 4130</t>
  </si>
  <si>
    <t xml:space="preserve">A-7FAABC50</t>
  </si>
  <si>
    <t xml:space="preserve">111110491</t>
  </si>
  <si>
    <t xml:space="preserve">Quarry Reserve, 1 Bega Rd, Kingston, QLD 4114</t>
  </si>
  <si>
    <t xml:space="preserve">A-E5C8A1C4</t>
  </si>
  <si>
    <t xml:space="preserve">111111329</t>
  </si>
  <si>
    <t xml:space="preserve">WATER RESERVOIR Lot 970, THORNBILL DR GREENBANK QLD 4124</t>
  </si>
  <si>
    <t xml:space="preserve">A-CBDF027D</t>
  </si>
  <si>
    <t xml:space="preserve">111112377</t>
  </si>
  <si>
    <t xml:space="preserve">1 Kent St, Beenleigh, QLD 4207</t>
  </si>
  <si>
    <t xml:space="preserve">A-53919A59</t>
  </si>
  <si>
    <t xml:space="preserve">111112879</t>
  </si>
  <si>
    <t xml:space="preserve">8 Lemongrove St, Eagleby, QLD 4207</t>
  </si>
  <si>
    <t xml:space="preserve">A-423AC56E</t>
  </si>
  <si>
    <t xml:space="preserve">111113307</t>
  </si>
  <si>
    <t xml:space="preserve">9 SILVESTRO PL EDENS LANDING QLD 4207</t>
  </si>
  <si>
    <t xml:space="preserve">A-2CBE95BA</t>
  </si>
  <si>
    <t xml:space="preserve">111113697</t>
  </si>
  <si>
    <t xml:space="preserve">U 206, 58 Manila St, Beenleigh, QLD 4207</t>
  </si>
  <si>
    <t xml:space="preserve">A-17415925</t>
  </si>
  <si>
    <t xml:space="preserve">111114723</t>
  </si>
  <si>
    <t xml:space="preserve">PUMP STATION Lot 975, SPRING MOUNTAIN DR GREENBANK QLD 4124</t>
  </si>
  <si>
    <t xml:space="preserve">A-B2DF8A80</t>
  </si>
  <si>
    <t xml:space="preserve">111114872</t>
  </si>
  <si>
    <t xml:space="preserve">Temp Sewerage Pumping Station, Iolanthe St, Windaroo, QLD 4207</t>
  </si>
  <si>
    <t xml:space="preserve">A-B9F39C1A</t>
  </si>
  <si>
    <t xml:space="preserve">111115248</t>
  </si>
  <si>
    <t xml:space="preserve">26 Winnetts Rd, Daisy Hill, QLD 4127</t>
  </si>
  <si>
    <t xml:space="preserve">A-3895B4E7</t>
  </si>
  <si>
    <t xml:space="preserve">111115318</t>
  </si>
  <si>
    <t xml:space="preserve">SEWERAGE PUMP STATION 54A ALLENBY CRES WINDAROO QLD 4207</t>
  </si>
  <si>
    <t xml:space="preserve">A-EF678C5F</t>
  </si>
  <si>
    <t xml:space="preserve">111115360</t>
  </si>
  <si>
    <t xml:space="preserve">27 CORAL ST LOGANLEA QLD 4131</t>
  </si>
  <si>
    <t xml:space="preserve">A-3DB592DE</t>
  </si>
  <si>
    <t xml:space="preserve">111115566</t>
  </si>
  <si>
    <t xml:space="preserve">Waste Disposal Facility, 1406 Waterford-Tamborine Rd, Logan Village, QLD 4207</t>
  </si>
  <si>
    <t xml:space="preserve">A-33B31815</t>
  </si>
  <si>
    <t xml:space="preserve">111115882</t>
  </si>
  <si>
    <t xml:space="preserve">Sewerage Pump Stn 40, 8A Pilbi St, Woodridge, QLD 4114</t>
  </si>
  <si>
    <t xml:space="preserve">A-DDC90C8A</t>
  </si>
  <si>
    <t xml:space="preserve">111116656</t>
  </si>
  <si>
    <t xml:space="preserve">Sewerage Pump Station, 2 Greenfield St, Eagleby, QLD 4207</t>
  </si>
  <si>
    <t xml:space="preserve">A-857D6C47</t>
  </si>
  <si>
    <t xml:space="preserve">111116690</t>
  </si>
  <si>
    <t xml:space="preserve">KINGSTON RD KINGSTON QLD 4114</t>
  </si>
  <si>
    <t xml:space="preserve">A-D036C5D0</t>
  </si>
  <si>
    <t xml:space="preserve">111116959</t>
  </si>
  <si>
    <t xml:space="preserve">Sewerage Pumping Station, 20A Merrow St, Mount Warren Park, QLD 4207</t>
  </si>
  <si>
    <t xml:space="preserve">A-015E6E45</t>
  </si>
  <si>
    <t xml:space="preserve">111117396</t>
  </si>
  <si>
    <t xml:space="preserve">BROOKHAVEN PUMP STS Lot 805, BROOKHAVEN BVD BAHRS SCRUB QLD 4207</t>
  </si>
  <si>
    <t xml:space="preserve">A-5A7C18D9</t>
  </si>
  <si>
    <t xml:space="preserve">111117773</t>
  </si>
  <si>
    <t xml:space="preserve">SEWERAGE PUMPING STATION 4A MERROW ST MOUNT WARREN PARK QLD 4207</t>
  </si>
  <si>
    <t xml:space="preserve">A-E1725CA9</t>
  </si>
  <si>
    <t xml:space="preserve">111119177</t>
  </si>
  <si>
    <t xml:space="preserve">30 Yvonne Cres, Mount Warren Park, QLD 4207</t>
  </si>
  <si>
    <t xml:space="preserve">A-98B5A3C9</t>
  </si>
  <si>
    <t xml:space="preserve">111119495</t>
  </si>
  <si>
    <t xml:space="preserve">Unit 2, Library, 145 Teviot Rd, Greenbank, QLD 4124</t>
  </si>
  <si>
    <t xml:space="preserve">A-56A12A7B</t>
  </si>
  <si>
    <t xml:space="preserve">111119535</t>
  </si>
  <si>
    <t xml:space="preserve">A-A1CC6C21</t>
  </si>
  <si>
    <t xml:space="preserve">111119692</t>
  </si>
  <si>
    <t xml:space="preserve">A-3C19E3E1</t>
  </si>
  <si>
    <t xml:space="preserve">111119735</t>
  </si>
  <si>
    <t xml:space="preserve">25 HILLSIDE CRES EDENS LANDING QLD 4207</t>
  </si>
  <si>
    <t xml:space="preserve">111120138</t>
  </si>
  <si>
    <t xml:space="preserve">A-3535C3CD</t>
  </si>
  <si>
    <t xml:space="preserve">111120495</t>
  </si>
  <si>
    <t xml:space="preserve">1 Bega Rd, Kingston, QLD 4114</t>
  </si>
  <si>
    <t xml:space="preserve">A-6B73282E</t>
  </si>
  <si>
    <t xml:space="preserve">111121119</t>
  </si>
  <si>
    <t xml:space="preserve">18 KUMMARA RD EDENS LANDING QLD 4207</t>
  </si>
  <si>
    <t xml:space="preserve">A-4EAF30FA</t>
  </si>
  <si>
    <t xml:space="preserve">111121799</t>
  </si>
  <si>
    <t xml:space="preserve">611 LOGAN RESERVE RD LOGAN RESERVE QLD 4133</t>
  </si>
  <si>
    <t xml:space="preserve">A-23374A74</t>
  </si>
  <si>
    <t xml:space="preserve">111122360</t>
  </si>
  <si>
    <t xml:space="preserve">1464 WATERFORD-TAMBORINE RD LOGAN VILLAGE QLD 4207</t>
  </si>
  <si>
    <t xml:space="preserve">A-52BA5695</t>
  </si>
  <si>
    <t xml:space="preserve">111122775</t>
  </si>
  <si>
    <t xml:space="preserve">SEWAGE PUMP STATION 51 1 GEOFF PHILP DR LOGAN VILLAGE QLD 4207</t>
  </si>
  <si>
    <t xml:space="preserve">A-7984C1C6</t>
  </si>
  <si>
    <t xml:space="preserve">111122812</t>
  </si>
  <si>
    <t xml:space="preserve">Water Pump Station, 147 Roderick St, Cornubia, QLD 4130</t>
  </si>
  <si>
    <t xml:space="preserve">A-23078145</t>
  </si>
  <si>
    <t xml:space="preserve">111123313</t>
  </si>
  <si>
    <t xml:space="preserve">Sewer Pump Station 3, 1 Schneider Rd, Waterford, QLD 4133</t>
  </si>
  <si>
    <t xml:space="preserve">A-51F37B85</t>
  </si>
  <si>
    <t xml:space="preserve">111123995</t>
  </si>
  <si>
    <t xml:space="preserve">ALLCONNEX WATER 11 PAISLEY CT MOUNT WARREN PARK QLD 4207</t>
  </si>
  <si>
    <t xml:space="preserve">A-4C80F77B</t>
  </si>
  <si>
    <t xml:space="preserve">111124372</t>
  </si>
  <si>
    <t xml:space="preserve">MAYES COTTAGE 20-30 20-30 MAWARRA ST KINGSTON QLD 4114</t>
  </si>
  <si>
    <t xml:space="preserve">A-35B07A6D</t>
  </si>
  <si>
    <t xml:space="preserve">111124440</t>
  </si>
  <si>
    <t xml:space="preserve">268 Mount Warren Bvd, Mount Warren Park, QLD 4207</t>
  </si>
  <si>
    <t xml:space="preserve">111125900</t>
  </si>
  <si>
    <t xml:space="preserve">111145389</t>
  </si>
  <si>
    <t xml:space="preserve">111145932</t>
  </si>
  <si>
    <t xml:space="preserve">A-B9CD860B</t>
  </si>
  <si>
    <t xml:space="preserve">111146745</t>
  </si>
  <si>
    <t xml:space="preserve">SEWAGE PUMPING STN SPS29 28-58 KUNUNURRA CRES SHAILER PARK QLD 4128</t>
  </si>
  <si>
    <t xml:space="preserve">A-362523AA</t>
  </si>
  <si>
    <t xml:space="preserve">111147508</t>
  </si>
  <si>
    <t xml:space="preserve">LOGAN WEST MUNICIPAL CTR WINEGLASS DR HILLCREST QLD 4118</t>
  </si>
  <si>
    <t xml:space="preserve">A-5CD452C2</t>
  </si>
  <si>
    <t xml:space="preserve">111148229</t>
  </si>
  <si>
    <t xml:space="preserve">Pump Stn, Lot 908 Gossan Cct, Yarrabilba, QLD 4207</t>
  </si>
  <si>
    <t xml:space="preserve">A-86492973</t>
  </si>
  <si>
    <t xml:space="preserve">111150514</t>
  </si>
  <si>
    <t xml:space="preserve">Pump Station, 1 Windsong Ct, Hillcrest, QLD 4118</t>
  </si>
  <si>
    <t xml:space="preserve">A-9E80172D</t>
  </si>
  <si>
    <t xml:space="preserve">111151866</t>
  </si>
  <si>
    <t xml:space="preserve">16 WINDAROO RD BAHRS SCRUB QLD 4207</t>
  </si>
  <si>
    <t xml:space="preserve">A-66FD543E</t>
  </si>
  <si>
    <t xml:space="preserve">111153373</t>
  </si>
  <si>
    <t xml:space="preserve">Refuse Transfer Station, 124 Pub Lane, New Beith, QLD 4124</t>
  </si>
  <si>
    <t xml:space="preserve">A-680C3ED0</t>
  </si>
  <si>
    <t xml:space="preserve">111154756</t>
  </si>
  <si>
    <t xml:space="preserve">COIN OPERTATED STAND PIPE 1 CAMP CABLE RD LOGAN VILLAGE QLD 4207</t>
  </si>
  <si>
    <t xml:space="preserve">A-ACDC313B</t>
  </si>
  <si>
    <t xml:space="preserve">111180589</t>
  </si>
  <si>
    <t xml:space="preserve">SEWAGE PUMP 719 UNDERWOOD RD ROCHEDALE SOUTH QLD 4123</t>
  </si>
  <si>
    <t xml:space="preserve">A-88D7B3CD</t>
  </si>
  <si>
    <t xml:space="preserve">111183494</t>
  </si>
  <si>
    <t xml:space="preserve">Cmty Cntr Light Underwood Park, 956 Underwood Rd, Priestdale, QLD 4127</t>
  </si>
  <si>
    <t xml:space="preserve">111184444</t>
  </si>
  <si>
    <t xml:space="preserve">111253554</t>
  </si>
  <si>
    <t xml:space="preserve">A-E9A2A537</t>
  </si>
  <si>
    <t xml:space="preserve">111286523</t>
  </si>
  <si>
    <t xml:space="preserve">2A KENSINGTON DR MUNRUBEN QLD 4125</t>
  </si>
  <si>
    <t xml:space="preserve">A-EE896540</t>
  </si>
  <si>
    <t xml:space="preserve">111290002</t>
  </si>
  <si>
    <t xml:space="preserve">No 3 Pump Station, Mt Lindesay Hwy, Jimboomba, QLD 4280</t>
  </si>
  <si>
    <t xml:space="preserve">A-AAE2D7A7</t>
  </si>
  <si>
    <t xml:space="preserve">111290840</t>
  </si>
  <si>
    <t xml:space="preserve">12 EAST ST JIMBOOMBA QLD 4280</t>
  </si>
  <si>
    <t xml:space="preserve">111294213</t>
  </si>
  <si>
    <t xml:space="preserve">A-73081867</t>
  </si>
  <si>
    <t xml:space="preserve">111294214</t>
  </si>
  <si>
    <t xml:space="preserve">CARETAKERS RESIDENCE 956-1028 956-1028 UNDERWOOD RD PRIESTDALE QLD 4127</t>
  </si>
  <si>
    <t xml:space="preserve">A-368CE049</t>
  </si>
  <si>
    <t xml:space="preserve">111395771</t>
  </si>
  <si>
    <t xml:space="preserve">1 LANCELOT ST ROCHEDALE SOUTH QLD 4123</t>
  </si>
  <si>
    <t xml:space="preserve">A-CB4EED39</t>
  </si>
  <si>
    <t xml:space="preserve">111406562</t>
  </si>
  <si>
    <t xml:space="preserve">SEWERAGE PUMP STATION 30 HINCHINBROOK AVE BETHANIA QLD 4205</t>
  </si>
  <si>
    <t xml:space="preserve">A-14811B1E</t>
  </si>
  <si>
    <t xml:space="preserve">111439922</t>
  </si>
  <si>
    <t xml:space="preserve">15 ROCHELLE CT EDENS LANDING QLD 4207</t>
  </si>
  <si>
    <t xml:space="preserve">A-8A6BCFEF</t>
  </si>
  <si>
    <t xml:space="preserve">111527389</t>
  </si>
  <si>
    <t xml:space="preserve">PARK LIGHT 39 MATHEWS ST BETHANIA QLD 4205</t>
  </si>
  <si>
    <t xml:space="preserve">A-375CF3F3</t>
  </si>
  <si>
    <t xml:space="preserve">111527399</t>
  </si>
  <si>
    <t xml:space="preserve">10 Cressbrook Ct, Meadowbrook, QLD 4131</t>
  </si>
  <si>
    <t xml:space="preserve">A-552AFBFB</t>
  </si>
  <si>
    <t xml:space="preserve">111554256</t>
  </si>
  <si>
    <t xml:space="preserve">U 303 58 MANILA ST BEENLEIGH QLD 4207</t>
  </si>
  <si>
    <t xml:space="preserve">A-B24E163B</t>
  </si>
  <si>
    <t xml:space="preserve">111614333</t>
  </si>
  <si>
    <t xml:space="preserve">387 Mundoolun Rd, Jimboomba, QLD 4280</t>
  </si>
  <si>
    <t xml:space="preserve">A-621134B0</t>
  </si>
  <si>
    <t xml:space="preserve">111640354</t>
  </si>
  <si>
    <t xml:space="preserve">29 WOODVALE ST BERRINBA QLD 4117</t>
  </si>
  <si>
    <t xml:space="preserve">111641213</t>
  </si>
  <si>
    <t xml:space="preserve">111642985</t>
  </si>
  <si>
    <t xml:space="preserve">111643853</t>
  </si>
  <si>
    <t xml:space="preserve">111650129</t>
  </si>
  <si>
    <t xml:space="preserve">111652859</t>
  </si>
  <si>
    <t xml:space="preserve">A-342F49D1</t>
  </si>
  <si>
    <t xml:space="preserve">111654671</t>
  </si>
  <si>
    <t xml:space="preserve">SEWERAGE PUMPING STATION 7 WARANA CT BORONIA HEIGHTS QLD 4124</t>
  </si>
  <si>
    <t xml:space="preserve">A-1B3EAE26</t>
  </si>
  <si>
    <t xml:space="preserve">111707446</t>
  </si>
  <si>
    <t xml:space="preserve">13A ADELAIDE CCT BEENLEIGH QLD 4207</t>
  </si>
  <si>
    <t xml:space="preserve">111743982</t>
  </si>
  <si>
    <t xml:space="preserve">111745705</t>
  </si>
  <si>
    <t xml:space="preserve">A-94B112A4</t>
  </si>
  <si>
    <t xml:space="preserve">111749826</t>
  </si>
  <si>
    <t xml:space="preserve">SEWERAGE PUMPING STATION Lot 901, FEDERATION DR BETHANIA QLD 4205</t>
  </si>
  <si>
    <t xml:space="preserve">111749839</t>
  </si>
  <si>
    <t xml:space="preserve">A-88504385</t>
  </si>
  <si>
    <t xml:space="preserve">111758016</t>
  </si>
  <si>
    <t xml:space="preserve">P/Stat 2 Wa22, 1 Sanctuary Pkwy, Waterford, QLD 4133</t>
  </si>
  <si>
    <t xml:space="preserve">111763037</t>
  </si>
  <si>
    <t xml:space="preserve">111763860</t>
  </si>
  <si>
    <t xml:space="preserve">A-D38B3A78</t>
  </si>
  <si>
    <t xml:space="preserve">111768012</t>
  </si>
  <si>
    <t xml:space="preserve">SEWERAGE PUMPING STATION 39 BOMPA RD WATERFORD WEST QLD 4133</t>
  </si>
  <si>
    <t xml:space="preserve">A-2FF37B5A</t>
  </si>
  <si>
    <t xml:space="preserve">111882835</t>
  </si>
  <si>
    <t xml:space="preserve">No 1 Pump Station, 1 Johanna St, Jimboomba, QLD 4280</t>
  </si>
  <si>
    <t xml:space="preserve">111884638</t>
  </si>
  <si>
    <t xml:space="preserve">A-0175A2A9</t>
  </si>
  <si>
    <t xml:space="preserve">111889180</t>
  </si>
  <si>
    <t xml:space="preserve">WATER TOWER 3812 MT LINDESAY HWY PARK RIDGE QLD 4125</t>
  </si>
  <si>
    <t xml:space="preserve">A-5FA83FCC</t>
  </si>
  <si>
    <t xml:space="preserve">111910781</t>
  </si>
  <si>
    <t xml:space="preserve">SPS 144 SEWERAGE PUMP STATION 46-54 CLEARWATER ST BETHANIA QLD 4205</t>
  </si>
  <si>
    <t xml:space="preserve">111922989</t>
  </si>
  <si>
    <t xml:space="preserve">A-FBD5DFFD</t>
  </si>
  <si>
    <t xml:space="preserve">111989688</t>
  </si>
  <si>
    <t xml:space="preserve">CENTRAL PARK LIGHTING 1568 WATERFORD TAMBORINE RD YARRABILBA QLD 4207</t>
  </si>
  <si>
    <t xml:space="preserve">A-AEECD58C</t>
  </si>
  <si>
    <t xml:space="preserve">111989691</t>
  </si>
  <si>
    <t xml:space="preserve">Hall, 956 Underwood Rd, Priestdale, QLD 4127</t>
  </si>
  <si>
    <t xml:space="preserve">A-B5C8C3D7</t>
  </si>
  <si>
    <t xml:space="preserve">111989940</t>
  </si>
  <si>
    <t xml:space="preserve">Sewerage Pumping Stn, 18 St Andrews Dr, Cornubia, QLD 4130</t>
  </si>
  <si>
    <t xml:space="preserve">A-E0FBBB27</t>
  </si>
  <si>
    <t xml:space="preserve">111989966</t>
  </si>
  <si>
    <t xml:space="preserve">SEWERAGE PUMPING STATION 13 EIRA CRES EDENS LANDING QLD 4207</t>
  </si>
  <si>
    <t xml:space="preserve">A-D424320F</t>
  </si>
  <si>
    <t xml:space="preserve">111989983</t>
  </si>
  <si>
    <t xml:space="preserve">SHOP 1 105 GEORGE ST BEENLEIGH QLD 4207</t>
  </si>
  <si>
    <t xml:space="preserve">112019767</t>
  </si>
  <si>
    <t xml:space="preserve">A-640B8DB3</t>
  </si>
  <si>
    <t xml:space="preserve">112019768</t>
  </si>
  <si>
    <t xml:space="preserve">Pump Station 1 Wa24, Lot 927 Jarvis Rd, Waterford, QLD 4133</t>
  </si>
  <si>
    <t xml:space="preserve">112052099</t>
  </si>
  <si>
    <t xml:space="preserve">112089680</t>
  </si>
  <si>
    <t xml:space="preserve">A-B11F6932</t>
  </si>
  <si>
    <t xml:space="preserve">112137280</t>
  </si>
  <si>
    <t xml:space="preserve">LOGAN RESEVOIR 525D ILLAWEENA ST DREWVALE QLD 4116</t>
  </si>
  <si>
    <t xml:space="preserve">A-CC753AA1</t>
  </si>
  <si>
    <t xml:space="preserve">112139164</t>
  </si>
  <si>
    <t xml:space="preserve">WATER TOWER IN BONYTHON ST 17 DEEN ST ROCHEDALE SOUTH QLD 4123</t>
  </si>
  <si>
    <t xml:space="preserve">A-8E7CE53C</t>
  </si>
  <si>
    <t xml:space="preserve">112173816</t>
  </si>
  <si>
    <t xml:space="preserve">PINNINGTON PARK PINNINGTON ST CRESTMEAD QLD 4132</t>
  </si>
  <si>
    <t xml:space="preserve">A-3C4ED231</t>
  </si>
  <si>
    <t xml:space="preserve">112242953</t>
  </si>
  <si>
    <t xml:space="preserve">PUMPING STATION 15 LORNA ST BROWNS PLAINS QLD 4118</t>
  </si>
  <si>
    <t xml:space="preserve">A-004871C9</t>
  </si>
  <si>
    <t xml:space="preserve">112282047</t>
  </si>
  <si>
    <t xml:space="preserve">Lot 993, BLUFF RD CEDAR VALE QLD 4285</t>
  </si>
  <si>
    <t xml:space="preserve">112284017</t>
  </si>
  <si>
    <t xml:space="preserve">112290454</t>
  </si>
  <si>
    <t xml:space="preserve">A-2046DD8B</t>
  </si>
  <si>
    <t xml:space="preserve">112341339</t>
  </si>
  <si>
    <t xml:space="preserve">Sewerage Pump #6, 1 Cerina Cct, Jimboomba, QLD 4280</t>
  </si>
  <si>
    <t xml:space="preserve">112344014</t>
  </si>
  <si>
    <t xml:space="preserve">112345101</t>
  </si>
  <si>
    <t xml:space="preserve">112393950</t>
  </si>
  <si>
    <t xml:space="preserve">A-501C314E</t>
  </si>
  <si>
    <t xml:space="preserve">112448667</t>
  </si>
  <si>
    <t xml:space="preserve">11 Anne Collins Cres, Mundoolun, QLD 4285</t>
  </si>
  <si>
    <t xml:space="preserve">A-AB7DCD5B</t>
  </si>
  <si>
    <t xml:space="preserve">112465895</t>
  </si>
  <si>
    <t xml:space="preserve">4 CARTER RD MUNRUBEN QLD 4125</t>
  </si>
  <si>
    <t xml:space="preserve">A-6D791015</t>
  </si>
  <si>
    <t xml:space="preserve">112472948</t>
  </si>
  <si>
    <t xml:space="preserve">COUNCIL SHED 1 GRANGER RD PARK RIDGE SOUTH QLD 4125</t>
  </si>
  <si>
    <t xml:space="preserve">A-FC4A011A</t>
  </si>
  <si>
    <t xml:space="preserve">112510865</t>
  </si>
  <si>
    <t xml:space="preserve">34 EDENLEA DR MEADOWBROOK QLD 4131</t>
  </si>
  <si>
    <t xml:space="preserve">A-1C1B9F86</t>
  </si>
  <si>
    <t xml:space="preserve">112533155</t>
  </si>
  <si>
    <t xml:space="preserve">WOODHILL RESERVOIR Lot 997, APOLLO CT CEDAR VALE QLD 4285</t>
  </si>
  <si>
    <t xml:space="preserve">112536569</t>
  </si>
  <si>
    <t xml:space="preserve">A-096B081B</t>
  </si>
  <si>
    <t xml:space="preserve">112617554</t>
  </si>
  <si>
    <t xml:space="preserve">Sewerage Pump, 88 Charles Ave, Logan Central, QLD 4114</t>
  </si>
  <si>
    <t xml:space="preserve">A-5B7A5299</t>
  </si>
  <si>
    <t xml:space="preserve">112654444</t>
  </si>
  <si>
    <t xml:space="preserve">10 Arac St, Woodridge, QLD 4114</t>
  </si>
  <si>
    <t xml:space="preserve">A-EB7C7F4A</t>
  </si>
  <si>
    <t xml:space="preserve">112693777</t>
  </si>
  <si>
    <t xml:space="preserve">Water Supply Booster Pump, 30 Springvale Cct, Underwood, QLD 4119</t>
  </si>
  <si>
    <t xml:space="preserve">A-E539EF3B</t>
  </si>
  <si>
    <t xml:space="preserve">112767115</t>
  </si>
  <si>
    <t xml:space="preserve">U 201 58 MANILA ST BEENLEIGH QLD 4207</t>
  </si>
  <si>
    <t xml:space="preserve">A-E3572294</t>
  </si>
  <si>
    <t xml:space="preserve">112767206</t>
  </si>
  <si>
    <t xml:space="preserve">U 301, 58 Manilla St, Beenleigh, QLD 4207</t>
  </si>
  <si>
    <t xml:space="preserve">A-F0BBFB7D</t>
  </si>
  <si>
    <t xml:space="preserve">112773014</t>
  </si>
  <si>
    <t xml:space="preserve">Ct, 339 Browns Plains Rd, Heritage Park, QLD 4118</t>
  </si>
  <si>
    <t xml:space="preserve">A-7D889057</t>
  </si>
  <si>
    <t xml:space="preserve">112774060</t>
  </si>
  <si>
    <t xml:space="preserve">U 302 58 MANILA ST BEENLEIGH QLD 4207</t>
  </si>
  <si>
    <t xml:space="preserve">A-37390C9C</t>
  </si>
  <si>
    <t xml:space="preserve">112784031</t>
  </si>
  <si>
    <t xml:space="preserve">BROWNS PLAINS SMART TIP 359 BROWNS PLAINS RD BROWNS PLAINS QLD 4118</t>
  </si>
  <si>
    <t xml:space="preserve">112818094</t>
  </si>
  <si>
    <t xml:space="preserve">A-1F221EB9</t>
  </si>
  <si>
    <t xml:space="preserve">112820702</t>
  </si>
  <si>
    <t xml:space="preserve">Water Flow Meter, 106 Muchow Rd, Waterford West, QLD 4133</t>
  </si>
  <si>
    <t xml:space="preserve">A-2E977D32</t>
  </si>
  <si>
    <t xml:space="preserve">112824593</t>
  </si>
  <si>
    <t xml:space="preserve">Sewage Pump Station, 26 Quarrian Cres, Beenleigh, QLD 4207</t>
  </si>
  <si>
    <t xml:space="preserve">112827551</t>
  </si>
  <si>
    <t xml:space="preserve">112839692</t>
  </si>
  <si>
    <t xml:space="preserve">A-66C28F1F</t>
  </si>
  <si>
    <t xml:space="preserve">112869810</t>
  </si>
  <si>
    <t xml:space="preserve">3 Zuleikha Dr, Underwood, QLD 4119</t>
  </si>
  <si>
    <t xml:space="preserve">112873919</t>
  </si>
  <si>
    <t xml:space="preserve">112877803</t>
  </si>
  <si>
    <t xml:space="preserve">A-86E09F6C</t>
  </si>
  <si>
    <t xml:space="preserve">112889897</t>
  </si>
  <si>
    <t xml:space="preserve">24 LAKE AMAROO CT LOGAN RESERVE QLD 4133</t>
  </si>
  <si>
    <t xml:space="preserve">112899892</t>
  </si>
  <si>
    <t xml:space="preserve">A-98F77735</t>
  </si>
  <si>
    <t xml:space="preserve">112904354</t>
  </si>
  <si>
    <t xml:space="preserve">U 2 TULLY PK SPORTING COMPLEX Lot 50, BERYL PDE NORTH MACLEAN QLD 4280</t>
  </si>
  <si>
    <t xml:space="preserve">112910459</t>
  </si>
  <si>
    <t xml:space="preserve">A-D623B721</t>
  </si>
  <si>
    <t xml:space="preserve">112917188</t>
  </si>
  <si>
    <t xml:space="preserve">Lower River Walk - Bridge, Lot 1 Omaru St, Loganholme, QLD 4129</t>
  </si>
  <si>
    <t xml:space="preserve">A-96A45C19</t>
  </si>
  <si>
    <t xml:space="preserve">112940593</t>
  </si>
  <si>
    <t xml:space="preserve">88 St Andrews Dr, Cornubia, QLD 4130</t>
  </si>
  <si>
    <t xml:space="preserve">113005128</t>
  </si>
  <si>
    <t xml:space="preserve">113018397</t>
  </si>
  <si>
    <t xml:space="preserve">113058791</t>
  </si>
  <si>
    <t xml:space="preserve">113102851</t>
  </si>
  <si>
    <t xml:space="preserve">113102862</t>
  </si>
  <si>
    <t xml:space="preserve">113102922</t>
  </si>
  <si>
    <t xml:space="preserve">113102923</t>
  </si>
  <si>
    <t xml:space="preserve">113102924</t>
  </si>
  <si>
    <t xml:space="preserve">113102932</t>
  </si>
  <si>
    <t xml:space="preserve">113102933</t>
  </si>
  <si>
    <t xml:space="preserve">113103014</t>
  </si>
  <si>
    <t xml:space="preserve">113103015</t>
  </si>
  <si>
    <t xml:space="preserve">113103017</t>
  </si>
  <si>
    <t xml:space="preserve">113103019</t>
  </si>
  <si>
    <t xml:space="preserve">113103020</t>
  </si>
  <si>
    <t xml:space="preserve">113103024</t>
  </si>
  <si>
    <t xml:space="preserve">113103025</t>
  </si>
  <si>
    <t xml:space="preserve">113103036</t>
  </si>
  <si>
    <t xml:space="preserve">113103038</t>
  </si>
  <si>
    <t xml:space="preserve">113103039</t>
  </si>
  <si>
    <t xml:space="preserve">113103041</t>
  </si>
  <si>
    <t xml:space="preserve">113103042</t>
  </si>
  <si>
    <t xml:space="preserve">113103054</t>
  </si>
  <si>
    <t xml:space="preserve">113103063</t>
  </si>
  <si>
    <t xml:space="preserve">113103065</t>
  </si>
  <si>
    <t xml:space="preserve">113103067</t>
  </si>
  <si>
    <t xml:space="preserve">113103069</t>
  </si>
  <si>
    <t xml:space="preserve">113103071</t>
  </si>
  <si>
    <t xml:space="preserve">113103072</t>
  </si>
  <si>
    <t xml:space="preserve">113103073</t>
  </si>
  <si>
    <t xml:space="preserve">113103074</t>
  </si>
  <si>
    <t xml:space="preserve">113103075</t>
  </si>
  <si>
    <t xml:space="preserve">113103078</t>
  </si>
  <si>
    <t xml:space="preserve">113103079</t>
  </si>
  <si>
    <t xml:space="preserve">113103080</t>
  </si>
  <si>
    <t xml:space="preserve">113103083</t>
  </si>
  <si>
    <t xml:space="preserve">113103088</t>
  </si>
  <si>
    <t xml:space="preserve">113103090</t>
  </si>
  <si>
    <t xml:space="preserve">113103091</t>
  </si>
  <si>
    <t xml:space="preserve">113103092</t>
  </si>
  <si>
    <t xml:space="preserve">113103094</t>
  </si>
  <si>
    <t xml:space="preserve">113103095</t>
  </si>
  <si>
    <t xml:space="preserve">113103096</t>
  </si>
  <si>
    <t xml:space="preserve">113103097</t>
  </si>
  <si>
    <t xml:space="preserve">113103098</t>
  </si>
  <si>
    <t xml:space="preserve">113103099</t>
  </si>
  <si>
    <t xml:space="preserve">113103100</t>
  </si>
  <si>
    <t xml:space="preserve">113103101</t>
  </si>
  <si>
    <t xml:space="preserve">113103103</t>
  </si>
  <si>
    <t xml:space="preserve">113103104</t>
  </si>
  <si>
    <t xml:space="preserve">113103108</t>
  </si>
  <si>
    <t xml:space="preserve">113103110</t>
  </si>
  <si>
    <t xml:space="preserve">113103111</t>
  </si>
  <si>
    <t xml:space="preserve">113103112</t>
  </si>
  <si>
    <t xml:space="preserve">113103138</t>
  </si>
  <si>
    <t xml:space="preserve">113103141</t>
  </si>
  <si>
    <t xml:space="preserve">113103147</t>
  </si>
  <si>
    <t xml:space="preserve">113103149</t>
  </si>
  <si>
    <t xml:space="preserve">113103284</t>
  </si>
  <si>
    <t xml:space="preserve">113103367</t>
  </si>
  <si>
    <t xml:space="preserve">113103369</t>
  </si>
  <si>
    <t xml:space="preserve">113103373</t>
  </si>
  <si>
    <t xml:space="preserve">113103376</t>
  </si>
  <si>
    <t xml:space="preserve">113103377</t>
  </si>
  <si>
    <t xml:space="preserve">113103378</t>
  </si>
  <si>
    <t xml:space="preserve">113103380</t>
  </si>
  <si>
    <t xml:space="preserve">113103415</t>
  </si>
  <si>
    <t xml:space="preserve">113103417</t>
  </si>
  <si>
    <t xml:space="preserve">113103424</t>
  </si>
  <si>
    <t xml:space="preserve">113104995</t>
  </si>
  <si>
    <t xml:space="preserve">113104999</t>
  </si>
  <si>
    <t xml:space="preserve">113105000</t>
  </si>
  <si>
    <t xml:space="preserve">113105003</t>
  </si>
  <si>
    <t xml:space="preserve">113105009</t>
  </si>
  <si>
    <t xml:space="preserve">113105096</t>
  </si>
  <si>
    <t xml:space="preserve">113105097</t>
  </si>
  <si>
    <t xml:space="preserve">113131783</t>
  </si>
  <si>
    <t xml:space="preserve">113149617</t>
  </si>
  <si>
    <t xml:space="preserve">113177096</t>
  </si>
  <si>
    <t xml:space="preserve">113181158</t>
  </si>
  <si>
    <t xml:space="preserve">A-7549A49C</t>
  </si>
  <si>
    <t xml:space="preserve">113360386</t>
  </si>
  <si>
    <t xml:space="preserve">Mckinnon Sports Park North, Lot 910 Yarrabilba Dr, Yarrabilba, QLD 4207</t>
  </si>
  <si>
    <t xml:space="preserve">113362902</t>
  </si>
  <si>
    <t xml:space="preserve">113400372</t>
  </si>
  <si>
    <t xml:space="preserve">113423856</t>
  </si>
  <si>
    <t xml:space="preserve">113563292</t>
  </si>
  <si>
    <t xml:space="preserve">113606395</t>
  </si>
  <si>
    <t xml:space="preserve">113660867</t>
  </si>
  <si>
    <t xml:space="preserve">113710897</t>
  </si>
  <si>
    <t xml:space="preserve">113711778</t>
  </si>
  <si>
    <t xml:space="preserve">113779066</t>
  </si>
  <si>
    <t xml:space="preserve">113787421</t>
  </si>
  <si>
    <t xml:space="preserve">113788489</t>
  </si>
  <si>
    <t xml:space="preserve">113825543</t>
  </si>
  <si>
    <t xml:space="preserve">113843842</t>
  </si>
  <si>
    <t xml:space="preserve">113853182</t>
  </si>
  <si>
    <t xml:space="preserve">113853196</t>
  </si>
  <si>
    <t xml:space="preserve">113874604</t>
  </si>
  <si>
    <t xml:space="preserve">114063585</t>
  </si>
  <si>
    <t xml:space="preserve">114100230</t>
  </si>
  <si>
    <t xml:space="preserve">114159592</t>
  </si>
  <si>
    <t xml:space="preserve">114160721</t>
  </si>
  <si>
    <t xml:space="preserve">114251176</t>
  </si>
  <si>
    <t xml:space="preserve">114312442</t>
  </si>
  <si>
    <t xml:space="preserve">114380124</t>
  </si>
  <si>
    <t xml:space="preserve">114380169</t>
  </si>
  <si>
    <t xml:space="preserve">114439228</t>
  </si>
  <si>
    <t xml:space="preserve">114515040</t>
  </si>
  <si>
    <t xml:space="preserve">114515048</t>
  </si>
  <si>
    <t xml:space="preserve">114515049</t>
  </si>
  <si>
    <t xml:space="preserve">114515052</t>
  </si>
  <si>
    <t xml:space="preserve">114517297</t>
  </si>
  <si>
    <t xml:space="preserve">114538634</t>
  </si>
  <si>
    <t xml:space="preserve">114548555</t>
  </si>
  <si>
    <t xml:space="preserve">115054708</t>
  </si>
  <si>
    <t xml:space="preserve">A-56BCA7FF</t>
  </si>
  <si>
    <t xml:space="preserve">81049201</t>
  </si>
  <si>
    <t xml:space="preserve">31 MOLONEY RD WATERFORD WEST QLD 4133</t>
  </si>
  <si>
    <t xml:space="preserve">A-07C83AE0</t>
  </si>
  <si>
    <t xml:space="preserve">88834203</t>
  </si>
  <si>
    <t xml:space="preserve">Unit 1, 10A Railway Pde, Logan Central, QLD 4114</t>
  </si>
  <si>
    <t xml:space="preserve">A-BD9501BB</t>
  </si>
  <si>
    <t xml:space="preserve">96824120</t>
  </si>
  <si>
    <t xml:space="preserve">L 6 TENANCY 1 106 CITY RD BEENLEIGH QLD 4207</t>
  </si>
  <si>
    <t xml:space="preserve">A-2000FEDD</t>
  </si>
  <si>
    <t xml:space="preserve">111111603</t>
  </si>
  <si>
    <t xml:space="preserve">JIMBOOMBA STANDPIPE 2 TAMBORINE ST JIMBOOMBA QLD 4280</t>
  </si>
  <si>
    <t xml:space="preserve">A-C65C540D</t>
  </si>
  <si>
    <t xml:space="preserve">111125036</t>
  </si>
  <si>
    <t xml:space="preserve">19 NERIDA ST ROCHEDALE SOUTH QLD 4123</t>
  </si>
  <si>
    <t xml:space="preserve">112963183</t>
  </si>
  <si>
    <t xml:space="preserve">112974539</t>
  </si>
  <si>
    <t xml:space="preserve">113117463</t>
  </si>
  <si>
    <t xml:space="preserve">113168828</t>
  </si>
  <si>
    <t xml:space="preserve">113175718</t>
  </si>
  <si>
    <t xml:space="preserve">113179095</t>
  </si>
  <si>
    <t xml:space="preserve">113179737</t>
  </si>
  <si>
    <t xml:space="preserve">113185604</t>
  </si>
  <si>
    <t xml:space="preserve">113191695</t>
  </si>
  <si>
    <t xml:space="preserve">113259195</t>
  </si>
  <si>
    <t xml:space="preserve">113337305</t>
  </si>
  <si>
    <t xml:space="preserve">113344228</t>
  </si>
  <si>
    <t xml:space="preserve">113344819</t>
  </si>
  <si>
    <t xml:space="preserve">Office Block, 1801 Mount Cotton Rd, Cornubia, QLD 4130</t>
  </si>
  <si>
    <t xml:space="preserve">113348243</t>
  </si>
  <si>
    <t xml:space="preserve">113367734</t>
  </si>
  <si>
    <t xml:space="preserve">113370478</t>
  </si>
  <si>
    <t xml:space="preserve">113416740</t>
  </si>
  <si>
    <t xml:space="preserve">113418121</t>
  </si>
  <si>
    <t xml:space="preserve">113419540</t>
  </si>
  <si>
    <t xml:space="preserve">113431499</t>
  </si>
  <si>
    <t xml:space="preserve">113432850</t>
  </si>
  <si>
    <t xml:space="preserve">113497682</t>
  </si>
  <si>
    <t xml:space="preserve">113513957</t>
  </si>
  <si>
    <t xml:space="preserve">113606538</t>
  </si>
  <si>
    <t xml:space="preserve">113615773</t>
  </si>
  <si>
    <t xml:space="preserve">113624953</t>
  </si>
  <si>
    <t xml:space="preserve">113631451</t>
  </si>
  <si>
    <t xml:space="preserve">113642089</t>
  </si>
  <si>
    <t xml:space="preserve">113663267</t>
  </si>
  <si>
    <t xml:space="preserve">113664091</t>
  </si>
  <si>
    <t xml:space="preserve">113685488</t>
  </si>
  <si>
    <t xml:space="preserve">113799048</t>
  </si>
  <si>
    <t xml:space="preserve">113826184</t>
  </si>
  <si>
    <t xml:space="preserve">113833096</t>
  </si>
  <si>
    <t xml:space="preserve">113865855</t>
  </si>
  <si>
    <t xml:space="preserve">113869679</t>
  </si>
  <si>
    <t xml:space="preserve">113875842</t>
  </si>
  <si>
    <t xml:space="preserve">113904728</t>
  </si>
  <si>
    <t xml:space="preserve">113952859</t>
  </si>
  <si>
    <t xml:space="preserve">113960292</t>
  </si>
  <si>
    <t xml:space="preserve">113983454</t>
  </si>
  <si>
    <t xml:space="preserve">113984436</t>
  </si>
  <si>
    <t xml:space="preserve">113987192</t>
  </si>
  <si>
    <t xml:space="preserve">114008886</t>
  </si>
  <si>
    <t xml:space="preserve">114093183</t>
  </si>
  <si>
    <t xml:space="preserve">114101813</t>
  </si>
  <si>
    <t xml:space="preserve">114109752</t>
  </si>
  <si>
    <t xml:space="preserve">114118767</t>
  </si>
  <si>
    <t xml:space="preserve">114254704</t>
  </si>
  <si>
    <t xml:space="preserve">114330733</t>
  </si>
  <si>
    <t xml:space="preserve">114340561</t>
  </si>
  <si>
    <t xml:space="preserve">114345995</t>
  </si>
  <si>
    <t xml:space="preserve">114350014</t>
  </si>
  <si>
    <t xml:space="preserve">114394652</t>
  </si>
  <si>
    <t xml:space="preserve">114396760</t>
  </si>
  <si>
    <t xml:space="preserve">114410550</t>
  </si>
  <si>
    <t xml:space="preserve">114435113</t>
  </si>
  <si>
    <t xml:space="preserve">114441680</t>
  </si>
  <si>
    <t xml:space="preserve">114442486</t>
  </si>
  <si>
    <t xml:space="preserve">114543583</t>
  </si>
  <si>
    <t xml:space="preserve">114548563</t>
  </si>
  <si>
    <t xml:space="preserve">114549249</t>
  </si>
  <si>
    <t xml:space="preserve">114560069</t>
  </si>
  <si>
    <t xml:space="preserve">114560791</t>
  </si>
  <si>
    <t xml:space="preserve">114563023</t>
  </si>
  <si>
    <t xml:space="preserve">114563774</t>
  </si>
  <si>
    <t xml:space="preserve">114659015</t>
  </si>
  <si>
    <t xml:space="preserve">114709743</t>
  </si>
  <si>
    <t xml:space="preserve">114717399</t>
  </si>
  <si>
    <t xml:space="preserve">114739309</t>
  </si>
  <si>
    <t xml:space="preserve">114783166</t>
  </si>
  <si>
    <t xml:space="preserve">114911980</t>
  </si>
  <si>
    <t xml:space="preserve">114936668</t>
  </si>
  <si>
    <t xml:space="preserve">114952831</t>
  </si>
  <si>
    <t xml:space="preserve">114969385</t>
  </si>
  <si>
    <t xml:space="preserve">114969420</t>
  </si>
  <si>
    <t xml:space="preserve">114969446</t>
  </si>
  <si>
    <t xml:space="preserve">114969460</t>
  </si>
  <si>
    <t xml:space="preserve">114969473</t>
  </si>
  <si>
    <t xml:space="preserve">114969483</t>
  </si>
  <si>
    <t xml:space="preserve">114969498</t>
  </si>
  <si>
    <t xml:space="preserve">115054379</t>
  </si>
  <si>
    <t xml:space="preserve">115054387</t>
  </si>
  <si>
    <t xml:space="preserve">115054579</t>
  </si>
  <si>
    <t xml:space="preserve">115054580</t>
  </si>
  <si>
    <t xml:space="preserve">115054581</t>
  </si>
  <si>
    <t xml:space="preserve">115054582</t>
  </si>
  <si>
    <t xml:space="preserve">115054585</t>
  </si>
  <si>
    <t xml:space="preserve">115054588</t>
  </si>
  <si>
    <t xml:space="preserve">115054589</t>
  </si>
  <si>
    <t xml:space="preserve">115054595</t>
  </si>
  <si>
    <t xml:space="preserve">Bbq Hugh Muntz Gardens, Reisers Rd, Beenleigh, QLD 4207</t>
  </si>
  <si>
    <t xml:space="preserve">115054597</t>
  </si>
  <si>
    <t xml:space="preserve">115054649</t>
  </si>
  <si>
    <t xml:space="preserve">115054696</t>
  </si>
  <si>
    <t xml:space="preserve">115054702</t>
  </si>
  <si>
    <t xml:space="preserve">115054704</t>
  </si>
  <si>
    <t xml:space="preserve">115054710</t>
  </si>
  <si>
    <t xml:space="preserve">115054711</t>
  </si>
  <si>
    <t xml:space="preserve">115054820</t>
  </si>
  <si>
    <t xml:space="preserve">115054821</t>
  </si>
  <si>
    <t xml:space="preserve">115054822</t>
  </si>
  <si>
    <t xml:space="preserve">115054825</t>
  </si>
  <si>
    <t xml:space="preserve">115054826</t>
  </si>
  <si>
    <t xml:space="preserve">115054827</t>
  </si>
  <si>
    <t xml:space="preserve">115054829</t>
  </si>
  <si>
    <t xml:space="preserve">115054834</t>
  </si>
  <si>
    <t xml:space="preserve">115054851</t>
  </si>
  <si>
    <t xml:space="preserve">115054871</t>
  </si>
  <si>
    <t xml:space="preserve">115054873</t>
  </si>
  <si>
    <t xml:space="preserve">115054875</t>
  </si>
  <si>
    <t xml:space="preserve">115054876</t>
  </si>
  <si>
    <t xml:space="preserve">115054878</t>
  </si>
  <si>
    <t xml:space="preserve">115054884</t>
  </si>
  <si>
    <t xml:space="preserve">115054886</t>
  </si>
  <si>
    <t xml:space="preserve">115054887</t>
  </si>
  <si>
    <t xml:space="preserve">115054889</t>
  </si>
  <si>
    <t xml:space="preserve">115054890</t>
  </si>
  <si>
    <t xml:space="preserve">115054893</t>
  </si>
  <si>
    <t xml:space="preserve">115054895</t>
  </si>
  <si>
    <t xml:space="preserve">115054897</t>
  </si>
  <si>
    <t xml:space="preserve">115054904</t>
  </si>
  <si>
    <t xml:space="preserve">115054905</t>
  </si>
  <si>
    <t xml:space="preserve">115054906</t>
  </si>
  <si>
    <t xml:space="preserve">115054908</t>
  </si>
  <si>
    <t xml:space="preserve">115054909</t>
  </si>
  <si>
    <t xml:space="preserve">115054911</t>
  </si>
  <si>
    <t xml:space="preserve">115054913</t>
  </si>
  <si>
    <t xml:space="preserve">115054915</t>
  </si>
  <si>
    <t xml:space="preserve">115054916</t>
  </si>
  <si>
    <t xml:space="preserve">115054917</t>
  </si>
  <si>
    <t xml:space="preserve">115054919</t>
  </si>
  <si>
    <t xml:space="preserve">115054920</t>
  </si>
  <si>
    <t xml:space="preserve">115054921</t>
  </si>
  <si>
    <t xml:space="preserve">115054931</t>
  </si>
  <si>
    <t xml:space="preserve">115054934</t>
  </si>
  <si>
    <t xml:space="preserve">115054935</t>
  </si>
  <si>
    <t xml:space="preserve">115054938</t>
  </si>
  <si>
    <t xml:space="preserve">115054943</t>
  </si>
  <si>
    <t xml:space="preserve">115054948</t>
  </si>
  <si>
    <t xml:space="preserve">115054960</t>
  </si>
  <si>
    <t xml:space="preserve">115054962</t>
  </si>
  <si>
    <t xml:space="preserve">115054965</t>
  </si>
  <si>
    <t xml:space="preserve">115054967</t>
  </si>
  <si>
    <t xml:space="preserve">115055650</t>
  </si>
  <si>
    <t xml:space="preserve">115055663</t>
  </si>
  <si>
    <t xml:space="preserve">115055664</t>
  </si>
  <si>
    <t xml:space="preserve">115056210</t>
  </si>
  <si>
    <t xml:space="preserve">115056215</t>
  </si>
  <si>
    <t xml:space="preserve">115056224</t>
  </si>
  <si>
    <t xml:space="preserve">115056276</t>
  </si>
  <si>
    <t xml:space="preserve">115076335</t>
  </si>
  <si>
    <t xml:space="preserve">115088799</t>
  </si>
  <si>
    <t xml:space="preserve">115170345</t>
  </si>
  <si>
    <t xml:space="preserve">115174429</t>
  </si>
  <si>
    <t xml:space="preserve">115180822</t>
  </si>
  <si>
    <t xml:space="preserve">115194493</t>
  </si>
  <si>
    <t xml:space="preserve">115204279</t>
  </si>
  <si>
    <t xml:space="preserve">115266907</t>
  </si>
  <si>
    <t xml:space="preserve">115268347</t>
  </si>
  <si>
    <t xml:space="preserve">115268348</t>
  </si>
  <si>
    <t xml:space="preserve">115268349</t>
  </si>
  <si>
    <t xml:space="preserve">115268381</t>
  </si>
  <si>
    <t xml:space="preserve">115277463</t>
  </si>
  <si>
    <t xml:space="preserve">115283285</t>
  </si>
  <si>
    <t xml:space="preserve">115292175</t>
  </si>
  <si>
    <t xml:space="preserve">115296514</t>
  </si>
  <si>
    <t xml:space="preserve">A-8675D0DE</t>
  </si>
  <si>
    <t xml:space="preserve">115391342</t>
  </si>
  <si>
    <t xml:space="preserve">86 SCHOOL RD LOGAN RESERVE QLD 4133</t>
  </si>
  <si>
    <t xml:space="preserve">115405144</t>
  </si>
  <si>
    <t xml:space="preserve">115498180</t>
  </si>
  <si>
    <t xml:space="preserve">115500286</t>
  </si>
  <si>
    <t xml:space="preserve">115501645</t>
  </si>
  <si>
    <t xml:space="preserve">115511444</t>
  </si>
  <si>
    <t xml:space="preserve">115516631</t>
  </si>
  <si>
    <t xml:space="preserve">115526990</t>
  </si>
  <si>
    <t xml:space="preserve">115540919</t>
  </si>
  <si>
    <t xml:space="preserve">115541500</t>
  </si>
  <si>
    <t xml:space="preserve">115575238</t>
  </si>
  <si>
    <t xml:space="preserve">115585528</t>
  </si>
  <si>
    <t xml:space="preserve">115705043</t>
  </si>
  <si>
    <t xml:space="preserve">115722613</t>
  </si>
  <si>
    <t xml:space="preserve">115729647</t>
  </si>
  <si>
    <t xml:space="preserve">115740346</t>
  </si>
  <si>
    <t xml:space="preserve">115751474</t>
  </si>
  <si>
    <t xml:space="preserve">115752200</t>
  </si>
  <si>
    <t xml:space="preserve">115752209</t>
  </si>
  <si>
    <t xml:space="preserve">115755287</t>
  </si>
  <si>
    <t xml:space="preserve">115770924</t>
  </si>
  <si>
    <t xml:space="preserve">115786936</t>
  </si>
  <si>
    <t xml:space="preserve">115807585</t>
  </si>
  <si>
    <t xml:space="preserve">115820658</t>
  </si>
  <si>
    <t xml:space="preserve">115824733</t>
  </si>
  <si>
    <t xml:space="preserve">115841654</t>
  </si>
  <si>
    <t xml:space="preserve">115858261</t>
  </si>
  <si>
    <t xml:space="preserve">115861004</t>
  </si>
  <si>
    <t xml:space="preserve">115911363</t>
  </si>
  <si>
    <t xml:space="preserve">115934317</t>
  </si>
  <si>
    <t xml:space="preserve">115934320</t>
  </si>
  <si>
    <t xml:space="preserve">115935819</t>
  </si>
  <si>
    <t xml:space="preserve">115960300</t>
  </si>
  <si>
    <t xml:space="preserve">115961428</t>
  </si>
  <si>
    <t xml:space="preserve">115968596</t>
  </si>
  <si>
    <t xml:space="preserve">115984529</t>
  </si>
  <si>
    <t xml:space="preserve">115990765</t>
  </si>
  <si>
    <t xml:space="preserve">116063335</t>
  </si>
  <si>
    <t xml:space="preserve">116077050</t>
  </si>
  <si>
    <t xml:space="preserve">116084689</t>
  </si>
  <si>
    <t xml:space="preserve">A-C4EBEE42</t>
  </si>
  <si>
    <t xml:space="preserve">116091221</t>
  </si>
  <si>
    <t xml:space="preserve">SEWER PUMP STN LOT 899 S0107809 Lot 1, MAGENTA ST GREENBANK QLD 4124</t>
  </si>
  <si>
    <t xml:space="preserve">116110422</t>
  </si>
  <si>
    <t xml:space="preserve">116138527</t>
  </si>
  <si>
    <t xml:space="preserve">116150632</t>
  </si>
  <si>
    <t xml:space="preserve">116156741</t>
  </si>
  <si>
    <t xml:space="preserve">116197924</t>
  </si>
  <si>
    <t xml:space="preserve">116246742</t>
  </si>
  <si>
    <t xml:space="preserve">116258980</t>
  </si>
  <si>
    <t xml:space="preserve">116259534</t>
  </si>
  <si>
    <t xml:space="preserve">116317651</t>
  </si>
  <si>
    <t xml:space="preserve">116357563</t>
  </si>
  <si>
    <t xml:space="preserve">116404235</t>
  </si>
  <si>
    <t xml:space="preserve">116404968</t>
  </si>
  <si>
    <t xml:space="preserve">116430266</t>
  </si>
  <si>
    <t xml:space="preserve">116447146</t>
  </si>
  <si>
    <t xml:space="preserve">116447871</t>
  </si>
  <si>
    <t xml:space="preserve">116454155</t>
  </si>
  <si>
    <t xml:space="preserve">116456998</t>
  </si>
  <si>
    <t xml:space="preserve">116457768</t>
  </si>
  <si>
    <t xml:space="preserve">116521936</t>
  </si>
  <si>
    <t xml:space="preserve">116587015</t>
  </si>
  <si>
    <t xml:space="preserve">116634965</t>
  </si>
  <si>
    <t xml:space="preserve">116672061</t>
  </si>
  <si>
    <t xml:space="preserve">116672064</t>
  </si>
  <si>
    <t xml:space="preserve">116672067</t>
  </si>
  <si>
    <t xml:space="preserve">116672257</t>
  </si>
  <si>
    <t xml:space="preserve">116718722</t>
  </si>
  <si>
    <t xml:space="preserve">116783532</t>
  </si>
  <si>
    <t xml:space="preserve">116873170</t>
  </si>
  <si>
    <t xml:space="preserve">116913749</t>
  </si>
  <si>
    <t xml:space="preserve">116923842</t>
  </si>
  <si>
    <t xml:space="preserve">116928023</t>
  </si>
  <si>
    <t xml:space="preserve">116929455</t>
  </si>
  <si>
    <t xml:space="preserve">116933515</t>
  </si>
  <si>
    <t xml:space="preserve">116952445</t>
  </si>
  <si>
    <t xml:space="preserve">116997689</t>
  </si>
  <si>
    <t xml:space="preserve">117008253</t>
  </si>
  <si>
    <t xml:space="preserve">117021051</t>
  </si>
  <si>
    <t xml:space="preserve">117021780</t>
  </si>
  <si>
    <t xml:space="preserve">117033135</t>
  </si>
  <si>
    <t xml:space="preserve">117033142</t>
  </si>
  <si>
    <t xml:space="preserve">117033156</t>
  </si>
  <si>
    <t xml:space="preserve">117033175</t>
  </si>
  <si>
    <t xml:space="preserve">117033184</t>
  </si>
  <si>
    <t xml:space="preserve">117033189</t>
  </si>
  <si>
    <t xml:space="preserve">117033201</t>
  </si>
  <si>
    <t xml:space="preserve">117033210</t>
  </si>
  <si>
    <t xml:space="preserve">117033222</t>
  </si>
  <si>
    <t xml:space="preserve">117033233</t>
  </si>
  <si>
    <t xml:space="preserve">117033241</t>
  </si>
  <si>
    <t xml:space="preserve">117033250</t>
  </si>
  <si>
    <t xml:space="preserve">117033258</t>
  </si>
  <si>
    <t xml:space="preserve">117033271</t>
  </si>
  <si>
    <t xml:space="preserve">117033280</t>
  </si>
  <si>
    <t xml:space="preserve">117033289</t>
  </si>
  <si>
    <t xml:space="preserve">117033297</t>
  </si>
  <si>
    <t xml:space="preserve">117033314</t>
  </si>
  <si>
    <t xml:space="preserve">117033322</t>
  </si>
  <si>
    <t xml:space="preserve">117033331</t>
  </si>
  <si>
    <t xml:space="preserve">117033356</t>
  </si>
  <si>
    <t xml:space="preserve">117033394</t>
  </si>
  <si>
    <t xml:space="preserve">117033403</t>
  </si>
  <si>
    <t xml:space="preserve">117033413</t>
  </si>
  <si>
    <t xml:space="preserve">117033425</t>
  </si>
  <si>
    <t xml:space="preserve">117033433</t>
  </si>
  <si>
    <t xml:space="preserve">117033461</t>
  </si>
  <si>
    <t xml:space="preserve">117033468</t>
  </si>
  <si>
    <t xml:space="preserve">117033478</t>
  </si>
  <si>
    <t xml:space="preserve">117033484</t>
  </si>
  <si>
    <t xml:space="preserve">117033496</t>
  </si>
  <si>
    <t xml:space="preserve">117033510</t>
  </si>
  <si>
    <t xml:space="preserve">117033531</t>
  </si>
  <si>
    <t xml:space="preserve">117033539</t>
  </si>
  <si>
    <t xml:space="preserve">117033549</t>
  </si>
  <si>
    <t xml:space="preserve">117033560</t>
  </si>
  <si>
    <t xml:space="preserve">117033570</t>
  </si>
  <si>
    <t xml:space="preserve">117033602</t>
  </si>
  <si>
    <t xml:space="preserve">117033610</t>
  </si>
  <si>
    <t xml:space="preserve">117033616</t>
  </si>
  <si>
    <t xml:space="preserve">117033624</t>
  </si>
  <si>
    <t xml:space="preserve">117033634</t>
  </si>
  <si>
    <t xml:space="preserve">117033642</t>
  </si>
  <si>
    <t xml:space="preserve">117033653</t>
  </si>
  <si>
    <t xml:space="preserve">117033658</t>
  </si>
  <si>
    <t xml:space="preserve">117033664</t>
  </si>
  <si>
    <t xml:space="preserve">117033716</t>
  </si>
  <si>
    <t xml:space="preserve">117033724</t>
  </si>
  <si>
    <t xml:space="preserve">117033745</t>
  </si>
  <si>
    <t xml:space="preserve">117033750</t>
  </si>
  <si>
    <t xml:space="preserve">117033761</t>
  </si>
  <si>
    <t xml:space="preserve">117033787</t>
  </si>
  <si>
    <t xml:space="preserve">117033797</t>
  </si>
  <si>
    <t xml:space="preserve">117033810</t>
  </si>
  <si>
    <t xml:space="preserve">117033819</t>
  </si>
  <si>
    <t xml:space="preserve">117033830</t>
  </si>
  <si>
    <t xml:space="preserve">117033840</t>
  </si>
  <si>
    <t xml:space="preserve">117033850</t>
  </si>
  <si>
    <t xml:space="preserve">117033862</t>
  </si>
  <si>
    <t xml:space="preserve">117033883</t>
  </si>
  <si>
    <t xml:space="preserve">117033896</t>
  </si>
  <si>
    <t xml:space="preserve">117033918</t>
  </si>
  <si>
    <t xml:space="preserve">117033927</t>
  </si>
  <si>
    <t xml:space="preserve">117033976</t>
  </si>
  <si>
    <t xml:space="preserve">117033988</t>
  </si>
  <si>
    <t xml:space="preserve">117034000</t>
  </si>
  <si>
    <t xml:space="preserve">117034020</t>
  </si>
  <si>
    <t xml:space="preserve">117034037</t>
  </si>
  <si>
    <t xml:space="preserve">A-FE35E476</t>
  </si>
  <si>
    <t xml:space="preserve">111145252</t>
  </si>
  <si>
    <t xml:space="preserve">A-B2D9445C</t>
  </si>
  <si>
    <t xml:space="preserve">95810839</t>
  </si>
  <si>
    <t xml:space="preserve">743 PLUNKETT RD CEDAR CREEK QLD 4207</t>
  </si>
  <si>
    <t xml:space="preserve">A-E83C5DBC</t>
  </si>
  <si>
    <t xml:space="preserve">115391340</t>
  </si>
  <si>
    <t xml:space="preserve">96 School Rd, Logan Reserve, QLD 4133</t>
  </si>
  <si>
    <t xml:space="preserve">A-681E575B</t>
  </si>
  <si>
    <t xml:space="preserve">116984041</t>
  </si>
  <si>
    <t xml:space="preserve">84 School Rd, Logan Reserve, QLD 4133</t>
  </si>
  <si>
    <t xml:space="preserve">117114129</t>
  </si>
  <si>
    <t xml:space="preserve">117114134</t>
  </si>
  <si>
    <t xml:space="preserve">117114194</t>
  </si>
  <si>
    <t xml:space="preserve">117114202</t>
  </si>
  <si>
    <t xml:space="preserve">117114204</t>
  </si>
  <si>
    <t xml:space="preserve">117114206</t>
  </si>
  <si>
    <t xml:space="preserve">117114207</t>
  </si>
  <si>
    <t xml:space="preserve">117114208</t>
  </si>
  <si>
    <t xml:space="preserve">117114212</t>
  </si>
  <si>
    <t xml:space="preserve">117114214</t>
  </si>
  <si>
    <t xml:space="preserve">117114219</t>
  </si>
  <si>
    <t xml:space="preserve">117114227</t>
  </si>
  <si>
    <t xml:space="preserve">117114232</t>
  </si>
  <si>
    <t xml:space="preserve">117114237</t>
  </si>
  <si>
    <t xml:space="preserve">+00792104978178&gt; +009241+ &lt;0000000000&gt; &lt;0000000000&gt; +444+ ANIMAL MANAGEMENT CENTRE 213-223 213-223 QUEENS RD KINGSTON QLD 4114</t>
  </si>
  <si>
    <t xml:space="preserve">117114594</t>
  </si>
  <si>
    <t xml:space="preserve">117114595</t>
  </si>
  <si>
    <t xml:space="preserve">117114596</t>
  </si>
  <si>
    <t xml:space="preserve">117114602</t>
  </si>
  <si>
    <t xml:space="preserve">117114634</t>
  </si>
  <si>
    <t xml:space="preserve">117114648</t>
  </si>
  <si>
    <t xml:space="preserve">117114650</t>
  </si>
  <si>
    <t xml:space="preserve">117114660</t>
  </si>
  <si>
    <t xml:space="preserve">117114679</t>
  </si>
  <si>
    <t xml:space="preserve">117114681</t>
  </si>
  <si>
    <t xml:space="preserve">117114684</t>
  </si>
  <si>
    <t xml:space="preserve">117114688</t>
  </si>
  <si>
    <t xml:space="preserve">117114692</t>
  </si>
  <si>
    <t xml:space="preserve">117114699</t>
  </si>
  <si>
    <t xml:space="preserve">117114700</t>
  </si>
  <si>
    <t xml:space="preserve">117114701</t>
  </si>
  <si>
    <t xml:space="preserve">117114906</t>
  </si>
  <si>
    <t xml:space="preserve">117114916</t>
  </si>
  <si>
    <t xml:space="preserve">117114927</t>
  </si>
  <si>
    <t xml:space="preserve">117114935</t>
  </si>
  <si>
    <t xml:space="preserve">117114942</t>
  </si>
  <si>
    <t xml:space="preserve">117114943</t>
  </si>
  <si>
    <t xml:space="preserve">117114944</t>
  </si>
  <si>
    <t xml:space="preserve">117114945</t>
  </si>
  <si>
    <t xml:space="preserve">117114947</t>
  </si>
  <si>
    <t xml:space="preserve">117114949</t>
  </si>
  <si>
    <t xml:space="preserve">117114952</t>
  </si>
  <si>
    <t xml:space="preserve">117114953</t>
  </si>
  <si>
    <t xml:space="preserve">117114955</t>
  </si>
  <si>
    <t xml:space="preserve">117114958</t>
  </si>
  <si>
    <t xml:space="preserve">117114964</t>
  </si>
  <si>
    <t xml:space="preserve">117114967</t>
  </si>
  <si>
    <t xml:space="preserve">117114968</t>
  </si>
  <si>
    <t xml:space="preserve">117114969</t>
  </si>
  <si>
    <t xml:space="preserve">117114970</t>
  </si>
  <si>
    <t xml:space="preserve">117114973</t>
  </si>
  <si>
    <t xml:space="preserve">117114974</t>
  </si>
  <si>
    <t xml:space="preserve">117114975</t>
  </si>
  <si>
    <t xml:space="preserve">117114976</t>
  </si>
  <si>
    <t xml:space="preserve">117114977</t>
  </si>
  <si>
    <t xml:space="preserve">117114978</t>
  </si>
  <si>
    <t xml:space="preserve">117114985</t>
  </si>
  <si>
    <t xml:space="preserve">117115172</t>
  </si>
  <si>
    <t xml:space="preserve">117115175</t>
  </si>
  <si>
    <t xml:space="preserve">117115178</t>
  </si>
  <si>
    <t xml:space="preserve">117115179</t>
  </si>
  <si>
    <t xml:space="preserve">117115180</t>
  </si>
  <si>
    <t xml:space="preserve">117115185</t>
  </si>
  <si>
    <t xml:space="preserve">117115188</t>
  </si>
  <si>
    <t xml:space="preserve">117115190</t>
  </si>
  <si>
    <t xml:space="preserve">117115192</t>
  </si>
  <si>
    <t xml:space="preserve">117115194</t>
  </si>
  <si>
    <t xml:space="preserve">117116835</t>
  </si>
  <si>
    <t xml:space="preserve">117116836</t>
  </si>
  <si>
    <t xml:space="preserve">117116837</t>
  </si>
  <si>
    <t xml:space="preserve">117116839</t>
  </si>
  <si>
    <t xml:space="preserve">117116842</t>
  </si>
  <si>
    <t xml:space="preserve">117116843</t>
  </si>
  <si>
    <t xml:space="preserve">117116859</t>
  </si>
  <si>
    <t xml:space="preserve">117139247</t>
  </si>
  <si>
    <t xml:space="preserve">117154104</t>
  </si>
  <si>
    <t xml:space="preserve">A-D0B766AF</t>
  </si>
  <si>
    <t xml:space="preserve">117291854</t>
  </si>
  <si>
    <t xml:space="preserve">466 Chambers Flat Rd, Logan Reserve, QLD 4133</t>
  </si>
  <si>
    <t xml:space="preserve">117805585</t>
  </si>
  <si>
    <t xml:space="preserve">117809142</t>
  </si>
  <si>
    <t xml:space="preserve">117810535</t>
  </si>
  <si>
    <t xml:space="preserve">117816850</t>
  </si>
  <si>
    <t xml:space="preserve">117894959</t>
  </si>
  <si>
    <t xml:space="preserve">118261188</t>
  </si>
  <si>
    <t xml:space="preserve">118261305</t>
  </si>
  <si>
    <t xml:space="preserve">118262709</t>
  </si>
  <si>
    <t xml:space="preserve">118316684</t>
  </si>
  <si>
    <t xml:space="preserve">118333397</t>
  </si>
  <si>
    <t xml:space="preserve">118380210</t>
  </si>
  <si>
    <t xml:space="preserve">118431116</t>
  </si>
  <si>
    <t xml:space="preserve">118449529</t>
  </si>
  <si>
    <t xml:space="preserve">118449567</t>
  </si>
  <si>
    <t xml:space="preserve">118478478</t>
  </si>
  <si>
    <t xml:space="preserve">118613737</t>
  </si>
  <si>
    <t xml:space="preserve">118711355</t>
  </si>
  <si>
    <t xml:space="preserve">118711356</t>
  </si>
  <si>
    <t xml:space="preserve">118711361</t>
  </si>
  <si>
    <t xml:space="preserve">118711372</t>
  </si>
  <si>
    <t xml:space="preserve">118745414</t>
  </si>
  <si>
    <t xml:space="preserve">118905470</t>
  </si>
  <si>
    <t xml:space="preserve">118943187</t>
  </si>
  <si>
    <t xml:space="preserve">118952324</t>
  </si>
  <si>
    <t xml:space="preserve">119233643</t>
  </si>
  <si>
    <t xml:space="preserve">119233688</t>
  </si>
  <si>
    <t xml:space="preserve">119234539</t>
  </si>
  <si>
    <t xml:space="preserve">119234583</t>
  </si>
  <si>
    <t xml:space="preserve">119234744</t>
  </si>
  <si>
    <t xml:space="preserve">119234795</t>
  </si>
  <si>
    <t xml:space="preserve">119234876</t>
  </si>
  <si>
    <t xml:space="preserve">119234947</t>
  </si>
  <si>
    <t xml:space="preserve">119235256</t>
  </si>
  <si>
    <t xml:space="preserve">119235281</t>
  </si>
  <si>
    <t xml:space="preserve">119235350</t>
  </si>
  <si>
    <t xml:space="preserve">119235373</t>
  </si>
  <si>
    <t xml:space="preserve">119235620</t>
  </si>
  <si>
    <t xml:space="preserve">119235657</t>
  </si>
  <si>
    <t xml:space="preserve">119235805</t>
  </si>
  <si>
    <t xml:space="preserve">119235864</t>
  </si>
  <si>
    <t xml:space="preserve">119236029</t>
  </si>
  <si>
    <t xml:space="preserve">119236048</t>
  </si>
  <si>
    <t xml:space="preserve">119236097</t>
  </si>
  <si>
    <t xml:space="preserve">119236139</t>
  </si>
  <si>
    <t xml:space="preserve">119236210</t>
  </si>
  <si>
    <t xml:space="preserve">119236234</t>
  </si>
  <si>
    <t xml:space="preserve">119236314</t>
  </si>
  <si>
    <t xml:space="preserve">119236365</t>
  </si>
  <si>
    <t xml:space="preserve">119237250</t>
  </si>
  <si>
    <t xml:space="preserve">119237368</t>
  </si>
  <si>
    <t xml:space="preserve">119237397</t>
  </si>
  <si>
    <t xml:space="preserve">119237436</t>
  </si>
  <si>
    <t xml:space="preserve">119237482</t>
  </si>
  <si>
    <t xml:space="preserve">119237518</t>
  </si>
  <si>
    <t xml:space="preserve">119237934</t>
  </si>
  <si>
    <t xml:space="preserve">119237970</t>
  </si>
  <si>
    <t xml:space="preserve">119238158</t>
  </si>
  <si>
    <t xml:space="preserve">119238196</t>
  </si>
  <si>
    <t xml:space="preserve">119238302</t>
  </si>
  <si>
    <t xml:space="preserve">119238413</t>
  </si>
  <si>
    <t xml:space="preserve">119238504</t>
  </si>
  <si>
    <t xml:space="preserve">119238573</t>
  </si>
  <si>
    <t xml:space="preserve">119238682</t>
  </si>
  <si>
    <t xml:space="preserve">119238715</t>
  </si>
  <si>
    <t xml:space="preserve">119238776</t>
  </si>
  <si>
    <t xml:space="preserve">A-56132272</t>
  </si>
  <si>
    <t xml:space="preserve">119911877</t>
  </si>
  <si>
    <t xml:space="preserve">NATURE STRIP 79 EASTERN RD BROWNS PLAINS QLD 4118</t>
  </si>
  <si>
    <t xml:space="preserve">A-3704BA7C</t>
  </si>
  <si>
    <t xml:space="preserve">120275767</t>
  </si>
  <si>
    <t xml:space="preserve">FLAGSTONE COMMUNITY CENTRE 51 PARKLANDS DR FLAGSTONE QLD 4280</t>
  </si>
  <si>
    <t xml:space="preserve">117243583</t>
  </si>
  <si>
    <t xml:space="preserve">117248918</t>
  </si>
  <si>
    <t xml:space="preserve">117378223</t>
  </si>
  <si>
    <t xml:space="preserve">117401482</t>
  </si>
  <si>
    <t xml:space="preserve">117404788</t>
  </si>
  <si>
    <t xml:space="preserve">117586831</t>
  </si>
  <si>
    <t xml:space="preserve">117599516</t>
  </si>
  <si>
    <t xml:space="preserve">117781007</t>
  </si>
  <si>
    <t xml:space="preserve">119238812</t>
  </si>
  <si>
    <t xml:space="preserve">119881497</t>
  </si>
  <si>
    <t xml:space="preserve">119881516</t>
  </si>
  <si>
    <t xml:space="preserve">119881535</t>
  </si>
  <si>
    <t xml:space="preserve">119881544</t>
  </si>
  <si>
    <t xml:space="preserve">119881547</t>
  </si>
  <si>
    <t xml:space="preserve">119881548</t>
  </si>
  <si>
    <t xml:space="preserve">119881560</t>
  </si>
  <si>
    <t xml:space="preserve">+00792104978178&gt; +009241+ &lt;0000000000&gt; &lt;0000000000&gt; +444+ SEWERAGE PUMP STATION 54A ALLENBY CRES WINDAROO QLD 4207</t>
  </si>
  <si>
    <t xml:space="preserve">119881564</t>
  </si>
  <si>
    <t xml:space="preserve">119881569</t>
  </si>
  <si>
    <t xml:space="preserve">119881573</t>
  </si>
  <si>
    <t xml:space="preserve">119881577</t>
  </si>
  <si>
    <t xml:space="preserve">119881587</t>
  </si>
  <si>
    <t xml:space="preserve">119881589</t>
  </si>
  <si>
    <t xml:space="preserve">119881594</t>
  </si>
  <si>
    <t xml:space="preserve">119881607</t>
  </si>
  <si>
    <t xml:space="preserve">119881610</t>
  </si>
  <si>
    <t xml:space="preserve">119881614</t>
  </si>
  <si>
    <t xml:space="preserve">119881617</t>
  </si>
  <si>
    <t xml:space="preserve">119881631</t>
  </si>
  <si>
    <t xml:space="preserve">119881632</t>
  </si>
  <si>
    <t xml:space="preserve">119881637</t>
  </si>
  <si>
    <t xml:space="preserve">119881641</t>
  </si>
  <si>
    <t xml:space="preserve">119881644</t>
  </si>
  <si>
    <t xml:space="preserve">119881652</t>
  </si>
  <si>
    <t xml:space="preserve">119881690</t>
  </si>
  <si>
    <t xml:space="preserve">119881691</t>
  </si>
  <si>
    <t xml:space="preserve">119881698</t>
  </si>
  <si>
    <t xml:space="preserve">119881712</t>
  </si>
  <si>
    <t xml:space="preserve">119881731</t>
  </si>
  <si>
    <t xml:space="preserve">119881758</t>
  </si>
  <si>
    <t xml:space="preserve">119881772</t>
  </si>
  <si>
    <t xml:space="preserve">119928658</t>
  </si>
  <si>
    <t xml:space="preserve">120004939</t>
  </si>
  <si>
    <t xml:space="preserve">120072681</t>
  </si>
  <si>
    <t xml:space="preserve">120081282</t>
  </si>
  <si>
    <t xml:space="preserve">120081283</t>
  </si>
  <si>
    <t xml:space="preserve">120240758</t>
  </si>
  <si>
    <t xml:space="preserve">120258496</t>
  </si>
  <si>
    <t xml:space="preserve">120305064</t>
  </si>
  <si>
    <t xml:space="preserve">120362804</t>
  </si>
  <si>
    <t xml:space="preserve">120399801</t>
  </si>
  <si>
    <t xml:space="preserve">120400800</t>
  </si>
  <si>
    <t xml:space="preserve">120437249</t>
  </si>
  <si>
    <t xml:space="preserve">120578518</t>
  </si>
  <si>
    <t xml:space="preserve">120683041</t>
  </si>
  <si>
    <t xml:space="preserve">120683125</t>
  </si>
  <si>
    <t xml:space="preserve">120708831</t>
  </si>
  <si>
    <t xml:space="preserve">120728756</t>
  </si>
  <si>
    <t xml:space="preserve">120795543</t>
  </si>
  <si>
    <t xml:space="preserve">120795544</t>
  </si>
  <si>
    <t xml:space="preserve">120795546</t>
  </si>
  <si>
    <t xml:space="preserve">120795547</t>
  </si>
  <si>
    <t xml:space="preserve">120882843</t>
  </si>
  <si>
    <t xml:space="preserve">120890715</t>
  </si>
  <si>
    <t xml:space="preserve">120923915</t>
  </si>
  <si>
    <t xml:space="preserve">121160978</t>
  </si>
  <si>
    <t xml:space="preserve">121161117</t>
  </si>
  <si>
    <t xml:space="preserve">121161192</t>
  </si>
  <si>
    <t xml:space="preserve">121161324</t>
  </si>
  <si>
    <t xml:space="preserve">121161575</t>
  </si>
  <si>
    <t xml:space="preserve">121261685</t>
  </si>
  <si>
    <t xml:space="preserve">121261693</t>
  </si>
  <si>
    <t xml:space="preserve">121261704</t>
  </si>
  <si>
    <t xml:space="preserve">121261717</t>
  </si>
  <si>
    <t xml:space="preserve">121261770</t>
  </si>
  <si>
    <t xml:space="preserve">121261771</t>
  </si>
  <si>
    <t xml:space="preserve">121261780</t>
  </si>
  <si>
    <t xml:space="preserve">121261782</t>
  </si>
  <si>
    <t xml:space="preserve">121261800</t>
  </si>
  <si>
    <t xml:space="preserve">121261806</t>
  </si>
  <si>
    <t xml:space="preserve">121261807</t>
  </si>
  <si>
    <t xml:space="preserve">121261810</t>
  </si>
  <si>
    <t xml:space="preserve">121261842</t>
  </si>
  <si>
    <t xml:space="preserve">121261852</t>
  </si>
  <si>
    <t xml:space="preserve">121261911</t>
  </si>
  <si>
    <t xml:space="preserve">121261913</t>
  </si>
  <si>
    <t xml:space="preserve">121261924</t>
  </si>
  <si>
    <t xml:space="preserve">121261929</t>
  </si>
  <si>
    <t xml:space="preserve">121261947</t>
  </si>
  <si>
    <t xml:space="preserve">121261952</t>
  </si>
  <si>
    <t xml:space="preserve">121261953</t>
  </si>
  <si>
    <t xml:space="preserve">121261955</t>
  </si>
  <si>
    <t xml:space="preserve">121261957</t>
  </si>
  <si>
    <t xml:space="preserve">121261959</t>
  </si>
  <si>
    <t xml:space="preserve">121261960</t>
  </si>
  <si>
    <t xml:space="preserve">121261966</t>
  </si>
  <si>
    <t xml:space="preserve">121261976</t>
  </si>
  <si>
    <t xml:space="preserve">121261977</t>
  </si>
  <si>
    <t xml:space="preserve">121261978</t>
  </si>
  <si>
    <t xml:space="preserve">121262048</t>
  </si>
  <si>
    <t xml:space="preserve">121262050</t>
  </si>
  <si>
    <t xml:space="preserve">121262051</t>
  </si>
  <si>
    <t xml:space="preserve">121262052</t>
  </si>
  <si>
    <t xml:space="preserve">121262056</t>
  </si>
  <si>
    <t xml:space="preserve">121262059</t>
  </si>
  <si>
    <t xml:space="preserve">121262067</t>
  </si>
  <si>
    <t xml:space="preserve">121262068</t>
  </si>
  <si>
    <t xml:space="preserve">121262070</t>
  </si>
  <si>
    <t xml:space="preserve">121262071</t>
  </si>
  <si>
    <t xml:space="preserve">121262076</t>
  </si>
  <si>
    <t xml:space="preserve">121262155</t>
  </si>
  <si>
    <t xml:space="preserve">121262156</t>
  </si>
  <si>
    <t xml:space="preserve">121262157</t>
  </si>
  <si>
    <t xml:space="preserve">121262158</t>
  </si>
  <si>
    <t xml:space="preserve">121262160</t>
  </si>
  <si>
    <t xml:space="preserve">121262167</t>
  </si>
  <si>
    <t xml:space="preserve">121262170</t>
  </si>
  <si>
    <t xml:space="preserve">121262174</t>
  </si>
  <si>
    <t xml:space="preserve">121262175</t>
  </si>
  <si>
    <t xml:space="preserve">121262176</t>
  </si>
  <si>
    <t xml:space="preserve">121262177</t>
  </si>
  <si>
    <t xml:space="preserve">121262802</t>
  </si>
  <si>
    <t xml:space="preserve">121262807</t>
  </si>
  <si>
    <t xml:space="preserve">121262809</t>
  </si>
  <si>
    <t xml:space="preserve">121262818</t>
  </si>
  <si>
    <t xml:space="preserve">121262822</t>
  </si>
  <si>
    <t xml:space="preserve">121262824</t>
  </si>
  <si>
    <t xml:space="preserve">121262840</t>
  </si>
  <si>
    <t xml:space="preserve">121270870</t>
  </si>
  <si>
    <t xml:space="preserve">121270995</t>
  </si>
  <si>
    <t xml:space="preserve">121271044</t>
  </si>
  <si>
    <t xml:space="preserve">121271131</t>
  </si>
  <si>
    <t xml:space="preserve">121271694</t>
  </si>
  <si>
    <t xml:space="preserve">121271879</t>
  </si>
  <si>
    <t xml:space="preserve">121271940</t>
  </si>
  <si>
    <t xml:space="preserve">121271959</t>
  </si>
  <si>
    <t xml:space="preserve">121284426</t>
  </si>
  <si>
    <t xml:space="preserve">121297280</t>
  </si>
  <si>
    <t xml:space="preserve">121356086</t>
  </si>
  <si>
    <t xml:space="preserve">121356096</t>
  </si>
  <si>
    <t xml:space="preserve">121356100</t>
  </si>
  <si>
    <t xml:space="preserve">121356101</t>
  </si>
  <si>
    <t xml:space="preserve">121356103</t>
  </si>
  <si>
    <t xml:space="preserve">117256598</t>
  </si>
  <si>
    <t xml:space="preserve">117263698</t>
  </si>
  <si>
    <t xml:space="preserve">117267202</t>
  </si>
  <si>
    <t xml:space="preserve">117301903</t>
  </si>
  <si>
    <t xml:space="preserve">117307562</t>
  </si>
  <si>
    <t xml:space="preserve">117390043</t>
  </si>
  <si>
    <t xml:space="preserve">117391681</t>
  </si>
  <si>
    <t xml:space="preserve">117394413</t>
  </si>
  <si>
    <t xml:space="preserve">117401499</t>
  </si>
  <si>
    <t xml:space="preserve">117405337</t>
  </si>
  <si>
    <t xml:space="preserve">117407505</t>
  </si>
  <si>
    <t xml:space="preserve">117481492</t>
  </si>
  <si>
    <t xml:space="preserve">117481950</t>
  </si>
  <si>
    <t xml:space="preserve">117647888</t>
  </si>
  <si>
    <t xml:space="preserve">117701928</t>
  </si>
  <si>
    <t xml:space="preserve">117737585</t>
  </si>
  <si>
    <t xml:space="preserve">117738473</t>
  </si>
  <si>
    <t xml:space="preserve">117800396</t>
  </si>
  <si>
    <t xml:space="preserve">117825696</t>
  </si>
  <si>
    <t xml:space="preserve">117837337</t>
  </si>
  <si>
    <t xml:space="preserve">117855597</t>
  </si>
  <si>
    <t xml:space="preserve">117936405</t>
  </si>
  <si>
    <t xml:space="preserve">118147167</t>
  </si>
  <si>
    <t xml:space="preserve">118147173</t>
  </si>
  <si>
    <t xml:space="preserve">118147418</t>
  </si>
  <si>
    <t xml:space="preserve">118147432</t>
  </si>
  <si>
    <t xml:space="preserve">118147467</t>
  </si>
  <si>
    <t xml:space="preserve">118175286</t>
  </si>
  <si>
    <t xml:space="preserve">118192606</t>
  </si>
  <si>
    <t xml:space="preserve">118214767</t>
  </si>
  <si>
    <t xml:space="preserve">118221388</t>
  </si>
  <si>
    <t xml:space="preserve">118261415</t>
  </si>
  <si>
    <t xml:space="preserve">118318992</t>
  </si>
  <si>
    <t xml:space="preserve">118326881</t>
  </si>
  <si>
    <t xml:space="preserve">118466000</t>
  </si>
  <si>
    <t xml:space="preserve">118480633</t>
  </si>
  <si>
    <t xml:space="preserve">118638297</t>
  </si>
  <si>
    <t xml:space="preserve">118638983</t>
  </si>
  <si>
    <t xml:space="preserve">118670867</t>
  </si>
  <si>
    <t xml:space="preserve">118696363</t>
  </si>
  <si>
    <t xml:space="preserve">118707778</t>
  </si>
  <si>
    <t xml:space="preserve">118728426</t>
  </si>
  <si>
    <t xml:space="preserve">118730623</t>
  </si>
  <si>
    <t xml:space="preserve">118733546</t>
  </si>
  <si>
    <t xml:space="preserve">118736483</t>
  </si>
  <si>
    <t xml:space="preserve">118755097</t>
  </si>
  <si>
    <t xml:space="preserve">118764009</t>
  </si>
  <si>
    <t xml:space="preserve">118874924</t>
  </si>
  <si>
    <t xml:space="preserve">119066445</t>
  </si>
  <si>
    <t xml:space="preserve">119133032</t>
  </si>
  <si>
    <t xml:space="preserve">119235778</t>
  </si>
  <si>
    <t xml:space="preserve">119235833</t>
  </si>
  <si>
    <t xml:space="preserve">119236262</t>
  </si>
  <si>
    <t xml:space="preserve">119238232</t>
  </si>
  <si>
    <t xml:space="preserve">119238365</t>
  </si>
  <si>
    <t xml:space="preserve">119258253</t>
  </si>
  <si>
    <t xml:space="preserve">119268955</t>
  </si>
  <si>
    <t xml:space="preserve">119554665</t>
  </si>
  <si>
    <t xml:space="preserve">119881557</t>
  </si>
  <si>
    <t xml:space="preserve">119881773</t>
  </si>
  <si>
    <t xml:space="preserve">119957249</t>
  </si>
  <si>
    <t xml:space="preserve">119958704</t>
  </si>
  <si>
    <t xml:space="preserve">120045930</t>
  </si>
  <si>
    <t xml:space="preserve">121400658</t>
  </si>
  <si>
    <t xml:space="preserve">121406674</t>
  </si>
  <si>
    <t xml:space="preserve">121503062</t>
  </si>
  <si>
    <t xml:space="preserve">121507711</t>
  </si>
  <si>
    <t xml:space="preserve">121535541</t>
  </si>
  <si>
    <t xml:space="preserve">121562569</t>
  </si>
  <si>
    <t xml:space="preserve">121593413</t>
  </si>
  <si>
    <t xml:space="preserve">121596475</t>
  </si>
  <si>
    <t xml:space="preserve">121601601</t>
  </si>
  <si>
    <t xml:space="preserve">121729120</t>
  </si>
  <si>
    <t xml:space="preserve">121734468</t>
  </si>
  <si>
    <t xml:space="preserve">121796124</t>
  </si>
  <si>
    <t xml:space="preserve">121817896</t>
  </si>
  <si>
    <t xml:space="preserve">121928621</t>
  </si>
  <si>
    <t xml:space="preserve">121929820</t>
  </si>
  <si>
    <t xml:space="preserve">121931227</t>
  </si>
  <si>
    <t xml:space="preserve">121937459</t>
  </si>
  <si>
    <t xml:space="preserve">121949400</t>
  </si>
  <si>
    <t xml:space="preserve">121959968</t>
  </si>
  <si>
    <t xml:space="preserve">121960405</t>
  </si>
  <si>
    <t xml:space="preserve">121982143</t>
  </si>
  <si>
    <t xml:space="preserve">121985139</t>
  </si>
  <si>
    <t xml:space="preserve">122011634</t>
  </si>
  <si>
    <t xml:space="preserve">122018626</t>
  </si>
  <si>
    <t xml:space="preserve">122025916</t>
  </si>
  <si>
    <t xml:space="preserve">122032014</t>
  </si>
  <si>
    <t xml:space="preserve">122092080</t>
  </si>
  <si>
    <t xml:space="preserve">122092602</t>
  </si>
  <si>
    <t xml:space="preserve">122097470</t>
  </si>
  <si>
    <t xml:space="preserve">122151255</t>
  </si>
  <si>
    <t xml:space="preserve">122191635</t>
  </si>
  <si>
    <t xml:space="preserve">122200202</t>
  </si>
  <si>
    <t xml:space="preserve">122218769</t>
  </si>
  <si>
    <t xml:space="preserve">122218776</t>
  </si>
  <si>
    <t xml:space="preserve">122246142</t>
  </si>
  <si>
    <t xml:space="preserve">122246912</t>
  </si>
  <si>
    <t xml:space="preserve">122246915</t>
  </si>
  <si>
    <t xml:space="preserve">122343373</t>
  </si>
  <si>
    <t xml:space="preserve">122409795</t>
  </si>
  <si>
    <t xml:space="preserve">122411893</t>
  </si>
  <si>
    <t xml:space="preserve">122422906</t>
  </si>
  <si>
    <t xml:space="preserve">122450328</t>
  </si>
  <si>
    <t xml:space="preserve">122469262</t>
  </si>
  <si>
    <t xml:space="preserve">122492824</t>
  </si>
  <si>
    <t xml:space="preserve">122515763</t>
  </si>
  <si>
    <t xml:space="preserve">122526401</t>
  </si>
  <si>
    <t xml:space="preserve">122539844</t>
  </si>
  <si>
    <t xml:space="preserve">122558439</t>
  </si>
  <si>
    <t xml:space="preserve">122560427</t>
  </si>
  <si>
    <t xml:space="preserve">122572461</t>
  </si>
  <si>
    <t xml:space="preserve">122573099</t>
  </si>
  <si>
    <t xml:space="preserve">122599399</t>
  </si>
  <si>
    <t xml:space="preserve">122600624</t>
  </si>
  <si>
    <t xml:space="preserve">122654548</t>
  </si>
  <si>
    <t xml:space="preserve">122665994</t>
  </si>
  <si>
    <t xml:space="preserve">122713659</t>
  </si>
  <si>
    <t xml:space="preserve">122713934</t>
  </si>
  <si>
    <t xml:space="preserve">122736530</t>
  </si>
  <si>
    <t xml:space="preserve">122739756</t>
  </si>
  <si>
    <t xml:space="preserve">122754396</t>
  </si>
  <si>
    <t xml:space="preserve">122756052</t>
  </si>
  <si>
    <t xml:space="preserve">122765780</t>
  </si>
  <si>
    <t xml:space="preserve">122863428</t>
  </si>
  <si>
    <t xml:space="preserve">122887831</t>
  </si>
  <si>
    <t xml:space="preserve">122904014</t>
  </si>
  <si>
    <t xml:space="preserve">122911466</t>
  </si>
  <si>
    <t xml:space="preserve">122912534</t>
  </si>
  <si>
    <t xml:space="preserve">122936255</t>
  </si>
  <si>
    <t xml:space="preserve">122995372</t>
  </si>
  <si>
    <t xml:space="preserve">123028883</t>
  </si>
  <si>
    <t xml:space="preserve">123028884</t>
  </si>
  <si>
    <t xml:space="preserve">123028885</t>
  </si>
  <si>
    <t xml:space="preserve">123028887</t>
  </si>
  <si>
    <t xml:space="preserve">123081928</t>
  </si>
  <si>
    <t xml:space="preserve">123107015</t>
  </si>
  <si>
    <t xml:space="preserve">123111376</t>
  </si>
  <si>
    <t xml:space="preserve">123115094</t>
  </si>
  <si>
    <t xml:space="preserve">123119466</t>
  </si>
  <si>
    <t xml:space="preserve">123125603</t>
  </si>
  <si>
    <t xml:space="preserve">123128187</t>
  </si>
  <si>
    <t xml:space="preserve">123130069</t>
  </si>
  <si>
    <t xml:space="preserve">123193871</t>
  </si>
  <si>
    <t xml:space="preserve">123265162</t>
  </si>
  <si>
    <t xml:space="preserve">123265167</t>
  </si>
  <si>
    <t xml:space="preserve">123265168</t>
  </si>
  <si>
    <t xml:space="preserve">123265169</t>
  </si>
  <si>
    <t xml:space="preserve">123265170</t>
  </si>
  <si>
    <t xml:space="preserve">123265172</t>
  </si>
  <si>
    <t xml:space="preserve">123265176</t>
  </si>
  <si>
    <t xml:space="preserve">123265179</t>
  </si>
  <si>
    <t xml:space="preserve">123265180</t>
  </si>
  <si>
    <t xml:space="preserve">123265181</t>
  </si>
  <si>
    <t xml:space="preserve">123265183</t>
  </si>
  <si>
    <t xml:space="preserve">123265194</t>
  </si>
  <si>
    <t xml:space="preserve">123265233</t>
  </si>
  <si>
    <t xml:space="preserve">123265237</t>
  </si>
  <si>
    <t xml:space="preserve">123265238</t>
  </si>
  <si>
    <t xml:space="preserve">123265241</t>
  </si>
  <si>
    <t xml:space="preserve">123265242</t>
  </si>
  <si>
    <t xml:space="preserve">123265244</t>
  </si>
  <si>
    <t xml:space="preserve">123265251</t>
  </si>
  <si>
    <t xml:space="preserve">123265253</t>
  </si>
  <si>
    <t xml:space="preserve">123265698</t>
  </si>
  <si>
    <t xml:space="preserve">123265700</t>
  </si>
  <si>
    <t xml:space="preserve">123265722</t>
  </si>
  <si>
    <t xml:space="preserve">123265726</t>
  </si>
  <si>
    <t xml:space="preserve">123265727</t>
  </si>
  <si>
    <t xml:space="preserve">123265729</t>
  </si>
  <si>
    <t xml:space="preserve">123265730</t>
  </si>
  <si>
    <t xml:space="preserve">123265925</t>
  </si>
  <si>
    <t xml:space="preserve">123265927</t>
  </si>
  <si>
    <t xml:space="preserve">123265987</t>
  </si>
  <si>
    <t xml:space="preserve">123265988</t>
  </si>
  <si>
    <t xml:space="preserve">123266098</t>
  </si>
  <si>
    <t xml:space="preserve">123266099</t>
  </si>
  <si>
    <t xml:space="preserve">123266103</t>
  </si>
  <si>
    <t xml:space="preserve">123266106</t>
  </si>
  <si>
    <t xml:space="preserve">123266109</t>
  </si>
  <si>
    <t xml:space="preserve">123266110</t>
  </si>
  <si>
    <t xml:space="preserve">123266113</t>
  </si>
  <si>
    <t xml:space="preserve">123266116</t>
  </si>
  <si>
    <t xml:space="preserve">123266117</t>
  </si>
  <si>
    <t xml:space="preserve">123266128</t>
  </si>
  <si>
    <t xml:space="preserve">123266130</t>
  </si>
  <si>
    <t xml:space="preserve">123266132</t>
  </si>
  <si>
    <t xml:space="preserve">123266134</t>
  </si>
  <si>
    <t xml:space="preserve">123266136</t>
  </si>
  <si>
    <t xml:space="preserve">123266137</t>
  </si>
  <si>
    <t xml:space="preserve">123266138</t>
  </si>
  <si>
    <t xml:space="preserve">123266142</t>
  </si>
  <si>
    <t xml:space="preserve">123266144</t>
  </si>
  <si>
    <t xml:space="preserve">123266146</t>
  </si>
  <si>
    <t xml:space="preserve">123266147</t>
  </si>
  <si>
    <t xml:space="preserve">123266151</t>
  </si>
  <si>
    <t xml:space="preserve">123266152</t>
  </si>
  <si>
    <t xml:space="preserve">123266154</t>
  </si>
  <si>
    <t xml:space="preserve">123266155</t>
  </si>
  <si>
    <t xml:space="preserve">123266156</t>
  </si>
  <si>
    <t xml:space="preserve">123266158</t>
  </si>
  <si>
    <t xml:space="preserve">123266159</t>
  </si>
  <si>
    <t xml:space="preserve">123266160</t>
  </si>
  <si>
    <t xml:space="preserve">123266161</t>
  </si>
  <si>
    <t xml:space="preserve">123266162</t>
  </si>
  <si>
    <t xml:space="preserve">123266163</t>
  </si>
  <si>
    <t xml:space="preserve">123266164</t>
  </si>
  <si>
    <t xml:space="preserve">123266166</t>
  </si>
  <si>
    <t xml:space="preserve">123266170</t>
  </si>
  <si>
    <t xml:space="preserve">123266171</t>
  </si>
  <si>
    <t xml:space="preserve">123267561</t>
  </si>
  <si>
    <t xml:space="preserve">123267562</t>
  </si>
  <si>
    <t xml:space="preserve">123267565</t>
  </si>
  <si>
    <t xml:space="preserve">123267568</t>
  </si>
  <si>
    <t xml:space="preserve">123267578</t>
  </si>
  <si>
    <t xml:space="preserve">123267579</t>
  </si>
  <si>
    <t xml:space="preserve">123267584</t>
  </si>
  <si>
    <t xml:space="preserve">123286204</t>
  </si>
  <si>
    <t xml:space="preserve">123289533</t>
  </si>
  <si>
    <t xml:space="preserve">123290866</t>
  </si>
  <si>
    <t xml:space="preserve">123303633</t>
  </si>
  <si>
    <t xml:space="preserve">123312135</t>
  </si>
  <si>
    <t xml:space="preserve">123339382</t>
  </si>
  <si>
    <t xml:space="preserve">123339478</t>
  </si>
  <si>
    <t xml:space="preserve">123339563</t>
  </si>
  <si>
    <t xml:space="preserve">A-ED758287</t>
  </si>
  <si>
    <t xml:space="preserve">125193520</t>
  </si>
  <si>
    <t xml:space="preserve">A-AF75D04E</t>
  </si>
  <si>
    <t xml:space="preserve">125232711</t>
  </si>
  <si>
    <t xml:space="preserve">TBS CANC L17 RP95718 96 SCHOOL RD LOGAN RESERVE QLD 4133</t>
  </si>
  <si>
    <t xml:space="preserve">Batch 43 (18-Aug-2026, v51): Origin collective account summaries A-FE35E476-022 to -027 (issues 1-Sep-2025 to 4-Feb-2026), parsed from the CURRENT CHARGES - SUB ACCOUNT SUMMARY of each PDF (pdftotext -layout). Per statement the row count is asserted against the printed "Number of accounts" and the row sums against the printed "Total current charges" (incl and GST) and the account-summary "Current charges" line.</t>
  </si>
  <si>
    <t xml:space="preserve">Register side: every FY2025/26 line whose Reference is one of the six statements, grouped by (statement, NMI in column AO). Match: the register supply-point label is the Origin supply address cut at 40 characters, so the register label (minus a truncated tail token) must be a prefix of the normalised statement address; then register ex GST must equal statement (charges incl GST - GST) within 2c. 375 of 375 groups tie.</t>
  </si>
  <si>
    <t xml:space="preserve">The statement supply addresses add no park name the truncated register labels did not already carry, so no site write follows from this batch. Sub-accounts marked N are Council-wide accounts outside the Parks register (sewerage pumps, offices, cemeteries, zero-charge accounts).</t>
  </si>
  <si>
    <t xml:space="preserve">Amounts: statement figures incl GST as printed; ex GST = incl - GST (statement); register ex GST from column T. All figures $ AUD.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</si>
</sst>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\$#,##0.00;&quot;($&quot;#,##0.00\);\-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mbria"/>
      <family val="0"/>
      <charset val="1"/>
    </font>
    <font>
      <sz val="1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8" min="7" style="0" width="18"/>
    <col collapsed="false" customWidth="true" hidden="false" outlineLevel="0" max="10" min="9" style="0" width="34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3" t="n">
        <v>233</v>
      </c>
      <c r="D2" s="4" t="n">
        <v>72057.1</v>
      </c>
      <c r="E2" s="4" t="n">
        <v>6571.94</v>
      </c>
      <c r="F2" s="4" t="n">
        <v>65485.16</v>
      </c>
      <c r="G2" s="3" t="n">
        <v>60</v>
      </c>
      <c r="H2" s="4" t="n">
        <v>4778.4</v>
      </c>
      <c r="I2" s="2" t="s">
        <v>12</v>
      </c>
      <c r="J2" s="2" t="s">
        <v>13</v>
      </c>
    </row>
    <row r="3" customFormat="false" ht="15" hidden="false" customHeight="false" outlineLevel="0" collapsed="false">
      <c r="A3" s="2" t="s">
        <v>14</v>
      </c>
      <c r="B3" s="2" t="s">
        <v>15</v>
      </c>
      <c r="C3" s="3" t="n">
        <v>301</v>
      </c>
      <c r="D3" s="4" t="n">
        <v>67333.03</v>
      </c>
      <c r="E3" s="4" t="n">
        <v>6146.97</v>
      </c>
      <c r="F3" s="4" t="n">
        <v>61186.06</v>
      </c>
      <c r="G3" s="3" t="n">
        <v>55</v>
      </c>
      <c r="H3" s="4" t="n">
        <v>5767.14</v>
      </c>
      <c r="I3" s="2" t="s">
        <v>16</v>
      </c>
      <c r="J3" s="2" t="s">
        <v>17</v>
      </c>
    </row>
    <row r="4" customFormat="false" ht="15" hidden="false" customHeight="false" outlineLevel="0" collapsed="false">
      <c r="A4" s="2" t="s">
        <v>18</v>
      </c>
      <c r="B4" s="2" t="s">
        <v>19</v>
      </c>
      <c r="C4" s="3" t="n">
        <v>396</v>
      </c>
      <c r="D4" s="4" t="n">
        <v>139192.19</v>
      </c>
      <c r="E4" s="4" t="n">
        <v>12698.7</v>
      </c>
      <c r="F4" s="4" t="n">
        <v>126493.49</v>
      </c>
      <c r="G4" s="3" t="n">
        <v>78</v>
      </c>
      <c r="H4" s="4" t="n">
        <v>12789.75</v>
      </c>
      <c r="I4" s="2" t="s">
        <v>20</v>
      </c>
      <c r="J4" s="2" t="s">
        <v>21</v>
      </c>
    </row>
    <row r="5" customFormat="false" ht="15" hidden="false" customHeight="false" outlineLevel="0" collapsed="false">
      <c r="A5" s="2" t="s">
        <v>22</v>
      </c>
      <c r="B5" s="2" t="s">
        <v>23</v>
      </c>
      <c r="C5" s="3" t="n">
        <v>202</v>
      </c>
      <c r="D5" s="4" t="n">
        <v>61699.72</v>
      </c>
      <c r="E5" s="4" t="n">
        <v>5629.87</v>
      </c>
      <c r="F5" s="4" t="n">
        <v>56069.85</v>
      </c>
      <c r="G5" s="3" t="n">
        <v>55</v>
      </c>
      <c r="H5" s="4" t="n">
        <v>4871.22</v>
      </c>
      <c r="I5" s="2" t="s">
        <v>24</v>
      </c>
      <c r="J5" s="2" t="s">
        <v>25</v>
      </c>
    </row>
    <row r="6" customFormat="false" ht="15" hidden="false" customHeight="false" outlineLevel="0" collapsed="false">
      <c r="A6" s="2" t="s">
        <v>26</v>
      </c>
      <c r="B6" s="2" t="s">
        <v>27</v>
      </c>
      <c r="C6" s="3" t="n">
        <v>199</v>
      </c>
      <c r="D6" s="4" t="n">
        <v>72388.47</v>
      </c>
      <c r="E6" s="4" t="n">
        <v>6604.7</v>
      </c>
      <c r="F6" s="4" t="n">
        <v>65783.77</v>
      </c>
      <c r="G6" s="3" t="n">
        <v>57</v>
      </c>
      <c r="H6" s="4" t="n">
        <v>5777.67</v>
      </c>
      <c r="I6" s="2" t="s">
        <v>28</v>
      </c>
      <c r="J6" s="2" t="s">
        <v>29</v>
      </c>
    </row>
    <row r="7" customFormat="false" ht="15" hidden="false" customHeight="false" outlineLevel="0" collapsed="false">
      <c r="A7" s="2" t="s">
        <v>30</v>
      </c>
      <c r="B7" s="2" t="s">
        <v>31</v>
      </c>
      <c r="C7" s="3" t="n">
        <v>298</v>
      </c>
      <c r="D7" s="4" t="n">
        <v>97429.1</v>
      </c>
      <c r="E7" s="4" t="n">
        <v>8887.15</v>
      </c>
      <c r="F7" s="4" t="n">
        <v>88541.95</v>
      </c>
      <c r="G7" s="3" t="n">
        <v>70</v>
      </c>
      <c r="H7" s="4" t="n">
        <v>8281.77</v>
      </c>
      <c r="I7" s="2" t="s">
        <v>32</v>
      </c>
      <c r="J7" s="2" t="s">
        <v>33</v>
      </c>
    </row>
    <row r="8" customFormat="false" ht="15" hidden="false" customHeight="false" outlineLevel="0" collapsed="false">
      <c r="A8" s="5" t="s">
        <v>34</v>
      </c>
      <c r="C8" s="6" t="n">
        <f aca="false">SUM(C2:C7)</f>
        <v>1629</v>
      </c>
      <c r="D8" s="7" t="n">
        <f aca="false">SUM(D2:D7)</f>
        <v>510099.61</v>
      </c>
      <c r="E8" s="7" t="n">
        <f aca="false">SUM(E2:E7)</f>
        <v>46539.33</v>
      </c>
      <c r="F8" s="7" t="n">
        <f aca="false">SUM(F2:F7)</f>
        <v>463560.28</v>
      </c>
      <c r="G8" s="6" t="n">
        <f aca="false">SUM(G2:G7)</f>
        <v>375</v>
      </c>
      <c r="H8" s="7" t="n">
        <f aca="false">SUM(H2:H7)</f>
        <v>42265.95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4"/>
    <col collapsed="false" customWidth="true" hidden="false" outlineLevel="0" max="5" min="5" style="0" width="44"/>
    <col collapsed="false" customWidth="true" hidden="false" outlineLevel="0" max="6" min="6" style="0" width="40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10" min="9" style="0" width="14"/>
    <col collapsed="false" customWidth="true" hidden="false" outlineLevel="0" max="11" min="11" style="0" width="8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26"/>
    <col collapsed="false" customWidth="true" hidden="false" outlineLevel="0" max="15" min="15" style="0" width="34"/>
    <col collapsed="false" customWidth="true" hidden="false" outlineLevel="0" max="16" min="16" style="0" width="30"/>
    <col collapsed="false" customWidth="true" hidden="false" outlineLevel="0" max="17" min="17" style="0" width="12"/>
  </cols>
  <sheetData>
    <row r="1" customFormat="false" ht="46.25" hidden="false" customHeight="false" outlineLevel="0" collapsed="false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</row>
    <row r="2" customFormat="false" ht="15" hidden="false" customHeight="false" outlineLevel="0" collapsed="false">
      <c r="A2" s="2" t="s">
        <v>18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4" t="n">
        <v>1419.4</v>
      </c>
      <c r="H2" s="4" t="n">
        <v>129.04</v>
      </c>
      <c r="I2" s="4" t="n">
        <v>1290.36</v>
      </c>
      <c r="J2" s="4" t="n">
        <v>1290.36</v>
      </c>
      <c r="K2" s="2" t="n">
        <v>4</v>
      </c>
      <c r="L2" s="2" t="s">
        <v>56</v>
      </c>
      <c r="M2" s="2" t="s">
        <v>57</v>
      </c>
      <c r="N2" s="2"/>
      <c r="O2" s="2" t="s">
        <v>58</v>
      </c>
      <c r="P2" s="2" t="s">
        <v>59</v>
      </c>
      <c r="Q2" s="2" t="str">
        <f aca="false">IF(ROUND(ABS(J2-I2),2)&lt;=0.02,"TRUE","FALSE")</f>
        <v>TRUE</v>
      </c>
    </row>
    <row r="3" customFormat="false" ht="15" hidden="false" customHeight="false" outlineLevel="0" collapsed="false">
      <c r="A3" s="2" t="s">
        <v>30</v>
      </c>
      <c r="B3" s="2" t="s">
        <v>60</v>
      </c>
      <c r="C3" s="2" t="s">
        <v>61</v>
      </c>
      <c r="D3" s="2" t="s">
        <v>62</v>
      </c>
      <c r="E3" s="2" t="s">
        <v>63</v>
      </c>
      <c r="F3" s="2" t="s">
        <v>64</v>
      </c>
      <c r="G3" s="4" t="n">
        <v>988.08</v>
      </c>
      <c r="H3" s="4" t="n">
        <v>89.84</v>
      </c>
      <c r="I3" s="4" t="n">
        <v>898.24</v>
      </c>
      <c r="J3" s="4" t="n">
        <v>898.24</v>
      </c>
      <c r="K3" s="2" t="n">
        <v>6</v>
      </c>
      <c r="L3" s="2" t="s">
        <v>56</v>
      </c>
      <c r="M3" s="2" t="s">
        <v>57</v>
      </c>
      <c r="N3" s="2" t="s">
        <v>65</v>
      </c>
      <c r="O3" s="2" t="s">
        <v>66</v>
      </c>
      <c r="P3" s="2" t="s">
        <v>67</v>
      </c>
      <c r="Q3" s="2" t="str">
        <f aca="false">IF(ROUND(ABS(J3-I3),2)&lt;=0.02,"TRUE","FALSE")</f>
        <v>TRUE</v>
      </c>
    </row>
    <row r="4" customFormat="false" ht="15" hidden="false" customHeight="false" outlineLevel="0" collapsed="false">
      <c r="A4" s="2" t="s">
        <v>18</v>
      </c>
      <c r="B4" s="2" t="s">
        <v>68</v>
      </c>
      <c r="C4" s="2" t="s">
        <v>69</v>
      </c>
      <c r="D4" s="2" t="s">
        <v>70</v>
      </c>
      <c r="E4" s="2" t="s">
        <v>71</v>
      </c>
      <c r="F4" s="2" t="s">
        <v>72</v>
      </c>
      <c r="G4" s="4" t="n">
        <v>1550.82</v>
      </c>
      <c r="H4" s="4" t="n">
        <v>140.98</v>
      </c>
      <c r="I4" s="4" t="n">
        <v>1409.84</v>
      </c>
      <c r="J4" s="4" t="n">
        <v>1409.84</v>
      </c>
      <c r="K4" s="2" t="n">
        <v>8</v>
      </c>
      <c r="L4" s="2" t="s">
        <v>56</v>
      </c>
      <c r="M4" s="2" t="s">
        <v>57</v>
      </c>
      <c r="N4" s="2" t="s">
        <v>73</v>
      </c>
      <c r="O4" s="2" t="s">
        <v>74</v>
      </c>
      <c r="P4" s="2" t="s">
        <v>75</v>
      </c>
      <c r="Q4" s="2" t="str">
        <f aca="false">IF(ROUND(ABS(J4-I4),2)&lt;=0.02,"TRUE","FALSE")</f>
        <v>TRUE</v>
      </c>
    </row>
    <row r="5" customFormat="false" ht="15" hidden="false" customHeight="false" outlineLevel="0" collapsed="false">
      <c r="A5" s="2" t="s">
        <v>18</v>
      </c>
      <c r="B5" s="2" t="s">
        <v>60</v>
      </c>
      <c r="C5" s="2" t="s">
        <v>61</v>
      </c>
      <c r="D5" s="2" t="s">
        <v>76</v>
      </c>
      <c r="E5" s="2" t="s">
        <v>63</v>
      </c>
      <c r="F5" s="2" t="s">
        <v>64</v>
      </c>
      <c r="G5" s="4" t="n">
        <v>909.35</v>
      </c>
      <c r="H5" s="4" t="n">
        <v>82.67</v>
      </c>
      <c r="I5" s="4" t="n">
        <v>826.68</v>
      </c>
      <c r="J5" s="4" t="n">
        <v>826.68</v>
      </c>
      <c r="K5" s="2" t="n">
        <v>4</v>
      </c>
      <c r="L5" s="2" t="s">
        <v>56</v>
      </c>
      <c r="M5" s="2" t="s">
        <v>57</v>
      </c>
      <c r="N5" s="2" t="s">
        <v>65</v>
      </c>
      <c r="O5" s="2" t="s">
        <v>66</v>
      </c>
      <c r="P5" s="2" t="s">
        <v>77</v>
      </c>
      <c r="Q5" s="2" t="str">
        <f aca="false">IF(ROUND(ABS(J5-I5),2)&lt;=0.02,"TRUE","FALSE")</f>
        <v>TRUE</v>
      </c>
    </row>
    <row r="6" customFormat="false" ht="15" hidden="false" customHeight="false" outlineLevel="0" collapsed="false">
      <c r="A6" s="2" t="s">
        <v>30</v>
      </c>
      <c r="B6" s="2" t="s">
        <v>68</v>
      </c>
      <c r="C6" s="2" t="s">
        <v>69</v>
      </c>
      <c r="D6" s="2" t="s">
        <v>78</v>
      </c>
      <c r="E6" s="2" t="s">
        <v>71</v>
      </c>
      <c r="F6" s="2" t="s">
        <v>72</v>
      </c>
      <c r="G6" s="4" t="n">
        <v>1596.02</v>
      </c>
      <c r="H6" s="4" t="n">
        <v>145.1</v>
      </c>
      <c r="I6" s="4" t="n">
        <v>1450.92</v>
      </c>
      <c r="J6" s="4" t="n">
        <v>1450.92</v>
      </c>
      <c r="K6" s="2" t="n">
        <v>8</v>
      </c>
      <c r="L6" s="2" t="s">
        <v>56</v>
      </c>
      <c r="M6" s="2" t="s">
        <v>57</v>
      </c>
      <c r="N6" s="2" t="s">
        <v>73</v>
      </c>
      <c r="O6" s="2" t="s">
        <v>74</v>
      </c>
      <c r="P6" s="2" t="s">
        <v>79</v>
      </c>
      <c r="Q6" s="2" t="str">
        <f aca="false">IF(ROUND(ABS(J6-I6),2)&lt;=0.02,"TRUE","FALSE")</f>
        <v>TRUE</v>
      </c>
    </row>
    <row r="7" customFormat="false" ht="15" hidden="false" customHeight="false" outlineLevel="0" collapsed="false">
      <c r="A7" s="2" t="s">
        <v>26</v>
      </c>
      <c r="B7" s="2" t="s">
        <v>80</v>
      </c>
      <c r="C7" s="2" t="s">
        <v>81</v>
      </c>
      <c r="D7" s="2" t="s">
        <v>82</v>
      </c>
      <c r="E7" s="2" t="s">
        <v>83</v>
      </c>
      <c r="F7" s="2" t="s">
        <v>84</v>
      </c>
      <c r="G7" s="4" t="n">
        <v>812.97</v>
      </c>
      <c r="H7" s="4" t="n">
        <v>73.91</v>
      </c>
      <c r="I7" s="4" t="n">
        <v>739.06</v>
      </c>
      <c r="J7" s="4" t="n">
        <v>739.06</v>
      </c>
      <c r="K7" s="2" t="n">
        <v>4</v>
      </c>
      <c r="L7" s="2" t="s">
        <v>56</v>
      </c>
      <c r="M7" s="2" t="s">
        <v>57</v>
      </c>
      <c r="N7" s="2" t="s">
        <v>85</v>
      </c>
      <c r="O7" s="2" t="s">
        <v>74</v>
      </c>
      <c r="P7" s="2" t="s">
        <v>86</v>
      </c>
      <c r="Q7" s="2" t="str">
        <f aca="false">IF(ROUND(ABS(J7-I7),2)&lt;=0.02,"TRUE","FALSE")</f>
        <v>TRUE</v>
      </c>
    </row>
    <row r="8" customFormat="false" ht="15" hidden="false" customHeight="false" outlineLevel="0" collapsed="false">
      <c r="A8" s="2" t="s">
        <v>14</v>
      </c>
      <c r="B8" s="2" t="s">
        <v>87</v>
      </c>
      <c r="C8" s="2" t="s">
        <v>88</v>
      </c>
      <c r="D8" s="2" t="s">
        <v>89</v>
      </c>
      <c r="E8" s="2" t="s">
        <v>90</v>
      </c>
      <c r="F8" s="2" t="s">
        <v>91</v>
      </c>
      <c r="G8" s="4" t="n">
        <v>753.57</v>
      </c>
      <c r="H8" s="4" t="n">
        <v>68.52</v>
      </c>
      <c r="I8" s="4" t="n">
        <v>685.05</v>
      </c>
      <c r="J8" s="4" t="n">
        <v>685.05</v>
      </c>
      <c r="K8" s="2" t="n">
        <v>4</v>
      </c>
      <c r="L8" s="2" t="s">
        <v>56</v>
      </c>
      <c r="M8" s="2" t="s">
        <v>57</v>
      </c>
      <c r="N8" s="2" t="s">
        <v>92</v>
      </c>
      <c r="O8" s="2" t="s">
        <v>74</v>
      </c>
      <c r="P8" s="2" t="s">
        <v>93</v>
      </c>
      <c r="Q8" s="2" t="str">
        <f aca="false">IF(ROUND(ABS(J8-I8),2)&lt;=0.02,"TRUE","FALSE")</f>
        <v>TRUE</v>
      </c>
    </row>
    <row r="9" customFormat="false" ht="15" hidden="false" customHeight="false" outlineLevel="0" collapsed="false">
      <c r="A9" s="2" t="s">
        <v>14</v>
      </c>
      <c r="B9" s="2" t="s">
        <v>80</v>
      </c>
      <c r="C9" s="2" t="s">
        <v>81</v>
      </c>
      <c r="D9" s="2" t="s">
        <v>94</v>
      </c>
      <c r="E9" s="2" t="s">
        <v>83</v>
      </c>
      <c r="F9" s="2" t="s">
        <v>84</v>
      </c>
      <c r="G9" s="4" t="n">
        <v>699.17</v>
      </c>
      <c r="H9" s="4" t="n">
        <v>63.57</v>
      </c>
      <c r="I9" s="4" t="n">
        <v>635.6</v>
      </c>
      <c r="J9" s="4" t="n">
        <v>635.6</v>
      </c>
      <c r="K9" s="2" t="n">
        <v>4</v>
      </c>
      <c r="L9" s="2" t="s">
        <v>56</v>
      </c>
      <c r="M9" s="2" t="s">
        <v>57</v>
      </c>
      <c r="N9" s="2" t="s">
        <v>85</v>
      </c>
      <c r="O9" s="2" t="s">
        <v>74</v>
      </c>
      <c r="P9" s="2" t="s">
        <v>95</v>
      </c>
      <c r="Q9" s="2" t="str">
        <f aca="false">IF(ROUND(ABS(J9-I9),2)&lt;=0.02,"TRUE","FALSE")</f>
        <v>TRUE</v>
      </c>
    </row>
    <row r="10" customFormat="false" ht="15" hidden="false" customHeight="false" outlineLevel="0" collapsed="false">
      <c r="A10" s="2" t="s">
        <v>26</v>
      </c>
      <c r="B10" s="2" t="s">
        <v>87</v>
      </c>
      <c r="C10" s="2" t="s">
        <v>88</v>
      </c>
      <c r="D10" s="2" t="s">
        <v>96</v>
      </c>
      <c r="E10" s="2" t="s">
        <v>90</v>
      </c>
      <c r="F10" s="2" t="s">
        <v>91</v>
      </c>
      <c r="G10" s="4" t="n">
        <v>631.88</v>
      </c>
      <c r="H10" s="4" t="n">
        <v>57.45</v>
      </c>
      <c r="I10" s="4" t="n">
        <v>574.43</v>
      </c>
      <c r="J10" s="4" t="n">
        <v>574.43</v>
      </c>
      <c r="K10" s="2" t="n">
        <v>4</v>
      </c>
      <c r="L10" s="2" t="s">
        <v>56</v>
      </c>
      <c r="M10" s="2" t="s">
        <v>57</v>
      </c>
      <c r="N10" s="2" t="s">
        <v>92</v>
      </c>
      <c r="O10" s="2" t="s">
        <v>74</v>
      </c>
      <c r="P10" s="2" t="s">
        <v>97</v>
      </c>
      <c r="Q10" s="2" t="str">
        <f aca="false">IF(ROUND(ABS(J10-I10),2)&lt;=0.02,"TRUE","FALSE")</f>
        <v>TRUE</v>
      </c>
    </row>
    <row r="11" customFormat="false" ht="15" hidden="false" customHeight="false" outlineLevel="0" collapsed="false">
      <c r="A11" s="2" t="s">
        <v>14</v>
      </c>
      <c r="B11" s="2" t="s">
        <v>98</v>
      </c>
      <c r="C11" s="2" t="s">
        <v>99</v>
      </c>
      <c r="D11" s="2" t="s">
        <v>100</v>
      </c>
      <c r="E11" s="2" t="s">
        <v>101</v>
      </c>
      <c r="F11" s="2" t="s">
        <v>102</v>
      </c>
      <c r="G11" s="4" t="n">
        <v>452.94</v>
      </c>
      <c r="H11" s="4" t="n">
        <v>41.18</v>
      </c>
      <c r="I11" s="4" t="n">
        <v>411.76</v>
      </c>
      <c r="J11" s="4" t="n">
        <v>411.76</v>
      </c>
      <c r="K11" s="2" t="n">
        <v>4</v>
      </c>
      <c r="L11" s="2" t="s">
        <v>56</v>
      </c>
      <c r="M11" s="2" t="s">
        <v>57</v>
      </c>
      <c r="N11" s="2" t="s">
        <v>103</v>
      </c>
      <c r="O11" s="2" t="s">
        <v>104</v>
      </c>
      <c r="P11" s="2" t="s">
        <v>105</v>
      </c>
      <c r="Q11" s="2" t="str">
        <f aca="false">IF(ROUND(ABS(J11-I11),2)&lt;=0.02,"TRUE","FALSE")</f>
        <v>TRUE</v>
      </c>
    </row>
    <row r="12" customFormat="false" ht="15" hidden="false" customHeight="false" outlineLevel="0" collapsed="false">
      <c r="A12" s="2" t="s">
        <v>26</v>
      </c>
      <c r="B12" s="2" t="s">
        <v>98</v>
      </c>
      <c r="C12" s="2" t="s">
        <v>99</v>
      </c>
      <c r="D12" s="2" t="s">
        <v>106</v>
      </c>
      <c r="E12" s="2" t="s">
        <v>101</v>
      </c>
      <c r="F12" s="2" t="s">
        <v>102</v>
      </c>
      <c r="G12" s="4" t="n">
        <v>436.45</v>
      </c>
      <c r="H12" s="4" t="n">
        <v>39.68</v>
      </c>
      <c r="I12" s="4" t="n">
        <v>396.77</v>
      </c>
      <c r="J12" s="4" t="n">
        <v>396.77</v>
      </c>
      <c r="K12" s="2" t="n">
        <v>4</v>
      </c>
      <c r="L12" s="2" t="s">
        <v>56</v>
      </c>
      <c r="M12" s="2" t="s">
        <v>57</v>
      </c>
      <c r="N12" s="2" t="s">
        <v>103</v>
      </c>
      <c r="O12" s="2" t="s">
        <v>104</v>
      </c>
      <c r="P12" s="2" t="s">
        <v>107</v>
      </c>
      <c r="Q12" s="2" t="str">
        <f aca="false">IF(ROUND(ABS(J12-I12),2)&lt;=0.02,"TRUE","FALSE")</f>
        <v>TRUE</v>
      </c>
    </row>
    <row r="13" customFormat="false" ht="15" hidden="false" customHeight="false" outlineLevel="0" collapsed="false">
      <c r="A13" s="2" t="s">
        <v>18</v>
      </c>
      <c r="B13" s="2" t="s">
        <v>108</v>
      </c>
      <c r="C13" s="2" t="s">
        <v>109</v>
      </c>
      <c r="D13" s="2" t="s">
        <v>110</v>
      </c>
      <c r="E13" s="2" t="s">
        <v>111</v>
      </c>
      <c r="F13" s="2" t="s">
        <v>112</v>
      </c>
      <c r="G13" s="4" t="n">
        <v>444.05</v>
      </c>
      <c r="H13" s="4" t="n">
        <v>40.37</v>
      </c>
      <c r="I13" s="4" t="n">
        <v>403.68</v>
      </c>
      <c r="J13" s="4" t="n">
        <v>403.68</v>
      </c>
      <c r="K13" s="2" t="n">
        <v>4</v>
      </c>
      <c r="L13" s="2" t="s">
        <v>56</v>
      </c>
      <c r="M13" s="2" t="s">
        <v>57</v>
      </c>
      <c r="N13" s="2" t="s">
        <v>113</v>
      </c>
      <c r="O13" s="2" t="s">
        <v>66</v>
      </c>
      <c r="P13" s="2" t="s">
        <v>114</v>
      </c>
      <c r="Q13" s="2" t="str">
        <f aca="false">IF(ROUND(ABS(J13-I13),2)&lt;=0.02,"TRUE","FALSE")</f>
        <v>TRUE</v>
      </c>
    </row>
    <row r="14" customFormat="false" ht="15" hidden="false" customHeight="false" outlineLevel="0" collapsed="false">
      <c r="A14" s="2" t="s">
        <v>14</v>
      </c>
      <c r="B14" s="2" t="s">
        <v>115</v>
      </c>
      <c r="C14" s="2" t="s">
        <v>116</v>
      </c>
      <c r="D14" s="2" t="s">
        <v>117</v>
      </c>
      <c r="E14" s="2" t="s">
        <v>118</v>
      </c>
      <c r="F14" s="2" t="s">
        <v>119</v>
      </c>
      <c r="G14" s="4" t="n">
        <v>252.29</v>
      </c>
      <c r="H14" s="4" t="n">
        <v>22.94</v>
      </c>
      <c r="I14" s="4" t="n">
        <v>229.35</v>
      </c>
      <c r="J14" s="4" t="n">
        <v>229.35</v>
      </c>
      <c r="K14" s="2" t="n">
        <v>2</v>
      </c>
      <c r="L14" s="2" t="s">
        <v>56</v>
      </c>
      <c r="M14" s="2" t="s">
        <v>57</v>
      </c>
      <c r="N14" s="2" t="s">
        <v>120</v>
      </c>
      <c r="O14" s="2" t="s">
        <v>66</v>
      </c>
      <c r="P14" s="2" t="s">
        <v>121</v>
      </c>
      <c r="Q14" s="2" t="str">
        <f aca="false">IF(ROUND(ABS(J14-I14),2)&lt;=0.02,"TRUE","FALSE")</f>
        <v>TRUE</v>
      </c>
    </row>
    <row r="15" customFormat="false" ht="15" hidden="false" customHeight="false" outlineLevel="0" collapsed="false">
      <c r="A15" s="2" t="s">
        <v>18</v>
      </c>
      <c r="B15" s="2" t="s">
        <v>122</v>
      </c>
      <c r="C15" s="2" t="s">
        <v>123</v>
      </c>
      <c r="D15" s="2" t="s">
        <v>124</v>
      </c>
      <c r="E15" s="2" t="s">
        <v>125</v>
      </c>
      <c r="F15" s="2" t="s">
        <v>126</v>
      </c>
      <c r="G15" s="4" t="n">
        <v>476.67</v>
      </c>
      <c r="H15" s="4" t="n">
        <v>43.35</v>
      </c>
      <c r="I15" s="4" t="n">
        <v>433.32</v>
      </c>
      <c r="J15" s="4" t="n">
        <v>433.32</v>
      </c>
      <c r="K15" s="2" t="n">
        <v>8</v>
      </c>
      <c r="L15" s="2" t="s">
        <v>56</v>
      </c>
      <c r="M15" s="2" t="s">
        <v>57</v>
      </c>
      <c r="N15" s="2" t="s">
        <v>127</v>
      </c>
      <c r="O15" s="2" t="s">
        <v>66</v>
      </c>
      <c r="P15" s="2" t="s">
        <v>128</v>
      </c>
      <c r="Q15" s="2" t="str">
        <f aca="false">IF(ROUND(ABS(J15-I15),2)&lt;=0.02,"TRUE","FALSE")</f>
        <v>TRUE</v>
      </c>
    </row>
    <row r="16" customFormat="false" ht="15" hidden="false" customHeight="false" outlineLevel="0" collapsed="false">
      <c r="A16" s="2" t="s">
        <v>18</v>
      </c>
      <c r="B16" s="2" t="s">
        <v>129</v>
      </c>
      <c r="C16" s="2" t="s">
        <v>130</v>
      </c>
      <c r="D16" s="2" t="s">
        <v>131</v>
      </c>
      <c r="E16" s="2" t="s">
        <v>132</v>
      </c>
      <c r="F16" s="2" t="s">
        <v>133</v>
      </c>
      <c r="G16" s="4" t="n">
        <v>442.98</v>
      </c>
      <c r="H16" s="4" t="n">
        <v>40.28</v>
      </c>
      <c r="I16" s="4" t="n">
        <v>402.7</v>
      </c>
      <c r="J16" s="4" t="n">
        <v>402.7</v>
      </c>
      <c r="K16" s="2" t="n">
        <v>4</v>
      </c>
      <c r="L16" s="2" t="s">
        <v>56</v>
      </c>
      <c r="M16" s="2" t="s">
        <v>57</v>
      </c>
      <c r="N16" s="2" t="s">
        <v>134</v>
      </c>
      <c r="O16" s="2" t="s">
        <v>74</v>
      </c>
      <c r="P16" s="2" t="s">
        <v>135</v>
      </c>
      <c r="Q16" s="2" t="str">
        <f aca="false">IF(ROUND(ABS(J16-I16),2)&lt;=0.02,"TRUE","FALSE")</f>
        <v>TRUE</v>
      </c>
    </row>
    <row r="17" customFormat="false" ht="15" hidden="false" customHeight="false" outlineLevel="0" collapsed="false">
      <c r="A17" s="2" t="s">
        <v>22</v>
      </c>
      <c r="B17" s="2" t="s">
        <v>115</v>
      </c>
      <c r="C17" s="2" t="s">
        <v>116</v>
      </c>
      <c r="D17" s="2" t="s">
        <v>136</v>
      </c>
      <c r="E17" s="2" t="s">
        <v>118</v>
      </c>
      <c r="F17" s="2" t="s">
        <v>119</v>
      </c>
      <c r="G17" s="4" t="n">
        <v>239.12</v>
      </c>
      <c r="H17" s="4" t="n">
        <v>21.74</v>
      </c>
      <c r="I17" s="4" t="n">
        <v>217.38</v>
      </c>
      <c r="J17" s="4" t="n">
        <v>217.38</v>
      </c>
      <c r="K17" s="2" t="n">
        <v>2</v>
      </c>
      <c r="L17" s="2" t="s">
        <v>56</v>
      </c>
      <c r="M17" s="2" t="s">
        <v>57</v>
      </c>
      <c r="N17" s="2" t="s">
        <v>120</v>
      </c>
      <c r="O17" s="2" t="s">
        <v>66</v>
      </c>
      <c r="P17" s="2" t="s">
        <v>137</v>
      </c>
      <c r="Q17" s="2" t="str">
        <f aca="false">IF(ROUND(ABS(J17-I17),2)&lt;=0.02,"TRUE","FALSE")</f>
        <v>TRUE</v>
      </c>
    </row>
    <row r="18" customFormat="false" ht="15" hidden="false" customHeight="false" outlineLevel="0" collapsed="false">
      <c r="A18" s="2" t="s">
        <v>10</v>
      </c>
      <c r="B18" s="2" t="s">
        <v>115</v>
      </c>
      <c r="C18" s="2" t="s">
        <v>116</v>
      </c>
      <c r="D18" s="2" t="s">
        <v>138</v>
      </c>
      <c r="E18" s="2" t="s">
        <v>118</v>
      </c>
      <c r="F18" s="2" t="s">
        <v>119</v>
      </c>
      <c r="G18" s="4" t="n">
        <v>234.55</v>
      </c>
      <c r="H18" s="4" t="n">
        <v>21.33</v>
      </c>
      <c r="I18" s="4" t="n">
        <v>213.22</v>
      </c>
      <c r="J18" s="4" t="n">
        <v>213.22</v>
      </c>
      <c r="K18" s="2" t="n">
        <v>2</v>
      </c>
      <c r="L18" s="2" t="s">
        <v>56</v>
      </c>
      <c r="M18" s="2" t="s">
        <v>57</v>
      </c>
      <c r="N18" s="2" t="s">
        <v>120</v>
      </c>
      <c r="O18" s="2" t="s">
        <v>66</v>
      </c>
      <c r="P18" s="2" t="s">
        <v>139</v>
      </c>
      <c r="Q18" s="2" t="str">
        <f aca="false">IF(ROUND(ABS(J18-I18),2)&lt;=0.02,"TRUE","FALSE")</f>
        <v>TRUE</v>
      </c>
    </row>
    <row r="19" customFormat="false" ht="15" hidden="false" customHeight="false" outlineLevel="0" collapsed="false">
      <c r="A19" s="2" t="s">
        <v>26</v>
      </c>
      <c r="B19" s="2" t="s">
        <v>115</v>
      </c>
      <c r="C19" s="2" t="s">
        <v>116</v>
      </c>
      <c r="D19" s="2" t="s">
        <v>140</v>
      </c>
      <c r="E19" s="2" t="s">
        <v>118</v>
      </c>
      <c r="F19" s="2" t="s">
        <v>119</v>
      </c>
      <c r="G19" s="4" t="n">
        <v>232.34</v>
      </c>
      <c r="H19" s="4" t="n">
        <v>21.12</v>
      </c>
      <c r="I19" s="4" t="n">
        <v>211.22</v>
      </c>
      <c r="J19" s="4" t="n">
        <v>211.22</v>
      </c>
      <c r="K19" s="2" t="n">
        <v>2</v>
      </c>
      <c r="L19" s="2" t="s">
        <v>56</v>
      </c>
      <c r="M19" s="2" t="s">
        <v>57</v>
      </c>
      <c r="N19" s="2" t="s">
        <v>120</v>
      </c>
      <c r="O19" s="2" t="s">
        <v>66</v>
      </c>
      <c r="P19" s="2" t="s">
        <v>141</v>
      </c>
      <c r="Q19" s="2" t="str">
        <f aca="false">IF(ROUND(ABS(J19-I19),2)&lt;=0.02,"TRUE","FALSE")</f>
        <v>TRUE</v>
      </c>
    </row>
    <row r="20" customFormat="false" ht="15" hidden="false" customHeight="false" outlineLevel="0" collapsed="false">
      <c r="A20" s="2" t="s">
        <v>26</v>
      </c>
      <c r="B20" s="2" t="s">
        <v>142</v>
      </c>
      <c r="C20" s="2" t="s">
        <v>143</v>
      </c>
      <c r="D20" s="2" t="s">
        <v>144</v>
      </c>
      <c r="E20" s="2" t="s">
        <v>145</v>
      </c>
      <c r="F20" s="2" t="s">
        <v>146</v>
      </c>
      <c r="G20" s="4" t="n">
        <v>429.15</v>
      </c>
      <c r="H20" s="4" t="n">
        <v>39.02</v>
      </c>
      <c r="I20" s="4" t="n">
        <v>390.13</v>
      </c>
      <c r="J20" s="4" t="n">
        <v>390.13</v>
      </c>
      <c r="K20" s="2" t="n">
        <v>6</v>
      </c>
      <c r="L20" s="2" t="s">
        <v>56</v>
      </c>
      <c r="M20" s="2" t="s">
        <v>57</v>
      </c>
      <c r="N20" s="2" t="s">
        <v>147</v>
      </c>
      <c r="O20" s="2" t="s">
        <v>148</v>
      </c>
      <c r="P20" s="2" t="s">
        <v>149</v>
      </c>
      <c r="Q20" s="2" t="str">
        <f aca="false">IF(ROUND(ABS(J20-I20),2)&lt;=0.02,"TRUE","FALSE")</f>
        <v>TRUE</v>
      </c>
    </row>
    <row r="21" customFormat="false" ht="15" hidden="false" customHeight="false" outlineLevel="0" collapsed="false">
      <c r="A21" s="2" t="s">
        <v>22</v>
      </c>
      <c r="B21" s="2" t="s">
        <v>150</v>
      </c>
      <c r="C21" s="2" t="s">
        <v>151</v>
      </c>
      <c r="D21" s="2" t="s">
        <v>152</v>
      </c>
      <c r="E21" s="2" t="s">
        <v>153</v>
      </c>
      <c r="F21" s="2" t="s">
        <v>154</v>
      </c>
      <c r="G21" s="4" t="n">
        <v>606.24</v>
      </c>
      <c r="H21" s="4" t="n">
        <v>55.12</v>
      </c>
      <c r="I21" s="4" t="n">
        <v>551.12</v>
      </c>
      <c r="J21" s="4" t="n">
        <v>551.12</v>
      </c>
      <c r="K21" s="2" t="n">
        <v>8</v>
      </c>
      <c r="L21" s="2" t="s">
        <v>56</v>
      </c>
      <c r="M21" s="2" t="s">
        <v>57</v>
      </c>
      <c r="N21" s="2" t="s">
        <v>155</v>
      </c>
      <c r="O21" s="2" t="s">
        <v>66</v>
      </c>
      <c r="P21" s="2" t="s">
        <v>156</v>
      </c>
      <c r="Q21" s="2" t="str">
        <f aca="false">IF(ROUND(ABS(J21-I21),2)&lt;=0.02,"TRUE","FALSE")</f>
        <v>TRUE</v>
      </c>
    </row>
    <row r="22" customFormat="false" ht="15" hidden="false" customHeight="false" outlineLevel="0" collapsed="false">
      <c r="A22" s="2" t="s">
        <v>10</v>
      </c>
      <c r="B22" s="2" t="s">
        <v>150</v>
      </c>
      <c r="C22" s="2" t="s">
        <v>151</v>
      </c>
      <c r="D22" s="2" t="s">
        <v>157</v>
      </c>
      <c r="E22" s="2" t="s">
        <v>153</v>
      </c>
      <c r="F22" s="2" t="s">
        <v>154</v>
      </c>
      <c r="G22" s="4" t="n">
        <v>608.94</v>
      </c>
      <c r="H22" s="4" t="n">
        <v>55.35</v>
      </c>
      <c r="I22" s="4" t="n">
        <v>553.59</v>
      </c>
      <c r="J22" s="4" t="n">
        <v>553.59</v>
      </c>
      <c r="K22" s="2" t="n">
        <v>8</v>
      </c>
      <c r="L22" s="2" t="s">
        <v>56</v>
      </c>
      <c r="M22" s="2" t="s">
        <v>57</v>
      </c>
      <c r="N22" s="2" t="s">
        <v>155</v>
      </c>
      <c r="O22" s="2" t="s">
        <v>66</v>
      </c>
      <c r="P22" s="2" t="s">
        <v>158</v>
      </c>
      <c r="Q22" s="2" t="str">
        <f aca="false">IF(ROUND(ABS(J22-I22),2)&lt;=0.02,"TRUE","FALSE")</f>
        <v>TRUE</v>
      </c>
    </row>
    <row r="23" customFormat="false" ht="15" hidden="false" customHeight="false" outlineLevel="0" collapsed="false">
      <c r="A23" s="2" t="s">
        <v>18</v>
      </c>
      <c r="B23" s="2" t="s">
        <v>159</v>
      </c>
      <c r="C23" s="2" t="s">
        <v>160</v>
      </c>
      <c r="D23" s="2" t="s">
        <v>161</v>
      </c>
      <c r="E23" s="2" t="s">
        <v>162</v>
      </c>
      <c r="F23" s="2" t="s">
        <v>163</v>
      </c>
      <c r="G23" s="4" t="n">
        <v>322.98</v>
      </c>
      <c r="H23" s="4" t="n">
        <v>29.36</v>
      </c>
      <c r="I23" s="4" t="n">
        <v>293.62</v>
      </c>
      <c r="J23" s="4" t="n">
        <v>293.62</v>
      </c>
      <c r="K23" s="2" t="n">
        <v>4</v>
      </c>
      <c r="L23" s="2" t="s">
        <v>56</v>
      </c>
      <c r="M23" s="2" t="s">
        <v>57</v>
      </c>
      <c r="N23" s="2" t="s">
        <v>164</v>
      </c>
      <c r="O23" s="2" t="s">
        <v>66</v>
      </c>
      <c r="P23" s="2" t="s">
        <v>165</v>
      </c>
      <c r="Q23" s="2" t="str">
        <f aca="false">IF(ROUND(ABS(J23-I23),2)&lt;=0.02,"TRUE","FALSE")</f>
        <v>TRUE</v>
      </c>
    </row>
    <row r="24" customFormat="false" ht="15" hidden="false" customHeight="false" outlineLevel="0" collapsed="false">
      <c r="A24" s="2" t="s">
        <v>18</v>
      </c>
      <c r="B24" s="2" t="s">
        <v>166</v>
      </c>
      <c r="C24" s="2" t="s">
        <v>167</v>
      </c>
      <c r="D24" s="2" t="s">
        <v>168</v>
      </c>
      <c r="E24" s="2" t="s">
        <v>169</v>
      </c>
      <c r="F24" s="2" t="s">
        <v>169</v>
      </c>
      <c r="G24" s="4" t="n">
        <v>266.55</v>
      </c>
      <c r="H24" s="4" t="n">
        <v>24.24</v>
      </c>
      <c r="I24" s="4" t="n">
        <v>242.31</v>
      </c>
      <c r="J24" s="4" t="n">
        <v>242.31</v>
      </c>
      <c r="K24" s="2" t="n">
        <v>4</v>
      </c>
      <c r="L24" s="2" t="s">
        <v>56</v>
      </c>
      <c r="M24" s="2" t="s">
        <v>57</v>
      </c>
      <c r="N24" s="2" t="s">
        <v>170</v>
      </c>
      <c r="O24" s="2" t="s">
        <v>148</v>
      </c>
      <c r="P24" s="2" t="s">
        <v>171</v>
      </c>
      <c r="Q24" s="2" t="str">
        <f aca="false">IF(ROUND(ABS(J24-I24),2)&lt;=0.02,"TRUE","FALSE")</f>
        <v>TRUE</v>
      </c>
    </row>
    <row r="25" customFormat="false" ht="15" hidden="false" customHeight="false" outlineLevel="0" collapsed="false">
      <c r="A25" s="2" t="s">
        <v>18</v>
      </c>
      <c r="B25" s="2" t="s">
        <v>172</v>
      </c>
      <c r="C25" s="2" t="s">
        <v>173</v>
      </c>
      <c r="D25" s="2" t="s">
        <v>174</v>
      </c>
      <c r="E25" s="2" t="s">
        <v>175</v>
      </c>
      <c r="F25" s="2" t="s">
        <v>176</v>
      </c>
      <c r="G25" s="4" t="n">
        <v>262.43</v>
      </c>
      <c r="H25" s="4" t="n">
        <v>23.86</v>
      </c>
      <c r="I25" s="4" t="n">
        <v>238.57</v>
      </c>
      <c r="J25" s="4" t="n">
        <v>238.57</v>
      </c>
      <c r="K25" s="2" t="n">
        <v>4</v>
      </c>
      <c r="L25" s="2" t="s">
        <v>56</v>
      </c>
      <c r="M25" s="2" t="s">
        <v>57</v>
      </c>
      <c r="N25" s="2"/>
      <c r="O25" s="2" t="s">
        <v>58</v>
      </c>
      <c r="P25" s="2" t="s">
        <v>177</v>
      </c>
      <c r="Q25" s="2" t="str">
        <f aca="false">IF(ROUND(ABS(J25-I25),2)&lt;=0.02,"TRUE","FALSE")</f>
        <v>TRUE</v>
      </c>
    </row>
    <row r="26" customFormat="false" ht="15" hidden="false" customHeight="false" outlineLevel="0" collapsed="false">
      <c r="A26" s="2" t="s">
        <v>14</v>
      </c>
      <c r="B26" s="2" t="s">
        <v>178</v>
      </c>
      <c r="C26" s="2" t="s">
        <v>179</v>
      </c>
      <c r="D26" s="2" t="s">
        <v>180</v>
      </c>
      <c r="E26" s="2" t="s">
        <v>181</v>
      </c>
      <c r="F26" s="2" t="s">
        <v>182</v>
      </c>
      <c r="G26" s="4" t="n">
        <v>292</v>
      </c>
      <c r="H26" s="4" t="n">
        <v>26.54</v>
      </c>
      <c r="I26" s="4" t="n">
        <v>265.46</v>
      </c>
      <c r="J26" s="4" t="n">
        <v>265.46</v>
      </c>
      <c r="K26" s="2" t="n">
        <v>3</v>
      </c>
      <c r="L26" s="2" t="s">
        <v>56</v>
      </c>
      <c r="M26" s="2" t="s">
        <v>57</v>
      </c>
      <c r="N26" s="2" t="s">
        <v>170</v>
      </c>
      <c r="O26" s="2" t="s">
        <v>148</v>
      </c>
      <c r="P26" s="2" t="s">
        <v>183</v>
      </c>
      <c r="Q26" s="2" t="str">
        <f aca="false">IF(ROUND(ABS(J26-I26),2)&lt;=0.02,"TRUE","FALSE")</f>
        <v>TRUE</v>
      </c>
    </row>
    <row r="27" customFormat="false" ht="15" hidden="false" customHeight="false" outlineLevel="0" collapsed="false">
      <c r="A27" s="2" t="s">
        <v>18</v>
      </c>
      <c r="B27" s="2" t="s">
        <v>184</v>
      </c>
      <c r="C27" s="2" t="s">
        <v>185</v>
      </c>
      <c r="D27" s="2" t="s">
        <v>186</v>
      </c>
      <c r="E27" s="2" t="s">
        <v>187</v>
      </c>
      <c r="F27" s="2" t="s">
        <v>188</v>
      </c>
      <c r="G27" s="4" t="n">
        <v>341.9</v>
      </c>
      <c r="H27" s="4" t="n">
        <v>31.09</v>
      </c>
      <c r="I27" s="4" t="n">
        <v>310.81</v>
      </c>
      <c r="J27" s="4" t="n">
        <v>310.81</v>
      </c>
      <c r="K27" s="2" t="n">
        <v>7</v>
      </c>
      <c r="L27" s="2" t="s">
        <v>56</v>
      </c>
      <c r="M27" s="2" t="s">
        <v>57</v>
      </c>
      <c r="N27" s="2" t="s">
        <v>189</v>
      </c>
      <c r="O27" s="2" t="s">
        <v>148</v>
      </c>
      <c r="P27" s="2" t="s">
        <v>190</v>
      </c>
      <c r="Q27" s="2" t="str">
        <f aca="false">IF(ROUND(ABS(J27-I27),2)&lt;=0.02,"TRUE","FALSE")</f>
        <v>TRUE</v>
      </c>
    </row>
    <row r="28" customFormat="false" ht="15" hidden="false" customHeight="false" outlineLevel="0" collapsed="false">
      <c r="A28" s="2" t="s">
        <v>22</v>
      </c>
      <c r="B28" s="2" t="s">
        <v>178</v>
      </c>
      <c r="C28" s="2" t="s">
        <v>179</v>
      </c>
      <c r="D28" s="2" t="s">
        <v>191</v>
      </c>
      <c r="E28" s="2" t="s">
        <v>181</v>
      </c>
      <c r="F28" s="2" t="s">
        <v>182</v>
      </c>
      <c r="G28" s="4" t="n">
        <v>247.01</v>
      </c>
      <c r="H28" s="4" t="n">
        <v>22.45</v>
      </c>
      <c r="I28" s="4" t="n">
        <v>224.56</v>
      </c>
      <c r="J28" s="4" t="n">
        <v>224.56</v>
      </c>
      <c r="K28" s="2" t="n">
        <v>3</v>
      </c>
      <c r="L28" s="2" t="s">
        <v>56</v>
      </c>
      <c r="M28" s="2" t="s">
        <v>57</v>
      </c>
      <c r="N28" s="2" t="s">
        <v>170</v>
      </c>
      <c r="O28" s="2" t="s">
        <v>148</v>
      </c>
      <c r="P28" s="2" t="s">
        <v>192</v>
      </c>
      <c r="Q28" s="2" t="str">
        <f aca="false">IF(ROUND(ABS(J28-I28),2)&lt;=0.02,"TRUE","FALSE")</f>
        <v>TRUE</v>
      </c>
    </row>
    <row r="29" customFormat="false" ht="15" hidden="false" customHeight="false" outlineLevel="0" collapsed="false">
      <c r="A29" s="2" t="s">
        <v>30</v>
      </c>
      <c r="B29" s="2" t="s">
        <v>159</v>
      </c>
      <c r="C29" s="2" t="s">
        <v>160</v>
      </c>
      <c r="D29" s="2" t="s">
        <v>193</v>
      </c>
      <c r="E29" s="2" t="s">
        <v>162</v>
      </c>
      <c r="F29" s="2" t="s">
        <v>163</v>
      </c>
      <c r="G29" s="4" t="n">
        <v>258.44</v>
      </c>
      <c r="H29" s="4" t="n">
        <v>23.49</v>
      </c>
      <c r="I29" s="4" t="n">
        <v>234.95</v>
      </c>
      <c r="J29" s="4" t="n">
        <v>234.95</v>
      </c>
      <c r="K29" s="2" t="n">
        <v>4</v>
      </c>
      <c r="L29" s="2" t="s">
        <v>56</v>
      </c>
      <c r="M29" s="2" t="s">
        <v>57</v>
      </c>
      <c r="N29" s="2" t="s">
        <v>164</v>
      </c>
      <c r="O29" s="2" t="s">
        <v>66</v>
      </c>
      <c r="P29" s="2" t="s">
        <v>194</v>
      </c>
      <c r="Q29" s="2" t="str">
        <f aca="false">IF(ROUND(ABS(J29-I29),2)&lt;=0.02,"TRUE","FALSE")</f>
        <v>TRUE</v>
      </c>
    </row>
    <row r="30" customFormat="false" ht="15" hidden="false" customHeight="false" outlineLevel="0" collapsed="false">
      <c r="A30" s="2" t="s">
        <v>30</v>
      </c>
      <c r="B30" s="2" t="s">
        <v>115</v>
      </c>
      <c r="C30" s="2" t="s">
        <v>116</v>
      </c>
      <c r="D30" s="2" t="s">
        <v>195</v>
      </c>
      <c r="E30" s="2" t="s">
        <v>118</v>
      </c>
      <c r="F30" s="2" t="s">
        <v>119</v>
      </c>
      <c r="G30" s="4" t="n">
        <v>242.64</v>
      </c>
      <c r="H30" s="4" t="n">
        <v>22.06</v>
      </c>
      <c r="I30" s="4" t="n">
        <v>220.58</v>
      </c>
      <c r="J30" s="4" t="n">
        <v>220.58</v>
      </c>
      <c r="K30" s="2" t="n">
        <v>4</v>
      </c>
      <c r="L30" s="2" t="s">
        <v>56</v>
      </c>
      <c r="M30" s="2" t="s">
        <v>57</v>
      </c>
      <c r="N30" s="2" t="s">
        <v>120</v>
      </c>
      <c r="O30" s="2" t="s">
        <v>66</v>
      </c>
      <c r="P30" s="2" t="s">
        <v>196</v>
      </c>
      <c r="Q30" s="2" t="str">
        <f aca="false">IF(ROUND(ABS(J30-I30),2)&lt;=0.02,"TRUE","FALSE")</f>
        <v>TRUE</v>
      </c>
    </row>
    <row r="31" customFormat="false" ht="15" hidden="false" customHeight="false" outlineLevel="0" collapsed="false">
      <c r="A31" s="2" t="s">
        <v>18</v>
      </c>
      <c r="B31" s="2" t="s">
        <v>115</v>
      </c>
      <c r="C31" s="2" t="s">
        <v>116</v>
      </c>
      <c r="D31" s="2" t="s">
        <v>197</v>
      </c>
      <c r="E31" s="2" t="s">
        <v>118</v>
      </c>
      <c r="F31" s="2" t="s">
        <v>119</v>
      </c>
      <c r="G31" s="4" t="n">
        <v>237.93</v>
      </c>
      <c r="H31" s="4" t="n">
        <v>21.63</v>
      </c>
      <c r="I31" s="4" t="n">
        <v>216.3</v>
      </c>
      <c r="J31" s="4" t="n">
        <v>216.3</v>
      </c>
      <c r="K31" s="2" t="n">
        <v>4</v>
      </c>
      <c r="L31" s="2" t="s">
        <v>56</v>
      </c>
      <c r="M31" s="2" t="s">
        <v>57</v>
      </c>
      <c r="N31" s="2" t="s">
        <v>120</v>
      </c>
      <c r="O31" s="2" t="s">
        <v>66</v>
      </c>
      <c r="P31" s="2" t="s">
        <v>198</v>
      </c>
      <c r="Q31" s="2" t="str">
        <f aca="false">IF(ROUND(ABS(J31-I31),2)&lt;=0.02,"TRUE","FALSE")</f>
        <v>TRUE</v>
      </c>
    </row>
    <row r="32" customFormat="false" ht="15" hidden="false" customHeight="false" outlineLevel="0" collapsed="false">
      <c r="A32" s="2" t="s">
        <v>30</v>
      </c>
      <c r="B32" s="2" t="s">
        <v>172</v>
      </c>
      <c r="C32" s="2" t="s">
        <v>173</v>
      </c>
      <c r="D32" s="2" t="s">
        <v>199</v>
      </c>
      <c r="E32" s="2" t="s">
        <v>175</v>
      </c>
      <c r="F32" s="2" t="s">
        <v>176</v>
      </c>
      <c r="G32" s="4" t="n">
        <v>233.42</v>
      </c>
      <c r="H32" s="4" t="n">
        <v>21.22</v>
      </c>
      <c r="I32" s="4" t="n">
        <v>212.2</v>
      </c>
      <c r="J32" s="4" t="n">
        <v>212.2</v>
      </c>
      <c r="K32" s="2" t="n">
        <v>2</v>
      </c>
      <c r="L32" s="2" t="s">
        <v>56</v>
      </c>
      <c r="M32" s="2" t="s">
        <v>57</v>
      </c>
      <c r="N32" s="2"/>
      <c r="O32" s="2" t="s">
        <v>58</v>
      </c>
      <c r="P32" s="2" t="s">
        <v>200</v>
      </c>
      <c r="Q32" s="2" t="str">
        <f aca="false">IF(ROUND(ABS(J32-I32),2)&lt;=0.02,"TRUE","FALSE")</f>
        <v>TRUE</v>
      </c>
    </row>
    <row r="33" customFormat="false" ht="15" hidden="false" customHeight="false" outlineLevel="0" collapsed="false">
      <c r="A33" s="2" t="s">
        <v>30</v>
      </c>
      <c r="B33" s="2" t="s">
        <v>122</v>
      </c>
      <c r="C33" s="2" t="s">
        <v>123</v>
      </c>
      <c r="D33" s="2" t="s">
        <v>201</v>
      </c>
      <c r="E33" s="2" t="s">
        <v>125</v>
      </c>
      <c r="F33" s="2" t="s">
        <v>126</v>
      </c>
      <c r="G33" s="4" t="n">
        <v>307.63</v>
      </c>
      <c r="H33" s="4" t="n">
        <v>27.97</v>
      </c>
      <c r="I33" s="4" t="n">
        <v>279.66</v>
      </c>
      <c r="J33" s="4" t="n">
        <v>279.66</v>
      </c>
      <c r="K33" s="2" t="n">
        <v>8</v>
      </c>
      <c r="L33" s="2" t="s">
        <v>56</v>
      </c>
      <c r="M33" s="2" t="s">
        <v>57</v>
      </c>
      <c r="N33" s="2" t="s">
        <v>127</v>
      </c>
      <c r="O33" s="2" t="s">
        <v>66</v>
      </c>
      <c r="P33" s="2" t="s">
        <v>202</v>
      </c>
      <c r="Q33" s="2" t="str">
        <f aca="false">IF(ROUND(ABS(J33-I33),2)&lt;=0.02,"TRUE","FALSE")</f>
        <v>TRUE</v>
      </c>
    </row>
    <row r="34" customFormat="false" ht="15" hidden="false" customHeight="false" outlineLevel="0" collapsed="false">
      <c r="A34" s="2" t="s">
        <v>18</v>
      </c>
      <c r="B34" s="2" t="s">
        <v>203</v>
      </c>
      <c r="C34" s="2" t="s">
        <v>204</v>
      </c>
      <c r="D34" s="2" t="s">
        <v>205</v>
      </c>
      <c r="E34" s="2" t="s">
        <v>206</v>
      </c>
      <c r="F34" s="2" t="s">
        <v>207</v>
      </c>
      <c r="G34" s="4" t="n">
        <v>240.64</v>
      </c>
      <c r="H34" s="4" t="n">
        <v>21.88</v>
      </c>
      <c r="I34" s="4" t="n">
        <v>218.76</v>
      </c>
      <c r="J34" s="4" t="n">
        <v>218.76</v>
      </c>
      <c r="K34" s="2" t="n">
        <v>4</v>
      </c>
      <c r="L34" s="2" t="s">
        <v>56</v>
      </c>
      <c r="M34" s="2" t="s">
        <v>57</v>
      </c>
      <c r="N34" s="2"/>
      <c r="O34" s="2" t="s">
        <v>58</v>
      </c>
      <c r="P34" s="2" t="s">
        <v>208</v>
      </c>
      <c r="Q34" s="2" t="str">
        <f aca="false">IF(ROUND(ABS(J34-I34),2)&lt;=0.02,"TRUE","FALSE")</f>
        <v>TRUE</v>
      </c>
    </row>
    <row r="35" customFormat="false" ht="15" hidden="false" customHeight="false" outlineLevel="0" collapsed="false">
      <c r="A35" s="2" t="s">
        <v>30</v>
      </c>
      <c r="B35" s="2" t="s">
        <v>166</v>
      </c>
      <c r="C35" s="2" t="s">
        <v>167</v>
      </c>
      <c r="D35" s="2" t="s">
        <v>209</v>
      </c>
      <c r="E35" s="2" t="s">
        <v>169</v>
      </c>
      <c r="F35" s="2" t="s">
        <v>169</v>
      </c>
      <c r="G35" s="4" t="n">
        <v>232.58</v>
      </c>
      <c r="H35" s="4" t="n">
        <v>21.14</v>
      </c>
      <c r="I35" s="4" t="n">
        <v>211.44</v>
      </c>
      <c r="J35" s="4" t="n">
        <v>211.44</v>
      </c>
      <c r="K35" s="2" t="n">
        <v>4</v>
      </c>
      <c r="L35" s="2" t="s">
        <v>56</v>
      </c>
      <c r="M35" s="2" t="s">
        <v>57</v>
      </c>
      <c r="N35" s="2" t="s">
        <v>170</v>
      </c>
      <c r="O35" s="2" t="s">
        <v>148</v>
      </c>
      <c r="P35" s="2" t="s">
        <v>210</v>
      </c>
      <c r="Q35" s="2" t="str">
        <f aca="false">IF(ROUND(ABS(J35-I35),2)&lt;=0.02,"TRUE","FALSE")</f>
        <v>TRUE</v>
      </c>
    </row>
    <row r="36" customFormat="false" ht="15" hidden="false" customHeight="false" outlineLevel="0" collapsed="false">
      <c r="A36" s="2" t="s">
        <v>30</v>
      </c>
      <c r="B36" s="2" t="s">
        <v>211</v>
      </c>
      <c r="C36" s="2" t="s">
        <v>212</v>
      </c>
      <c r="D36" s="2" t="s">
        <v>213</v>
      </c>
      <c r="E36" s="2" t="s">
        <v>214</v>
      </c>
      <c r="F36" s="2" t="s">
        <v>215</v>
      </c>
      <c r="G36" s="4" t="n">
        <v>110.18</v>
      </c>
      <c r="H36" s="4" t="n">
        <v>10.02</v>
      </c>
      <c r="I36" s="4" t="n">
        <v>100.16</v>
      </c>
      <c r="J36" s="4" t="n">
        <v>100.16</v>
      </c>
      <c r="K36" s="2" t="n">
        <v>4</v>
      </c>
      <c r="L36" s="2" t="s">
        <v>56</v>
      </c>
      <c r="M36" s="2" t="s">
        <v>57</v>
      </c>
      <c r="N36" s="2" t="s">
        <v>216</v>
      </c>
      <c r="O36" s="2" t="s">
        <v>217</v>
      </c>
      <c r="P36" s="2" t="s">
        <v>218</v>
      </c>
      <c r="Q36" s="2" t="str">
        <f aca="false">IF(ROUND(ABS(J36-I36),2)&lt;=0.02,"TRUE","FALSE")</f>
        <v>TRUE</v>
      </c>
    </row>
    <row r="37" customFormat="false" ht="15" hidden="false" customHeight="false" outlineLevel="0" collapsed="false">
      <c r="A37" s="2" t="s">
        <v>30</v>
      </c>
      <c r="B37" s="2" t="s">
        <v>219</v>
      </c>
      <c r="C37" s="2" t="s">
        <v>220</v>
      </c>
      <c r="D37" s="2" t="s">
        <v>221</v>
      </c>
      <c r="E37" s="2" t="s">
        <v>222</v>
      </c>
      <c r="F37" s="2" t="s">
        <v>222</v>
      </c>
      <c r="G37" s="4" t="n">
        <v>117.63</v>
      </c>
      <c r="H37" s="4" t="n">
        <v>10.7</v>
      </c>
      <c r="I37" s="4" t="n">
        <v>106.93</v>
      </c>
      <c r="J37" s="4" t="n">
        <v>106.93</v>
      </c>
      <c r="K37" s="2" t="n">
        <v>4</v>
      </c>
      <c r="L37" s="2" t="s">
        <v>56</v>
      </c>
      <c r="M37" s="2" t="s">
        <v>57</v>
      </c>
      <c r="N37" s="2" t="s">
        <v>223</v>
      </c>
      <c r="O37" s="2" t="s">
        <v>148</v>
      </c>
      <c r="P37" s="2" t="s">
        <v>224</v>
      </c>
      <c r="Q37" s="2" t="str">
        <f aca="false">IF(ROUND(ABS(J37-I37),2)&lt;=0.02,"TRUE","FALSE")</f>
        <v>TRUE</v>
      </c>
    </row>
    <row r="38" customFormat="false" ht="15" hidden="false" customHeight="false" outlineLevel="0" collapsed="false">
      <c r="A38" s="2" t="s">
        <v>30</v>
      </c>
      <c r="B38" s="2" t="s">
        <v>225</v>
      </c>
      <c r="C38" s="2" t="s">
        <v>226</v>
      </c>
      <c r="D38" s="2" t="s">
        <v>227</v>
      </c>
      <c r="E38" s="2" t="s">
        <v>228</v>
      </c>
      <c r="F38" s="2" t="s">
        <v>229</v>
      </c>
      <c r="G38" s="4" t="n">
        <v>143.99</v>
      </c>
      <c r="H38" s="4" t="n">
        <v>13.09</v>
      </c>
      <c r="I38" s="4" t="n">
        <v>130.9</v>
      </c>
      <c r="J38" s="4" t="n">
        <v>130.9</v>
      </c>
      <c r="K38" s="2" t="n">
        <v>2</v>
      </c>
      <c r="L38" s="2" t="s">
        <v>56</v>
      </c>
      <c r="M38" s="2" t="s">
        <v>57</v>
      </c>
      <c r="N38" s="2" t="s">
        <v>230</v>
      </c>
      <c r="O38" s="2" t="s">
        <v>217</v>
      </c>
      <c r="P38" s="2" t="s">
        <v>231</v>
      </c>
      <c r="Q38" s="2" t="str">
        <f aca="false">IF(ROUND(ABS(J38-I38),2)&lt;=0.02,"TRUE","FALSE")</f>
        <v>TRUE</v>
      </c>
    </row>
    <row r="39" customFormat="false" ht="15" hidden="false" customHeight="false" outlineLevel="0" collapsed="false">
      <c r="A39" s="2" t="s">
        <v>30</v>
      </c>
      <c r="B39" s="2" t="s">
        <v>232</v>
      </c>
      <c r="C39" s="2" t="s">
        <v>233</v>
      </c>
      <c r="D39" s="2" t="s">
        <v>234</v>
      </c>
      <c r="E39" s="2" t="s">
        <v>235</v>
      </c>
      <c r="F39" s="2" t="s">
        <v>236</v>
      </c>
      <c r="G39" s="4" t="n">
        <v>153.44</v>
      </c>
      <c r="H39" s="4" t="n">
        <v>13.95</v>
      </c>
      <c r="I39" s="4" t="n">
        <v>139.49</v>
      </c>
      <c r="J39" s="4" t="n">
        <v>139.49</v>
      </c>
      <c r="K39" s="2" t="n">
        <v>3</v>
      </c>
      <c r="L39" s="2" t="s">
        <v>56</v>
      </c>
      <c r="M39" s="2" t="s">
        <v>57</v>
      </c>
      <c r="N39" s="2" t="s">
        <v>237</v>
      </c>
      <c r="O39" s="2" t="s">
        <v>66</v>
      </c>
      <c r="P39" s="2" t="s">
        <v>238</v>
      </c>
      <c r="Q39" s="2" t="str">
        <f aca="false">IF(ROUND(ABS(J39-I39),2)&lt;=0.02,"TRUE","FALSE")</f>
        <v>TRUE</v>
      </c>
    </row>
    <row r="40" customFormat="false" ht="15" hidden="false" customHeight="false" outlineLevel="0" collapsed="false">
      <c r="A40" s="2" t="s">
        <v>18</v>
      </c>
      <c r="B40" s="2" t="s">
        <v>225</v>
      </c>
      <c r="C40" s="2" t="s">
        <v>226</v>
      </c>
      <c r="D40" s="2" t="s">
        <v>239</v>
      </c>
      <c r="E40" s="2" t="s">
        <v>228</v>
      </c>
      <c r="F40" s="2" t="s">
        <v>229</v>
      </c>
      <c r="G40" s="4" t="n">
        <v>136.59</v>
      </c>
      <c r="H40" s="4" t="n">
        <v>12.42</v>
      </c>
      <c r="I40" s="4" t="n">
        <v>124.17</v>
      </c>
      <c r="J40" s="4" t="n">
        <v>124.17</v>
      </c>
      <c r="K40" s="2" t="n">
        <v>4</v>
      </c>
      <c r="L40" s="2" t="s">
        <v>56</v>
      </c>
      <c r="M40" s="2" t="s">
        <v>57</v>
      </c>
      <c r="N40" s="2" t="s">
        <v>230</v>
      </c>
      <c r="O40" s="2" t="s">
        <v>217</v>
      </c>
      <c r="P40" s="2" t="s">
        <v>240</v>
      </c>
      <c r="Q40" s="2" t="str">
        <f aca="false">IF(ROUND(ABS(J40-I40),2)&lt;=0.02,"TRUE","FALSE")</f>
        <v>TRUE</v>
      </c>
    </row>
    <row r="41" customFormat="false" ht="15" hidden="false" customHeight="false" outlineLevel="0" collapsed="false">
      <c r="A41" s="2" t="s">
        <v>30</v>
      </c>
      <c r="B41" s="2" t="s">
        <v>241</v>
      </c>
      <c r="C41" s="2" t="s">
        <v>242</v>
      </c>
      <c r="D41" s="2" t="s">
        <v>243</v>
      </c>
      <c r="E41" s="2" t="s">
        <v>244</v>
      </c>
      <c r="F41" s="2" t="s">
        <v>245</v>
      </c>
      <c r="G41" s="4" t="n">
        <v>113.66</v>
      </c>
      <c r="H41" s="4" t="n">
        <v>10.35</v>
      </c>
      <c r="I41" s="4" t="n">
        <v>103.31</v>
      </c>
      <c r="J41" s="4" t="n">
        <v>103.31</v>
      </c>
      <c r="K41" s="2" t="n">
        <v>5</v>
      </c>
      <c r="L41" s="2" t="s">
        <v>56</v>
      </c>
      <c r="M41" s="2" t="s">
        <v>57</v>
      </c>
      <c r="N41" s="2" t="s">
        <v>246</v>
      </c>
      <c r="O41" s="2" t="s">
        <v>66</v>
      </c>
      <c r="P41" s="2" t="s">
        <v>247</v>
      </c>
      <c r="Q41" s="2" t="str">
        <f aca="false">IF(ROUND(ABS(J41-I41),2)&lt;=0.02,"TRUE","FALSE")</f>
        <v>TRUE</v>
      </c>
    </row>
    <row r="42" customFormat="false" ht="15" hidden="false" customHeight="false" outlineLevel="0" collapsed="false">
      <c r="A42" s="2" t="s">
        <v>18</v>
      </c>
      <c r="B42" s="2" t="s">
        <v>248</v>
      </c>
      <c r="C42" s="2" t="s">
        <v>249</v>
      </c>
      <c r="D42" s="2" t="s">
        <v>250</v>
      </c>
      <c r="E42" s="2" t="s">
        <v>251</v>
      </c>
      <c r="F42" s="2" t="s">
        <v>252</v>
      </c>
      <c r="G42" s="4" t="n">
        <v>174.59</v>
      </c>
      <c r="H42" s="4" t="n">
        <v>15.88</v>
      </c>
      <c r="I42" s="4" t="n">
        <v>158.71</v>
      </c>
      <c r="J42" s="4" t="n">
        <v>158.71</v>
      </c>
      <c r="K42" s="2" t="n">
        <v>4</v>
      </c>
      <c r="L42" s="2" t="s">
        <v>56</v>
      </c>
      <c r="M42" s="2" t="s">
        <v>57</v>
      </c>
      <c r="N42" s="2" t="s">
        <v>253</v>
      </c>
      <c r="O42" s="2" t="s">
        <v>148</v>
      </c>
      <c r="P42" s="2" t="s">
        <v>254</v>
      </c>
      <c r="Q42" s="2" t="str">
        <f aca="false">IF(ROUND(ABS(J42-I42),2)&lt;=0.02,"TRUE","FALSE")</f>
        <v>TRUE</v>
      </c>
    </row>
    <row r="43" customFormat="false" ht="15" hidden="false" customHeight="false" outlineLevel="0" collapsed="false">
      <c r="A43" s="2" t="s">
        <v>18</v>
      </c>
      <c r="B43" s="2" t="s">
        <v>241</v>
      </c>
      <c r="C43" s="2" t="s">
        <v>242</v>
      </c>
      <c r="D43" s="2" t="s">
        <v>255</v>
      </c>
      <c r="E43" s="2" t="s">
        <v>244</v>
      </c>
      <c r="F43" s="2" t="s">
        <v>245</v>
      </c>
      <c r="G43" s="4" t="n">
        <v>105.34</v>
      </c>
      <c r="H43" s="4" t="n">
        <v>9.58</v>
      </c>
      <c r="I43" s="4" t="n">
        <v>95.76</v>
      </c>
      <c r="J43" s="4" t="n">
        <v>95.76</v>
      </c>
      <c r="K43" s="2" t="n">
        <v>2</v>
      </c>
      <c r="L43" s="2" t="s">
        <v>56</v>
      </c>
      <c r="M43" s="2" t="s">
        <v>57</v>
      </c>
      <c r="N43" s="2" t="s">
        <v>246</v>
      </c>
      <c r="O43" s="2" t="s">
        <v>66</v>
      </c>
      <c r="P43" s="2" t="s">
        <v>256</v>
      </c>
      <c r="Q43" s="2" t="str">
        <f aca="false">IF(ROUND(ABS(J43-I43),2)&lt;=0.02,"TRUE","FALSE")</f>
        <v>TRUE</v>
      </c>
    </row>
    <row r="44" customFormat="false" ht="15" hidden="false" customHeight="false" outlineLevel="0" collapsed="false">
      <c r="A44" s="2" t="s">
        <v>18</v>
      </c>
      <c r="B44" s="2" t="s">
        <v>232</v>
      </c>
      <c r="C44" s="2" t="s">
        <v>233</v>
      </c>
      <c r="D44" s="2" t="s">
        <v>257</v>
      </c>
      <c r="E44" s="2" t="s">
        <v>235</v>
      </c>
      <c r="F44" s="2" t="s">
        <v>236</v>
      </c>
      <c r="G44" s="4" t="n">
        <v>152.34</v>
      </c>
      <c r="H44" s="4" t="n">
        <v>13.84</v>
      </c>
      <c r="I44" s="4" t="n">
        <v>138.5</v>
      </c>
      <c r="J44" s="4" t="n">
        <v>138.5</v>
      </c>
      <c r="K44" s="2" t="n">
        <v>6</v>
      </c>
      <c r="L44" s="2" t="s">
        <v>56</v>
      </c>
      <c r="M44" s="2" t="s">
        <v>57</v>
      </c>
      <c r="N44" s="2" t="s">
        <v>237</v>
      </c>
      <c r="O44" s="2" t="s">
        <v>66</v>
      </c>
      <c r="P44" s="2" t="s">
        <v>258</v>
      </c>
      <c r="Q44" s="2" t="str">
        <f aca="false">IF(ROUND(ABS(J44-I44),2)&lt;=0.02,"TRUE","FALSE")</f>
        <v>TRUE</v>
      </c>
    </row>
    <row r="45" customFormat="false" ht="15" hidden="false" customHeight="false" outlineLevel="0" collapsed="false">
      <c r="A45" s="2" t="s">
        <v>14</v>
      </c>
      <c r="B45" s="2" t="s">
        <v>219</v>
      </c>
      <c r="C45" s="2" t="s">
        <v>220</v>
      </c>
      <c r="D45" s="2" t="s">
        <v>259</v>
      </c>
      <c r="E45" s="2" t="s">
        <v>222</v>
      </c>
      <c r="F45" s="2" t="s">
        <v>222</v>
      </c>
      <c r="G45" s="4" t="n">
        <v>112.64</v>
      </c>
      <c r="H45" s="4" t="n">
        <v>10.24</v>
      </c>
      <c r="I45" s="4" t="n">
        <v>102.4</v>
      </c>
      <c r="J45" s="4" t="n">
        <v>102.4</v>
      </c>
      <c r="K45" s="2" t="n">
        <v>4</v>
      </c>
      <c r="L45" s="2" t="s">
        <v>56</v>
      </c>
      <c r="M45" s="2" t="s">
        <v>57</v>
      </c>
      <c r="N45" s="2" t="s">
        <v>223</v>
      </c>
      <c r="O45" s="2" t="s">
        <v>148</v>
      </c>
      <c r="P45" s="2" t="s">
        <v>260</v>
      </c>
      <c r="Q45" s="2" t="str">
        <f aca="false">IF(ROUND(ABS(J45-I45),2)&lt;=0.02,"TRUE","FALSE")</f>
        <v>TRUE</v>
      </c>
    </row>
    <row r="46" customFormat="false" ht="15" hidden="false" customHeight="false" outlineLevel="0" collapsed="false">
      <c r="A46" s="2" t="s">
        <v>14</v>
      </c>
      <c r="B46" s="2" t="s">
        <v>211</v>
      </c>
      <c r="C46" s="2" t="s">
        <v>212</v>
      </c>
      <c r="D46" s="2" t="s">
        <v>261</v>
      </c>
      <c r="E46" s="2" t="s">
        <v>214</v>
      </c>
      <c r="F46" s="2" t="s">
        <v>215</v>
      </c>
      <c r="G46" s="4" t="n">
        <v>112.75</v>
      </c>
      <c r="H46" s="4" t="n">
        <v>10.25</v>
      </c>
      <c r="I46" s="4" t="n">
        <v>102.5</v>
      </c>
      <c r="J46" s="4" t="n">
        <v>102.5</v>
      </c>
      <c r="K46" s="2" t="n">
        <v>4</v>
      </c>
      <c r="L46" s="2" t="s">
        <v>56</v>
      </c>
      <c r="M46" s="2" t="s">
        <v>57</v>
      </c>
      <c r="N46" s="2" t="s">
        <v>216</v>
      </c>
      <c r="O46" s="2" t="s">
        <v>217</v>
      </c>
      <c r="P46" s="2" t="s">
        <v>262</v>
      </c>
      <c r="Q46" s="2" t="str">
        <f aca="false">IF(ROUND(ABS(J46-I46),2)&lt;=0.02,"TRUE","FALSE")</f>
        <v>TRUE</v>
      </c>
    </row>
    <row r="47" customFormat="false" ht="15" hidden="false" customHeight="false" outlineLevel="0" collapsed="false">
      <c r="A47" s="2" t="s">
        <v>14</v>
      </c>
      <c r="B47" s="2" t="s">
        <v>263</v>
      </c>
      <c r="C47" s="2" t="s">
        <v>264</v>
      </c>
      <c r="D47" s="2" t="s">
        <v>265</v>
      </c>
      <c r="E47" s="2" t="s">
        <v>266</v>
      </c>
      <c r="F47" s="2" t="s">
        <v>267</v>
      </c>
      <c r="G47" s="4" t="n">
        <v>132.05</v>
      </c>
      <c r="H47" s="4" t="n">
        <v>12.01</v>
      </c>
      <c r="I47" s="4" t="n">
        <v>120.04</v>
      </c>
      <c r="J47" s="4" t="n">
        <v>120.04</v>
      </c>
      <c r="K47" s="2" t="n">
        <v>4</v>
      </c>
      <c r="L47" s="2" t="s">
        <v>56</v>
      </c>
      <c r="M47" s="2" t="s">
        <v>57</v>
      </c>
      <c r="N47" s="2"/>
      <c r="O47" s="2" t="s">
        <v>58</v>
      </c>
      <c r="P47" s="2" t="s">
        <v>268</v>
      </c>
      <c r="Q47" s="2" t="str">
        <f aca="false">IF(ROUND(ABS(J47-I47),2)&lt;=0.02,"TRUE","FALSE")</f>
        <v>TRUE</v>
      </c>
    </row>
    <row r="48" customFormat="false" ht="15" hidden="false" customHeight="false" outlineLevel="0" collapsed="false">
      <c r="A48" s="2" t="s">
        <v>18</v>
      </c>
      <c r="B48" s="2" t="s">
        <v>269</v>
      </c>
      <c r="C48" s="2" t="s">
        <v>270</v>
      </c>
      <c r="D48" s="2" t="s">
        <v>271</v>
      </c>
      <c r="E48" s="2" t="s">
        <v>272</v>
      </c>
      <c r="F48" s="2" t="s">
        <v>273</v>
      </c>
      <c r="G48" s="4" t="n">
        <v>111.58</v>
      </c>
      <c r="H48" s="4" t="n">
        <v>10.15</v>
      </c>
      <c r="I48" s="4" t="n">
        <v>101.43</v>
      </c>
      <c r="J48" s="4" t="n">
        <v>101.43</v>
      </c>
      <c r="K48" s="2" t="n">
        <v>4</v>
      </c>
      <c r="L48" s="2" t="s">
        <v>56</v>
      </c>
      <c r="M48" s="2" t="s">
        <v>57</v>
      </c>
      <c r="N48" s="2" t="s">
        <v>274</v>
      </c>
      <c r="O48" s="2" t="s">
        <v>104</v>
      </c>
      <c r="P48" s="2" t="s">
        <v>275</v>
      </c>
      <c r="Q48" s="2" t="str">
        <f aca="false">IF(ROUND(ABS(J48-I48),2)&lt;=0.02,"TRUE","FALSE")</f>
        <v>TRUE</v>
      </c>
    </row>
    <row r="49" customFormat="false" ht="15" hidden="false" customHeight="false" outlineLevel="0" collapsed="false">
      <c r="A49" s="2" t="s">
        <v>14</v>
      </c>
      <c r="B49" s="2" t="s">
        <v>276</v>
      </c>
      <c r="C49" s="2" t="s">
        <v>277</v>
      </c>
      <c r="D49" s="2" t="s">
        <v>278</v>
      </c>
      <c r="E49" s="2" t="s">
        <v>279</v>
      </c>
      <c r="F49" s="2" t="s">
        <v>280</v>
      </c>
      <c r="G49" s="4" t="n">
        <v>136.07</v>
      </c>
      <c r="H49" s="4" t="n">
        <v>12.37</v>
      </c>
      <c r="I49" s="4" t="n">
        <v>123.7</v>
      </c>
      <c r="J49" s="4" t="n">
        <v>123.7</v>
      </c>
      <c r="K49" s="2" t="n">
        <v>4</v>
      </c>
      <c r="L49" s="2" t="s">
        <v>56</v>
      </c>
      <c r="M49" s="2" t="s">
        <v>57</v>
      </c>
      <c r="N49" s="2" t="s">
        <v>281</v>
      </c>
      <c r="O49" s="2" t="s">
        <v>217</v>
      </c>
      <c r="P49" s="2" t="s">
        <v>282</v>
      </c>
      <c r="Q49" s="2" t="str">
        <f aca="false">IF(ROUND(ABS(J49-I49),2)&lt;=0.02,"TRUE","FALSE")</f>
        <v>TRUE</v>
      </c>
    </row>
    <row r="50" customFormat="false" ht="15" hidden="false" customHeight="false" outlineLevel="0" collapsed="false">
      <c r="A50" s="2" t="s">
        <v>26</v>
      </c>
      <c r="B50" s="2" t="s">
        <v>276</v>
      </c>
      <c r="C50" s="2" t="s">
        <v>277</v>
      </c>
      <c r="D50" s="2" t="s">
        <v>283</v>
      </c>
      <c r="E50" s="2" t="s">
        <v>279</v>
      </c>
      <c r="F50" s="2" t="s">
        <v>280</v>
      </c>
      <c r="G50" s="4" t="n">
        <v>132.57</v>
      </c>
      <c r="H50" s="4" t="n">
        <v>12.05</v>
      </c>
      <c r="I50" s="4" t="n">
        <v>120.52</v>
      </c>
      <c r="J50" s="4" t="n">
        <v>120.52</v>
      </c>
      <c r="K50" s="2" t="n">
        <v>4</v>
      </c>
      <c r="L50" s="2" t="s">
        <v>56</v>
      </c>
      <c r="M50" s="2" t="s">
        <v>57</v>
      </c>
      <c r="N50" s="2" t="s">
        <v>281</v>
      </c>
      <c r="O50" s="2" t="s">
        <v>217</v>
      </c>
      <c r="P50" s="2" t="s">
        <v>284</v>
      </c>
      <c r="Q50" s="2" t="str">
        <f aca="false">IF(ROUND(ABS(J50-I50),2)&lt;=0.02,"TRUE","FALSE")</f>
        <v>TRUE</v>
      </c>
    </row>
    <row r="51" customFormat="false" ht="15" hidden="false" customHeight="false" outlineLevel="0" collapsed="false">
      <c r="A51" s="2" t="s">
        <v>30</v>
      </c>
      <c r="B51" s="2" t="s">
        <v>248</v>
      </c>
      <c r="C51" s="2" t="s">
        <v>249</v>
      </c>
      <c r="D51" s="2" t="s">
        <v>285</v>
      </c>
      <c r="E51" s="2" t="s">
        <v>251</v>
      </c>
      <c r="F51" s="2" t="s">
        <v>252</v>
      </c>
      <c r="G51" s="4" t="n">
        <v>162.2</v>
      </c>
      <c r="H51" s="4" t="n">
        <v>14.75</v>
      </c>
      <c r="I51" s="4" t="n">
        <v>147.45</v>
      </c>
      <c r="J51" s="4" t="n">
        <v>147.45</v>
      </c>
      <c r="K51" s="2" t="n">
        <v>4</v>
      </c>
      <c r="L51" s="2" t="s">
        <v>56</v>
      </c>
      <c r="M51" s="2" t="s">
        <v>57</v>
      </c>
      <c r="N51" s="2" t="s">
        <v>253</v>
      </c>
      <c r="O51" s="2" t="s">
        <v>148</v>
      </c>
      <c r="P51" s="2" t="s">
        <v>286</v>
      </c>
      <c r="Q51" s="2" t="str">
        <f aca="false">IF(ROUND(ABS(J51-I51),2)&lt;=0.02,"TRUE","FALSE")</f>
        <v>TRUE</v>
      </c>
    </row>
    <row r="52" customFormat="false" ht="15" hidden="false" customHeight="false" outlineLevel="0" collapsed="false">
      <c r="A52" s="2" t="s">
        <v>30</v>
      </c>
      <c r="B52" s="2" t="s">
        <v>269</v>
      </c>
      <c r="C52" s="2" t="s">
        <v>270</v>
      </c>
      <c r="D52" s="2" t="s">
        <v>287</v>
      </c>
      <c r="E52" s="2" t="s">
        <v>272</v>
      </c>
      <c r="F52" s="2" t="s">
        <v>273</v>
      </c>
      <c r="G52" s="4" t="n">
        <v>109.67</v>
      </c>
      <c r="H52" s="4" t="n">
        <v>9.98</v>
      </c>
      <c r="I52" s="4" t="n">
        <v>99.69</v>
      </c>
      <c r="J52" s="4" t="n">
        <v>99.69</v>
      </c>
      <c r="K52" s="2" t="n">
        <v>4</v>
      </c>
      <c r="L52" s="2" t="s">
        <v>56</v>
      </c>
      <c r="M52" s="2" t="s">
        <v>57</v>
      </c>
      <c r="N52" s="2" t="s">
        <v>274</v>
      </c>
      <c r="O52" s="2" t="s">
        <v>104</v>
      </c>
      <c r="P52" s="2" t="s">
        <v>288</v>
      </c>
      <c r="Q52" s="2" t="str">
        <f aca="false">IF(ROUND(ABS(J52-I52),2)&lt;=0.02,"TRUE","FALSE")</f>
        <v>TRUE</v>
      </c>
    </row>
    <row r="53" customFormat="false" ht="15" hidden="false" customHeight="false" outlineLevel="0" collapsed="false">
      <c r="A53" s="2" t="s">
        <v>26</v>
      </c>
      <c r="B53" s="2" t="s">
        <v>263</v>
      </c>
      <c r="C53" s="2" t="s">
        <v>264</v>
      </c>
      <c r="D53" s="2" t="s">
        <v>289</v>
      </c>
      <c r="E53" s="2" t="s">
        <v>266</v>
      </c>
      <c r="F53" s="2" t="s">
        <v>267</v>
      </c>
      <c r="G53" s="4" t="n">
        <v>114.64</v>
      </c>
      <c r="H53" s="4" t="n">
        <v>10.42</v>
      </c>
      <c r="I53" s="4" t="n">
        <v>104.22</v>
      </c>
      <c r="J53" s="4" t="n">
        <v>104.22</v>
      </c>
      <c r="K53" s="2" t="n">
        <v>6</v>
      </c>
      <c r="L53" s="2" t="s">
        <v>56</v>
      </c>
      <c r="M53" s="2" t="s">
        <v>57</v>
      </c>
      <c r="N53" s="2"/>
      <c r="O53" s="2" t="s">
        <v>58</v>
      </c>
      <c r="P53" s="2" t="s">
        <v>290</v>
      </c>
      <c r="Q53" s="2" t="str">
        <f aca="false">IF(ROUND(ABS(J53-I53),2)&lt;=0.02,"TRUE","FALSE")</f>
        <v>TRUE</v>
      </c>
    </row>
    <row r="54" customFormat="false" ht="15" hidden="false" customHeight="false" outlineLevel="0" collapsed="false">
      <c r="A54" s="2" t="s">
        <v>26</v>
      </c>
      <c r="B54" s="2" t="s">
        <v>291</v>
      </c>
      <c r="C54" s="2" t="s">
        <v>292</v>
      </c>
      <c r="D54" s="2" t="s">
        <v>293</v>
      </c>
      <c r="E54" s="2" t="s">
        <v>294</v>
      </c>
      <c r="F54" s="2" t="s">
        <v>295</v>
      </c>
      <c r="G54" s="4" t="n">
        <v>163.12</v>
      </c>
      <c r="H54" s="4" t="n">
        <v>14.83</v>
      </c>
      <c r="I54" s="4" t="n">
        <v>148.29</v>
      </c>
      <c r="J54" s="4" t="n">
        <v>148.29</v>
      </c>
      <c r="K54" s="2" t="n">
        <v>4</v>
      </c>
      <c r="L54" s="2" t="s">
        <v>56</v>
      </c>
      <c r="M54" s="2" t="s">
        <v>57</v>
      </c>
      <c r="N54" s="2"/>
      <c r="O54" s="2" t="s">
        <v>58</v>
      </c>
      <c r="P54" s="2" t="s">
        <v>296</v>
      </c>
      <c r="Q54" s="2" t="str">
        <f aca="false">IF(ROUND(ABS(J54-I54),2)&lt;=0.02,"TRUE","FALSE")</f>
        <v>TRUE</v>
      </c>
    </row>
    <row r="55" customFormat="false" ht="15" hidden="false" customHeight="false" outlineLevel="0" collapsed="false">
      <c r="A55" s="2" t="s">
        <v>18</v>
      </c>
      <c r="B55" s="2" t="s">
        <v>297</v>
      </c>
      <c r="C55" s="2" t="s">
        <v>298</v>
      </c>
      <c r="D55" s="2" t="s">
        <v>299</v>
      </c>
      <c r="E55" s="2" t="s">
        <v>300</v>
      </c>
      <c r="F55" s="2" t="s">
        <v>301</v>
      </c>
      <c r="G55" s="4" t="n">
        <v>117.08</v>
      </c>
      <c r="H55" s="4" t="n">
        <v>10.65</v>
      </c>
      <c r="I55" s="4" t="n">
        <v>106.43</v>
      </c>
      <c r="J55" s="4" t="n">
        <v>106.43</v>
      </c>
      <c r="K55" s="2" t="n">
        <v>4</v>
      </c>
      <c r="L55" s="2" t="s">
        <v>56</v>
      </c>
      <c r="M55" s="2" t="s">
        <v>57</v>
      </c>
      <c r="N55" s="2" t="s">
        <v>302</v>
      </c>
      <c r="O55" s="2" t="s">
        <v>104</v>
      </c>
      <c r="P55" s="2" t="s">
        <v>303</v>
      </c>
      <c r="Q55" s="2" t="str">
        <f aca="false">IF(ROUND(ABS(J55-I55),2)&lt;=0.02,"TRUE","FALSE")</f>
        <v>TRUE</v>
      </c>
    </row>
    <row r="56" customFormat="false" ht="15" hidden="false" customHeight="false" outlineLevel="0" collapsed="false">
      <c r="A56" s="2" t="s">
        <v>18</v>
      </c>
      <c r="B56" s="2" t="s">
        <v>304</v>
      </c>
      <c r="C56" s="2" t="s">
        <v>305</v>
      </c>
      <c r="D56" s="2" t="s">
        <v>306</v>
      </c>
      <c r="E56" s="2" t="s">
        <v>307</v>
      </c>
      <c r="F56" s="2" t="s">
        <v>308</v>
      </c>
      <c r="G56" s="4" t="n">
        <v>112.73</v>
      </c>
      <c r="H56" s="4" t="n">
        <v>10.25</v>
      </c>
      <c r="I56" s="4" t="n">
        <v>102.48</v>
      </c>
      <c r="J56" s="4" t="n">
        <v>102.48</v>
      </c>
      <c r="K56" s="2" t="n">
        <v>4</v>
      </c>
      <c r="L56" s="2" t="s">
        <v>56</v>
      </c>
      <c r="M56" s="2" t="s">
        <v>57</v>
      </c>
      <c r="N56" s="2" t="s">
        <v>302</v>
      </c>
      <c r="O56" s="2" t="s">
        <v>217</v>
      </c>
      <c r="P56" s="2" t="s">
        <v>309</v>
      </c>
      <c r="Q56" s="2" t="str">
        <f aca="false">IF(ROUND(ABS(J56-I56),2)&lt;=0.02,"TRUE","FALSE")</f>
        <v>TRUE</v>
      </c>
    </row>
    <row r="57" customFormat="false" ht="15" hidden="false" customHeight="false" outlineLevel="0" collapsed="false">
      <c r="A57" s="2" t="s">
        <v>18</v>
      </c>
      <c r="B57" s="2" t="s">
        <v>310</v>
      </c>
      <c r="C57" s="2" t="s">
        <v>311</v>
      </c>
      <c r="D57" s="2" t="s">
        <v>312</v>
      </c>
      <c r="E57" s="2" t="s">
        <v>313</v>
      </c>
      <c r="F57" s="2" t="s">
        <v>313</v>
      </c>
      <c r="G57" s="4" t="n">
        <v>113.2</v>
      </c>
      <c r="H57" s="4" t="n">
        <v>10.3</v>
      </c>
      <c r="I57" s="4" t="n">
        <v>102.9</v>
      </c>
      <c r="J57" s="4" t="n">
        <v>102.9</v>
      </c>
      <c r="K57" s="2" t="n">
        <v>2</v>
      </c>
      <c r="L57" s="2" t="s">
        <v>56</v>
      </c>
      <c r="M57" s="2" t="s">
        <v>57</v>
      </c>
      <c r="N57" s="2"/>
      <c r="O57" s="2" t="s">
        <v>58</v>
      </c>
      <c r="P57" s="2" t="s">
        <v>314</v>
      </c>
      <c r="Q57" s="2" t="str">
        <f aca="false">IF(ROUND(ABS(J57-I57),2)&lt;=0.02,"TRUE","FALSE")</f>
        <v>TRUE</v>
      </c>
    </row>
    <row r="58" customFormat="false" ht="15" hidden="false" customHeight="false" outlineLevel="0" collapsed="false">
      <c r="A58" s="2" t="s">
        <v>18</v>
      </c>
      <c r="B58" s="2" t="s">
        <v>315</v>
      </c>
      <c r="C58" s="2" t="s">
        <v>316</v>
      </c>
      <c r="D58" s="2" t="s">
        <v>317</v>
      </c>
      <c r="E58" s="2" t="s">
        <v>318</v>
      </c>
      <c r="F58" s="2" t="s">
        <v>318</v>
      </c>
      <c r="G58" s="4" t="n">
        <v>113.2</v>
      </c>
      <c r="H58" s="4" t="n">
        <v>10.3</v>
      </c>
      <c r="I58" s="4" t="n">
        <v>102.9</v>
      </c>
      <c r="J58" s="4" t="n">
        <v>102.9</v>
      </c>
      <c r="K58" s="2" t="n">
        <v>2</v>
      </c>
      <c r="L58" s="2" t="s">
        <v>56</v>
      </c>
      <c r="M58" s="2" t="s">
        <v>57</v>
      </c>
      <c r="N58" s="2"/>
      <c r="O58" s="2" t="s">
        <v>58</v>
      </c>
      <c r="P58" s="2" t="s">
        <v>319</v>
      </c>
      <c r="Q58" s="2" t="str">
        <f aca="false">IF(ROUND(ABS(J58-I58),2)&lt;=0.02,"TRUE","FALSE")</f>
        <v>TRUE</v>
      </c>
    </row>
    <row r="59" customFormat="false" ht="15" hidden="false" customHeight="false" outlineLevel="0" collapsed="false">
      <c r="A59" s="2" t="s">
        <v>30</v>
      </c>
      <c r="B59" s="2" t="s">
        <v>203</v>
      </c>
      <c r="C59" s="2" t="s">
        <v>204</v>
      </c>
      <c r="D59" s="2" t="s">
        <v>320</v>
      </c>
      <c r="E59" s="2" t="s">
        <v>206</v>
      </c>
      <c r="F59" s="2" t="s">
        <v>207</v>
      </c>
      <c r="G59" s="4" t="n">
        <v>216.08</v>
      </c>
      <c r="H59" s="4" t="n">
        <v>19.64</v>
      </c>
      <c r="I59" s="4" t="n">
        <v>196.44</v>
      </c>
      <c r="J59" s="4" t="n">
        <v>196.44</v>
      </c>
      <c r="K59" s="2" t="n">
        <v>4</v>
      </c>
      <c r="L59" s="2" t="s">
        <v>56</v>
      </c>
      <c r="M59" s="2" t="s">
        <v>57</v>
      </c>
      <c r="N59" s="2"/>
      <c r="O59" s="2" t="s">
        <v>58</v>
      </c>
      <c r="P59" s="2" t="s">
        <v>321</v>
      </c>
      <c r="Q59" s="2" t="str">
        <f aca="false">IF(ROUND(ABS(J59-I59),2)&lt;=0.02,"TRUE","FALSE")</f>
        <v>TRUE</v>
      </c>
    </row>
    <row r="60" customFormat="false" ht="15" hidden="false" customHeight="false" outlineLevel="0" collapsed="false">
      <c r="A60" s="2" t="s">
        <v>18</v>
      </c>
      <c r="B60" s="2" t="s">
        <v>322</v>
      </c>
      <c r="C60" s="2" t="s">
        <v>323</v>
      </c>
      <c r="D60" s="2" t="s">
        <v>324</v>
      </c>
      <c r="E60" s="2" t="s">
        <v>325</v>
      </c>
      <c r="F60" s="2" t="s">
        <v>326</v>
      </c>
      <c r="G60" s="4" t="n">
        <v>131.71</v>
      </c>
      <c r="H60" s="4" t="n">
        <v>11.97</v>
      </c>
      <c r="I60" s="4" t="n">
        <v>119.74</v>
      </c>
      <c r="J60" s="4" t="n">
        <v>119.74</v>
      </c>
      <c r="K60" s="2" t="n">
        <v>4</v>
      </c>
      <c r="L60" s="2" t="s">
        <v>56</v>
      </c>
      <c r="M60" s="2" t="s">
        <v>57</v>
      </c>
      <c r="N60" s="2" t="s">
        <v>327</v>
      </c>
      <c r="O60" s="2" t="s">
        <v>66</v>
      </c>
      <c r="P60" s="2" t="s">
        <v>328</v>
      </c>
      <c r="Q60" s="2" t="str">
        <f aca="false">IF(ROUND(ABS(J60-I60),2)&lt;=0.02,"TRUE","FALSE")</f>
        <v>TRUE</v>
      </c>
    </row>
    <row r="61" customFormat="false" ht="15" hidden="false" customHeight="false" outlineLevel="0" collapsed="false">
      <c r="A61" s="2" t="s">
        <v>18</v>
      </c>
      <c r="B61" s="2" t="s">
        <v>329</v>
      </c>
      <c r="C61" s="2" t="s">
        <v>330</v>
      </c>
      <c r="D61" s="2" t="s">
        <v>331</v>
      </c>
      <c r="E61" s="2" t="s">
        <v>332</v>
      </c>
      <c r="F61" s="2" t="s">
        <v>333</v>
      </c>
      <c r="G61" s="4" t="n">
        <v>128.74</v>
      </c>
      <c r="H61" s="4" t="n">
        <v>11.71</v>
      </c>
      <c r="I61" s="4" t="n">
        <v>117.03</v>
      </c>
      <c r="J61" s="4" t="n">
        <v>117.03</v>
      </c>
      <c r="K61" s="2" t="n">
        <v>4</v>
      </c>
      <c r="L61" s="2" t="s">
        <v>56</v>
      </c>
      <c r="M61" s="2" t="s">
        <v>57</v>
      </c>
      <c r="N61" s="2"/>
      <c r="O61" s="2" t="s">
        <v>58</v>
      </c>
      <c r="P61" s="2" t="s">
        <v>334</v>
      </c>
      <c r="Q61" s="2" t="str">
        <f aca="false">IF(ROUND(ABS(J61-I61),2)&lt;=0.02,"TRUE","FALSE")</f>
        <v>TRUE</v>
      </c>
    </row>
    <row r="62" customFormat="false" ht="15" hidden="false" customHeight="false" outlineLevel="0" collapsed="false">
      <c r="A62" s="2" t="s">
        <v>26</v>
      </c>
      <c r="B62" s="2" t="s">
        <v>335</v>
      </c>
      <c r="C62" s="2" t="s">
        <v>336</v>
      </c>
      <c r="D62" s="2" t="s">
        <v>337</v>
      </c>
      <c r="E62" s="2" t="s">
        <v>338</v>
      </c>
      <c r="F62" s="2" t="s">
        <v>338</v>
      </c>
      <c r="G62" s="4" t="n">
        <v>109.73</v>
      </c>
      <c r="H62" s="4" t="n">
        <v>9.98</v>
      </c>
      <c r="I62" s="4" t="n">
        <v>99.75</v>
      </c>
      <c r="J62" s="4" t="n">
        <v>99.75</v>
      </c>
      <c r="K62" s="2" t="n">
        <v>2</v>
      </c>
      <c r="L62" s="2" t="s">
        <v>56</v>
      </c>
      <c r="M62" s="2" t="s">
        <v>57</v>
      </c>
      <c r="N62" s="2" t="s">
        <v>339</v>
      </c>
      <c r="O62" s="2" t="s">
        <v>217</v>
      </c>
      <c r="P62" s="2" t="s">
        <v>340</v>
      </c>
      <c r="Q62" s="2" t="str">
        <f aca="false">IF(ROUND(ABS(J62-I62),2)&lt;=0.02,"TRUE","FALSE")</f>
        <v>TRUE</v>
      </c>
    </row>
    <row r="63" customFormat="false" ht="15" hidden="false" customHeight="false" outlineLevel="0" collapsed="false">
      <c r="A63" s="2" t="s">
        <v>14</v>
      </c>
      <c r="B63" s="2" t="s">
        <v>291</v>
      </c>
      <c r="C63" s="2" t="s">
        <v>292</v>
      </c>
      <c r="D63" s="2" t="s">
        <v>341</v>
      </c>
      <c r="E63" s="2" t="s">
        <v>294</v>
      </c>
      <c r="F63" s="2" t="s">
        <v>295</v>
      </c>
      <c r="G63" s="4" t="n">
        <v>150.96</v>
      </c>
      <c r="H63" s="4" t="n">
        <v>13.72</v>
      </c>
      <c r="I63" s="4" t="n">
        <v>137.24</v>
      </c>
      <c r="J63" s="4" t="n">
        <v>137.24</v>
      </c>
      <c r="K63" s="2" t="n">
        <v>4</v>
      </c>
      <c r="L63" s="2" t="s">
        <v>56</v>
      </c>
      <c r="M63" s="2" t="s">
        <v>57</v>
      </c>
      <c r="N63" s="2"/>
      <c r="O63" s="2" t="s">
        <v>58</v>
      </c>
      <c r="P63" s="2" t="s">
        <v>342</v>
      </c>
      <c r="Q63" s="2" t="str">
        <f aca="false">IF(ROUND(ABS(J63-I63),2)&lt;=0.02,"TRUE","FALSE")</f>
        <v>TRUE</v>
      </c>
    </row>
    <row r="64" customFormat="false" ht="15" hidden="false" customHeight="false" outlineLevel="0" collapsed="false">
      <c r="A64" s="2" t="s">
        <v>18</v>
      </c>
      <c r="B64" s="2" t="s">
        <v>178</v>
      </c>
      <c r="C64" s="2" t="s">
        <v>179</v>
      </c>
      <c r="D64" s="2" t="s">
        <v>343</v>
      </c>
      <c r="E64" s="2" t="s">
        <v>181</v>
      </c>
      <c r="F64" s="2" t="s">
        <v>182</v>
      </c>
      <c r="G64" s="4" t="n">
        <v>256.73</v>
      </c>
      <c r="H64" s="4" t="n">
        <v>23.33</v>
      </c>
      <c r="I64" s="4" t="n">
        <v>233.4</v>
      </c>
      <c r="J64" s="4" t="n">
        <v>233.4</v>
      </c>
      <c r="K64" s="2" t="n">
        <v>6</v>
      </c>
      <c r="L64" s="2" t="s">
        <v>56</v>
      </c>
      <c r="M64" s="2" t="s">
        <v>57</v>
      </c>
      <c r="N64" s="2" t="s">
        <v>170</v>
      </c>
      <c r="O64" s="2" t="s">
        <v>148</v>
      </c>
      <c r="P64" s="2" t="s">
        <v>344</v>
      </c>
      <c r="Q64" s="2" t="str">
        <f aca="false">IF(ROUND(ABS(J64-I64),2)&lt;=0.02,"TRUE","FALSE")</f>
        <v>TRUE</v>
      </c>
    </row>
    <row r="65" customFormat="false" ht="15" hidden="false" customHeight="false" outlineLevel="0" collapsed="false">
      <c r="A65" s="2" t="s">
        <v>14</v>
      </c>
      <c r="B65" s="2" t="s">
        <v>335</v>
      </c>
      <c r="C65" s="2" t="s">
        <v>336</v>
      </c>
      <c r="D65" s="2" t="s">
        <v>345</v>
      </c>
      <c r="E65" s="2" t="s">
        <v>338</v>
      </c>
      <c r="F65" s="2" t="s">
        <v>338</v>
      </c>
      <c r="G65" s="4" t="n">
        <v>102.87</v>
      </c>
      <c r="H65" s="4" t="n">
        <v>9.36</v>
      </c>
      <c r="I65" s="4" t="n">
        <v>93.51</v>
      </c>
      <c r="J65" s="4" t="n">
        <v>93.51</v>
      </c>
      <c r="K65" s="2" t="n">
        <v>2</v>
      </c>
      <c r="L65" s="2" t="s">
        <v>56</v>
      </c>
      <c r="M65" s="2" t="s">
        <v>57</v>
      </c>
      <c r="N65" s="2" t="s">
        <v>339</v>
      </c>
      <c r="O65" s="2" t="s">
        <v>217</v>
      </c>
      <c r="P65" s="2" t="s">
        <v>346</v>
      </c>
      <c r="Q65" s="2" t="str">
        <f aca="false">IF(ROUND(ABS(J65-I65),2)&lt;=0.02,"TRUE","FALSE")</f>
        <v>TRUE</v>
      </c>
    </row>
    <row r="66" customFormat="false" ht="15" hidden="false" customHeight="false" outlineLevel="0" collapsed="false">
      <c r="A66" s="2" t="s">
        <v>30</v>
      </c>
      <c r="B66" s="2" t="s">
        <v>297</v>
      </c>
      <c r="C66" s="2" t="s">
        <v>298</v>
      </c>
      <c r="D66" s="2" t="s">
        <v>347</v>
      </c>
      <c r="E66" s="2" t="s">
        <v>300</v>
      </c>
      <c r="F66" s="2" t="s">
        <v>301</v>
      </c>
      <c r="G66" s="4" t="n">
        <v>110.09</v>
      </c>
      <c r="H66" s="4" t="n">
        <v>10.01</v>
      </c>
      <c r="I66" s="4" t="n">
        <v>100.08</v>
      </c>
      <c r="J66" s="4" t="n">
        <v>100.08</v>
      </c>
      <c r="K66" s="2" t="n">
        <v>4</v>
      </c>
      <c r="L66" s="2" t="s">
        <v>56</v>
      </c>
      <c r="M66" s="2" t="s">
        <v>57</v>
      </c>
      <c r="N66" s="2" t="s">
        <v>302</v>
      </c>
      <c r="O66" s="2" t="s">
        <v>104</v>
      </c>
      <c r="P66" s="2" t="s">
        <v>348</v>
      </c>
      <c r="Q66" s="2" t="str">
        <f aca="false">IF(ROUND(ABS(J66-I66),2)&lt;=0.02,"TRUE","FALSE")</f>
        <v>TRUE</v>
      </c>
    </row>
    <row r="67" customFormat="false" ht="15" hidden="false" customHeight="false" outlineLevel="0" collapsed="false">
      <c r="A67" s="2" t="s">
        <v>30</v>
      </c>
      <c r="B67" s="2" t="s">
        <v>304</v>
      </c>
      <c r="C67" s="2" t="s">
        <v>305</v>
      </c>
      <c r="D67" s="2" t="s">
        <v>349</v>
      </c>
      <c r="E67" s="2" t="s">
        <v>307</v>
      </c>
      <c r="F67" s="2" t="s">
        <v>308</v>
      </c>
      <c r="G67" s="4" t="n">
        <v>124.75</v>
      </c>
      <c r="H67" s="4" t="n">
        <v>11.34</v>
      </c>
      <c r="I67" s="4" t="n">
        <v>113.41</v>
      </c>
      <c r="J67" s="4" t="n">
        <v>113.41</v>
      </c>
      <c r="K67" s="2" t="n">
        <v>4</v>
      </c>
      <c r="L67" s="2" t="s">
        <v>56</v>
      </c>
      <c r="M67" s="2" t="s">
        <v>57</v>
      </c>
      <c r="N67" s="2" t="s">
        <v>302</v>
      </c>
      <c r="O67" s="2" t="s">
        <v>217</v>
      </c>
      <c r="P67" s="2" t="s">
        <v>350</v>
      </c>
      <c r="Q67" s="2" t="str">
        <f aca="false">IF(ROUND(ABS(J67-I67),2)&lt;=0.02,"TRUE","FALSE")</f>
        <v>TRUE</v>
      </c>
    </row>
    <row r="68" customFormat="false" ht="15" hidden="false" customHeight="false" outlineLevel="0" collapsed="false">
      <c r="A68" s="2" t="s">
        <v>30</v>
      </c>
      <c r="B68" s="2" t="s">
        <v>322</v>
      </c>
      <c r="C68" s="2" t="s">
        <v>323</v>
      </c>
      <c r="D68" s="2" t="s">
        <v>351</v>
      </c>
      <c r="E68" s="2" t="s">
        <v>325</v>
      </c>
      <c r="F68" s="2" t="s">
        <v>326</v>
      </c>
      <c r="G68" s="4" t="n">
        <v>124.73</v>
      </c>
      <c r="H68" s="4" t="n">
        <v>11.34</v>
      </c>
      <c r="I68" s="4" t="n">
        <v>113.39</v>
      </c>
      <c r="J68" s="4" t="n">
        <v>113.39</v>
      </c>
      <c r="K68" s="2" t="n">
        <v>4</v>
      </c>
      <c r="L68" s="2" t="s">
        <v>56</v>
      </c>
      <c r="M68" s="2" t="s">
        <v>57</v>
      </c>
      <c r="N68" s="2" t="s">
        <v>327</v>
      </c>
      <c r="O68" s="2" t="s">
        <v>66</v>
      </c>
      <c r="P68" s="2" t="s">
        <v>352</v>
      </c>
      <c r="Q68" s="2" t="str">
        <f aca="false">IF(ROUND(ABS(J68-I68),2)&lt;=0.02,"TRUE","FALSE")</f>
        <v>TRUE</v>
      </c>
    </row>
    <row r="69" customFormat="false" ht="15" hidden="false" customHeight="false" outlineLevel="0" collapsed="false">
      <c r="A69" s="2" t="s">
        <v>18</v>
      </c>
      <c r="B69" s="2" t="s">
        <v>353</v>
      </c>
      <c r="C69" s="2" t="s">
        <v>354</v>
      </c>
      <c r="D69" s="2" t="s">
        <v>355</v>
      </c>
      <c r="E69" s="2" t="s">
        <v>356</v>
      </c>
      <c r="F69" s="2" t="s">
        <v>357</v>
      </c>
      <c r="G69" s="4" t="n">
        <v>134.69</v>
      </c>
      <c r="H69" s="4" t="n">
        <v>12.25</v>
      </c>
      <c r="I69" s="4" t="n">
        <v>122.44</v>
      </c>
      <c r="J69" s="4" t="n">
        <v>122.44</v>
      </c>
      <c r="K69" s="2" t="n">
        <v>4</v>
      </c>
      <c r="L69" s="2" t="s">
        <v>56</v>
      </c>
      <c r="M69" s="2" t="s">
        <v>57</v>
      </c>
      <c r="N69" s="2" t="s">
        <v>358</v>
      </c>
      <c r="O69" s="2" t="s">
        <v>66</v>
      </c>
      <c r="P69" s="2" t="s">
        <v>359</v>
      </c>
      <c r="Q69" s="2" t="str">
        <f aca="false">IF(ROUND(ABS(J69-I69),2)&lt;=0.02,"TRUE","FALSE")</f>
        <v>TRUE</v>
      </c>
    </row>
    <row r="70" customFormat="false" ht="15" hidden="false" customHeight="false" outlineLevel="0" collapsed="false">
      <c r="A70" s="2" t="s">
        <v>26</v>
      </c>
      <c r="B70" s="2" t="s">
        <v>360</v>
      </c>
      <c r="C70" s="2" t="s">
        <v>361</v>
      </c>
      <c r="D70" s="2" t="s">
        <v>362</v>
      </c>
      <c r="E70" s="2" t="s">
        <v>363</v>
      </c>
      <c r="F70" s="2" t="s">
        <v>363</v>
      </c>
      <c r="G70" s="4" t="n">
        <v>149.54</v>
      </c>
      <c r="H70" s="4" t="n">
        <v>13.59</v>
      </c>
      <c r="I70" s="4" t="n">
        <v>135.95</v>
      </c>
      <c r="J70" s="4" t="n">
        <v>135.95</v>
      </c>
      <c r="K70" s="2" t="n">
        <v>4</v>
      </c>
      <c r="L70" s="2" t="s">
        <v>56</v>
      </c>
      <c r="M70" s="2" t="s">
        <v>57</v>
      </c>
      <c r="N70" s="2" t="s">
        <v>364</v>
      </c>
      <c r="O70" s="2" t="s">
        <v>217</v>
      </c>
      <c r="P70" s="2" t="s">
        <v>365</v>
      </c>
      <c r="Q70" s="2" t="str">
        <f aca="false">IF(ROUND(ABS(J70-I70),2)&lt;=0.02,"TRUE","FALSE")</f>
        <v>TRUE</v>
      </c>
    </row>
    <row r="71" customFormat="false" ht="15" hidden="false" customHeight="false" outlineLevel="0" collapsed="false">
      <c r="A71" s="2" t="s">
        <v>14</v>
      </c>
      <c r="B71" s="2" t="s">
        <v>366</v>
      </c>
      <c r="C71" s="2" t="s">
        <v>367</v>
      </c>
      <c r="D71" s="2" t="s">
        <v>368</v>
      </c>
      <c r="E71" s="2" t="s">
        <v>369</v>
      </c>
      <c r="F71" s="2" t="s">
        <v>369</v>
      </c>
      <c r="G71" s="4" t="n">
        <v>140.15</v>
      </c>
      <c r="H71" s="4" t="n">
        <v>12.75</v>
      </c>
      <c r="I71" s="4" t="n">
        <v>127.4</v>
      </c>
      <c r="J71" s="4" t="n">
        <v>127.4</v>
      </c>
      <c r="K71" s="2" t="n">
        <v>4</v>
      </c>
      <c r="L71" s="2" t="s">
        <v>56</v>
      </c>
      <c r="M71" s="2" t="s">
        <v>57</v>
      </c>
      <c r="N71" s="2"/>
      <c r="O71" s="2" t="s">
        <v>58</v>
      </c>
      <c r="P71" s="2" t="s">
        <v>370</v>
      </c>
      <c r="Q71" s="2" t="str">
        <f aca="false">IF(ROUND(ABS(J71-I71),2)&lt;=0.02,"TRUE","FALSE")</f>
        <v>TRUE</v>
      </c>
    </row>
    <row r="72" customFormat="false" ht="15" hidden="false" customHeight="false" outlineLevel="0" collapsed="false">
      <c r="A72" s="2" t="s">
        <v>30</v>
      </c>
      <c r="B72" s="2" t="s">
        <v>310</v>
      </c>
      <c r="C72" s="2" t="s">
        <v>311</v>
      </c>
      <c r="D72" s="2" t="s">
        <v>371</v>
      </c>
      <c r="E72" s="2" t="s">
        <v>313</v>
      </c>
      <c r="F72" s="2" t="s">
        <v>313</v>
      </c>
      <c r="G72" s="4" t="n">
        <v>105.11</v>
      </c>
      <c r="H72" s="4" t="n">
        <v>9.56</v>
      </c>
      <c r="I72" s="4" t="n">
        <v>95.55</v>
      </c>
      <c r="J72" s="4" t="n">
        <v>95.55</v>
      </c>
      <c r="K72" s="2" t="n">
        <v>2</v>
      </c>
      <c r="L72" s="2" t="s">
        <v>56</v>
      </c>
      <c r="M72" s="2" t="s">
        <v>57</v>
      </c>
      <c r="N72" s="2"/>
      <c r="O72" s="2" t="s">
        <v>58</v>
      </c>
      <c r="P72" s="2" t="s">
        <v>372</v>
      </c>
      <c r="Q72" s="2" t="str">
        <f aca="false">IF(ROUND(ABS(J72-I72),2)&lt;=0.02,"TRUE","FALSE")</f>
        <v>TRUE</v>
      </c>
    </row>
    <row r="73" customFormat="false" ht="15" hidden="false" customHeight="false" outlineLevel="0" collapsed="false">
      <c r="A73" s="2" t="s">
        <v>30</v>
      </c>
      <c r="B73" s="2" t="s">
        <v>329</v>
      </c>
      <c r="C73" s="2" t="s">
        <v>330</v>
      </c>
      <c r="D73" s="2" t="s">
        <v>373</v>
      </c>
      <c r="E73" s="2" t="s">
        <v>332</v>
      </c>
      <c r="F73" s="2" t="s">
        <v>333</v>
      </c>
      <c r="G73" s="4" t="n">
        <v>112.81</v>
      </c>
      <c r="H73" s="4" t="n">
        <v>10.27</v>
      </c>
      <c r="I73" s="4" t="n">
        <v>102.54</v>
      </c>
      <c r="J73" s="4" t="n">
        <v>102.54</v>
      </c>
      <c r="K73" s="2" t="n">
        <v>4</v>
      </c>
      <c r="L73" s="2" t="s">
        <v>56</v>
      </c>
      <c r="M73" s="2" t="s">
        <v>57</v>
      </c>
      <c r="N73" s="2"/>
      <c r="O73" s="2" t="s">
        <v>58</v>
      </c>
      <c r="P73" s="2" t="s">
        <v>374</v>
      </c>
      <c r="Q73" s="2" t="str">
        <f aca="false">IF(ROUND(ABS(J73-I73),2)&lt;=0.02,"TRUE","FALSE")</f>
        <v>TRUE</v>
      </c>
    </row>
    <row r="74" customFormat="false" ht="15" hidden="false" customHeight="false" outlineLevel="0" collapsed="false">
      <c r="A74" s="2" t="s">
        <v>30</v>
      </c>
      <c r="B74" s="2" t="s">
        <v>315</v>
      </c>
      <c r="C74" s="2" t="s">
        <v>316</v>
      </c>
      <c r="D74" s="2" t="s">
        <v>375</v>
      </c>
      <c r="E74" s="2" t="s">
        <v>318</v>
      </c>
      <c r="F74" s="2" t="s">
        <v>318</v>
      </c>
      <c r="G74" s="4" t="n">
        <v>105.11</v>
      </c>
      <c r="H74" s="4" t="n">
        <v>9.56</v>
      </c>
      <c r="I74" s="4" t="n">
        <v>95.55</v>
      </c>
      <c r="J74" s="4" t="n">
        <v>95.55</v>
      </c>
      <c r="K74" s="2" t="n">
        <v>2</v>
      </c>
      <c r="L74" s="2" t="s">
        <v>56</v>
      </c>
      <c r="M74" s="2" t="s">
        <v>57</v>
      </c>
      <c r="N74" s="2"/>
      <c r="O74" s="2" t="s">
        <v>58</v>
      </c>
      <c r="P74" s="2" t="s">
        <v>376</v>
      </c>
      <c r="Q74" s="2" t="str">
        <f aca="false">IF(ROUND(ABS(J74-I74),2)&lt;=0.02,"TRUE","FALSE")</f>
        <v>TRUE</v>
      </c>
    </row>
    <row r="75" customFormat="false" ht="15" hidden="false" customHeight="false" outlineLevel="0" collapsed="false">
      <c r="A75" s="2" t="s">
        <v>18</v>
      </c>
      <c r="B75" s="2" t="s">
        <v>377</v>
      </c>
      <c r="C75" s="2" t="s">
        <v>378</v>
      </c>
      <c r="D75" s="2" t="s">
        <v>379</v>
      </c>
      <c r="E75" s="2" t="s">
        <v>380</v>
      </c>
      <c r="F75" s="2" t="s">
        <v>381</v>
      </c>
      <c r="G75" s="4" t="n">
        <v>113.66</v>
      </c>
      <c r="H75" s="4" t="n">
        <v>10.34</v>
      </c>
      <c r="I75" s="4" t="n">
        <v>103.32</v>
      </c>
      <c r="J75" s="4" t="n">
        <v>103.32</v>
      </c>
      <c r="K75" s="2" t="n">
        <v>4</v>
      </c>
      <c r="L75" s="2" t="s">
        <v>56</v>
      </c>
      <c r="M75" s="2" t="s">
        <v>57</v>
      </c>
      <c r="N75" s="2"/>
      <c r="O75" s="2" t="s">
        <v>58</v>
      </c>
      <c r="P75" s="2" t="s">
        <v>382</v>
      </c>
      <c r="Q75" s="2" t="str">
        <f aca="false">IF(ROUND(ABS(J75-I75),2)&lt;=0.02,"TRUE","FALSE")</f>
        <v>TRUE</v>
      </c>
    </row>
    <row r="76" customFormat="false" ht="15" hidden="false" customHeight="false" outlineLevel="0" collapsed="false">
      <c r="A76" s="2" t="s">
        <v>18</v>
      </c>
      <c r="B76" s="2" t="s">
        <v>383</v>
      </c>
      <c r="C76" s="2" t="s">
        <v>384</v>
      </c>
      <c r="D76" s="2" t="s">
        <v>385</v>
      </c>
      <c r="E76" s="2" t="s">
        <v>386</v>
      </c>
      <c r="F76" s="2" t="s">
        <v>387</v>
      </c>
      <c r="G76" s="4" t="n">
        <v>118.92</v>
      </c>
      <c r="H76" s="4" t="n">
        <v>10.81</v>
      </c>
      <c r="I76" s="4" t="n">
        <v>108.11</v>
      </c>
      <c r="J76" s="4" t="n">
        <v>108.11</v>
      </c>
      <c r="K76" s="2" t="n">
        <v>4</v>
      </c>
      <c r="L76" s="2" t="s">
        <v>56</v>
      </c>
      <c r="M76" s="2" t="s">
        <v>57</v>
      </c>
      <c r="N76" s="2" t="s">
        <v>388</v>
      </c>
      <c r="O76" s="2" t="s">
        <v>217</v>
      </c>
      <c r="P76" s="2" t="s">
        <v>389</v>
      </c>
      <c r="Q76" s="2" t="str">
        <f aca="false">IF(ROUND(ABS(J76-I76),2)&lt;=0.02,"TRUE","FALSE")</f>
        <v>TRUE</v>
      </c>
    </row>
    <row r="77" customFormat="false" ht="15" hidden="false" customHeight="false" outlineLevel="0" collapsed="false">
      <c r="A77" s="2" t="s">
        <v>26</v>
      </c>
      <c r="B77" s="2" t="s">
        <v>366</v>
      </c>
      <c r="C77" s="2" t="s">
        <v>367</v>
      </c>
      <c r="D77" s="2" t="s">
        <v>390</v>
      </c>
      <c r="E77" s="2" t="s">
        <v>369</v>
      </c>
      <c r="F77" s="2" t="s">
        <v>369</v>
      </c>
      <c r="G77" s="4" t="n">
        <v>130.68</v>
      </c>
      <c r="H77" s="4" t="n">
        <v>11.88</v>
      </c>
      <c r="I77" s="4" t="n">
        <v>118.8</v>
      </c>
      <c r="J77" s="4" t="n">
        <v>118.8</v>
      </c>
      <c r="K77" s="2" t="n">
        <v>6</v>
      </c>
      <c r="L77" s="2" t="s">
        <v>56</v>
      </c>
      <c r="M77" s="2" t="s">
        <v>57</v>
      </c>
      <c r="N77" s="2"/>
      <c r="O77" s="2" t="s">
        <v>58</v>
      </c>
      <c r="P77" s="2" t="s">
        <v>391</v>
      </c>
      <c r="Q77" s="2" t="str">
        <f aca="false">IF(ROUND(ABS(J77-I77),2)&lt;=0.02,"TRUE","FALSE")</f>
        <v>TRUE</v>
      </c>
    </row>
    <row r="78" customFormat="false" ht="15" hidden="false" customHeight="false" outlineLevel="0" collapsed="false">
      <c r="A78" s="2" t="s">
        <v>26</v>
      </c>
      <c r="B78" s="2" t="s">
        <v>392</v>
      </c>
      <c r="C78" s="2" t="s">
        <v>393</v>
      </c>
      <c r="D78" s="2" t="s">
        <v>394</v>
      </c>
      <c r="E78" s="2" t="s">
        <v>395</v>
      </c>
      <c r="F78" s="2" t="s">
        <v>396</v>
      </c>
      <c r="G78" s="4" t="n">
        <v>122.79</v>
      </c>
      <c r="H78" s="4" t="n">
        <v>11.17</v>
      </c>
      <c r="I78" s="4" t="n">
        <v>111.62</v>
      </c>
      <c r="J78" s="4" t="n">
        <v>111.62</v>
      </c>
      <c r="K78" s="2" t="n">
        <v>4</v>
      </c>
      <c r="L78" s="2" t="s">
        <v>56</v>
      </c>
      <c r="M78" s="2" t="s">
        <v>57</v>
      </c>
      <c r="N78" s="2"/>
      <c r="O78" s="2" t="s">
        <v>58</v>
      </c>
      <c r="P78" s="2" t="s">
        <v>397</v>
      </c>
      <c r="Q78" s="2" t="str">
        <f aca="false">IF(ROUND(ABS(J78-I78),2)&lt;=0.02,"TRUE","FALSE")</f>
        <v>TRUE</v>
      </c>
    </row>
    <row r="79" customFormat="false" ht="15" hidden="false" customHeight="false" outlineLevel="0" collapsed="false">
      <c r="A79" s="2" t="s">
        <v>14</v>
      </c>
      <c r="B79" s="2" t="s">
        <v>392</v>
      </c>
      <c r="C79" s="2" t="s">
        <v>393</v>
      </c>
      <c r="D79" s="2" t="s">
        <v>398</v>
      </c>
      <c r="E79" s="2" t="s">
        <v>395</v>
      </c>
      <c r="F79" s="2" t="s">
        <v>396</v>
      </c>
      <c r="G79" s="4" t="n">
        <v>107.64</v>
      </c>
      <c r="H79" s="4" t="n">
        <v>9.79</v>
      </c>
      <c r="I79" s="4" t="n">
        <v>97.85</v>
      </c>
      <c r="J79" s="4" t="n">
        <v>97.85</v>
      </c>
      <c r="K79" s="2" t="n">
        <v>4</v>
      </c>
      <c r="L79" s="2" t="s">
        <v>56</v>
      </c>
      <c r="M79" s="2" t="s">
        <v>57</v>
      </c>
      <c r="N79" s="2"/>
      <c r="O79" s="2" t="s">
        <v>58</v>
      </c>
      <c r="P79" s="2" t="s">
        <v>399</v>
      </c>
      <c r="Q79" s="2" t="str">
        <f aca="false">IF(ROUND(ABS(J79-I79),2)&lt;=0.02,"TRUE","FALSE")</f>
        <v>TRUE</v>
      </c>
    </row>
    <row r="80" customFormat="false" ht="15" hidden="false" customHeight="false" outlineLevel="0" collapsed="false">
      <c r="A80" s="2" t="s">
        <v>30</v>
      </c>
      <c r="B80" s="2" t="s">
        <v>178</v>
      </c>
      <c r="C80" s="2" t="s">
        <v>179</v>
      </c>
      <c r="D80" s="2" t="s">
        <v>400</v>
      </c>
      <c r="E80" s="2" t="s">
        <v>181</v>
      </c>
      <c r="F80" s="2" t="s">
        <v>182</v>
      </c>
      <c r="G80" s="4" t="n">
        <v>222.13</v>
      </c>
      <c r="H80" s="4" t="n">
        <v>20.2</v>
      </c>
      <c r="I80" s="4" t="n">
        <v>201.93</v>
      </c>
      <c r="J80" s="4" t="n">
        <v>201.93</v>
      </c>
      <c r="K80" s="2" t="n">
        <v>6</v>
      </c>
      <c r="L80" s="2" t="s">
        <v>56</v>
      </c>
      <c r="M80" s="2" t="s">
        <v>57</v>
      </c>
      <c r="N80" s="2" t="s">
        <v>170</v>
      </c>
      <c r="O80" s="2" t="s">
        <v>148</v>
      </c>
      <c r="P80" s="2" t="s">
        <v>401</v>
      </c>
      <c r="Q80" s="2" t="str">
        <f aca="false">IF(ROUND(ABS(J80-I80),2)&lt;=0.02,"TRUE","FALSE")</f>
        <v>TRUE</v>
      </c>
    </row>
    <row r="81" customFormat="false" ht="15" hidden="false" customHeight="false" outlineLevel="0" collapsed="false">
      <c r="A81" s="2" t="s">
        <v>14</v>
      </c>
      <c r="B81" s="2" t="s">
        <v>360</v>
      </c>
      <c r="C81" s="2" t="s">
        <v>361</v>
      </c>
      <c r="D81" s="2" t="s">
        <v>402</v>
      </c>
      <c r="E81" s="2" t="s">
        <v>363</v>
      </c>
      <c r="F81" s="2" t="s">
        <v>363</v>
      </c>
      <c r="G81" s="4" t="n">
        <v>137.61</v>
      </c>
      <c r="H81" s="4" t="n">
        <v>12.51</v>
      </c>
      <c r="I81" s="4" t="n">
        <v>125.1</v>
      </c>
      <c r="J81" s="4" t="n">
        <v>125.1</v>
      </c>
      <c r="K81" s="2" t="n">
        <v>4</v>
      </c>
      <c r="L81" s="2" t="s">
        <v>56</v>
      </c>
      <c r="M81" s="2" t="s">
        <v>57</v>
      </c>
      <c r="N81" s="2" t="s">
        <v>364</v>
      </c>
      <c r="O81" s="2" t="s">
        <v>217</v>
      </c>
      <c r="P81" s="2" t="s">
        <v>403</v>
      </c>
      <c r="Q81" s="2" t="str">
        <f aca="false">IF(ROUND(ABS(J81-I81),2)&lt;=0.02,"TRUE","FALSE")</f>
        <v>TRUE</v>
      </c>
    </row>
    <row r="82" customFormat="false" ht="15" hidden="false" customHeight="false" outlineLevel="0" collapsed="false">
      <c r="A82" s="2" t="s">
        <v>18</v>
      </c>
      <c r="B82" s="2" t="s">
        <v>404</v>
      </c>
      <c r="C82" s="2" t="s">
        <v>405</v>
      </c>
      <c r="D82" s="2" t="s">
        <v>406</v>
      </c>
      <c r="E82" s="2" t="s">
        <v>407</v>
      </c>
      <c r="F82" s="2" t="s">
        <v>408</v>
      </c>
      <c r="G82" s="4" t="n">
        <v>112.04</v>
      </c>
      <c r="H82" s="4" t="n">
        <v>10.19</v>
      </c>
      <c r="I82" s="4" t="n">
        <v>101.85</v>
      </c>
      <c r="J82" s="4" t="n">
        <v>101.85</v>
      </c>
      <c r="K82" s="2" t="n">
        <v>2</v>
      </c>
      <c r="L82" s="2" t="s">
        <v>56</v>
      </c>
      <c r="M82" s="2" t="s">
        <v>57</v>
      </c>
      <c r="N82" s="2" t="s">
        <v>409</v>
      </c>
      <c r="O82" s="2" t="s">
        <v>66</v>
      </c>
      <c r="P82" s="2" t="s">
        <v>410</v>
      </c>
      <c r="Q82" s="2" t="str">
        <f aca="false">IF(ROUND(ABS(J82-I82),2)&lt;=0.02,"TRUE","FALSE")</f>
        <v>TRUE</v>
      </c>
    </row>
    <row r="83" customFormat="false" ht="15" hidden="false" customHeight="false" outlineLevel="0" collapsed="false">
      <c r="A83" s="2" t="s">
        <v>18</v>
      </c>
      <c r="B83" s="2" t="s">
        <v>411</v>
      </c>
      <c r="C83" s="2" t="s">
        <v>412</v>
      </c>
      <c r="D83" s="2" t="s">
        <v>413</v>
      </c>
      <c r="E83" s="2" t="s">
        <v>414</v>
      </c>
      <c r="F83" s="2" t="s">
        <v>415</v>
      </c>
      <c r="G83" s="4" t="n">
        <v>161.19</v>
      </c>
      <c r="H83" s="4" t="n">
        <v>14.66</v>
      </c>
      <c r="I83" s="4" t="n">
        <v>146.53</v>
      </c>
      <c r="J83" s="4" t="n">
        <v>146.53</v>
      </c>
      <c r="K83" s="2" t="n">
        <v>8</v>
      </c>
      <c r="L83" s="2" t="s">
        <v>56</v>
      </c>
      <c r="M83" s="2" t="s">
        <v>57</v>
      </c>
      <c r="N83" s="2" t="s">
        <v>416</v>
      </c>
      <c r="O83" s="2" t="s">
        <v>417</v>
      </c>
      <c r="P83" s="2" t="s">
        <v>418</v>
      </c>
      <c r="Q83" s="2" t="str">
        <f aca="false">IF(ROUND(ABS(J83-I83),2)&lt;=0.02,"TRUE","FALSE")</f>
        <v>TRUE</v>
      </c>
    </row>
    <row r="84" customFormat="false" ht="15" hidden="false" customHeight="false" outlineLevel="0" collapsed="false">
      <c r="A84" s="2" t="s">
        <v>26</v>
      </c>
      <c r="B84" s="2" t="s">
        <v>419</v>
      </c>
      <c r="C84" s="2" t="s">
        <v>420</v>
      </c>
      <c r="D84" s="2" t="s">
        <v>421</v>
      </c>
      <c r="E84" s="2" t="s">
        <v>422</v>
      </c>
      <c r="F84" s="2" t="s">
        <v>423</v>
      </c>
      <c r="G84" s="4" t="n">
        <v>135.53</v>
      </c>
      <c r="H84" s="4" t="n">
        <v>12.33</v>
      </c>
      <c r="I84" s="4" t="n">
        <v>123.2</v>
      </c>
      <c r="J84" s="4" t="n">
        <v>123.2</v>
      </c>
      <c r="K84" s="2" t="n">
        <v>4</v>
      </c>
      <c r="L84" s="2" t="s">
        <v>56</v>
      </c>
      <c r="M84" s="2" t="s">
        <v>57</v>
      </c>
      <c r="N84" s="2" t="s">
        <v>424</v>
      </c>
      <c r="O84" s="2" t="s">
        <v>66</v>
      </c>
      <c r="P84" s="2" t="s">
        <v>425</v>
      </c>
      <c r="Q84" s="2" t="str">
        <f aca="false">IF(ROUND(ABS(J84-I84),2)&lt;=0.02,"TRUE","FALSE")</f>
        <v>TRUE</v>
      </c>
    </row>
    <row r="85" customFormat="false" ht="15" hidden="false" customHeight="false" outlineLevel="0" collapsed="false">
      <c r="A85" s="2" t="s">
        <v>14</v>
      </c>
      <c r="B85" s="2" t="s">
        <v>419</v>
      </c>
      <c r="C85" s="2" t="s">
        <v>420</v>
      </c>
      <c r="D85" s="2" t="s">
        <v>426</v>
      </c>
      <c r="E85" s="2" t="s">
        <v>422</v>
      </c>
      <c r="F85" s="2" t="s">
        <v>423</v>
      </c>
      <c r="G85" s="4" t="n">
        <v>130.8</v>
      </c>
      <c r="H85" s="4" t="n">
        <v>11.89</v>
      </c>
      <c r="I85" s="4" t="n">
        <v>118.91</v>
      </c>
      <c r="J85" s="4" t="n">
        <v>118.91</v>
      </c>
      <c r="K85" s="2" t="n">
        <v>4</v>
      </c>
      <c r="L85" s="2" t="s">
        <v>56</v>
      </c>
      <c r="M85" s="2" t="s">
        <v>57</v>
      </c>
      <c r="N85" s="2" t="s">
        <v>424</v>
      </c>
      <c r="O85" s="2" t="s">
        <v>66</v>
      </c>
      <c r="P85" s="2" t="s">
        <v>427</v>
      </c>
      <c r="Q85" s="2" t="str">
        <f aca="false">IF(ROUND(ABS(J85-I85),2)&lt;=0.02,"TRUE","FALSE")</f>
        <v>TRUE</v>
      </c>
    </row>
    <row r="86" customFormat="false" ht="15" hidden="false" customHeight="false" outlineLevel="0" collapsed="false">
      <c r="A86" s="2" t="s">
        <v>18</v>
      </c>
      <c r="B86" s="2" t="s">
        <v>428</v>
      </c>
      <c r="C86" s="2" t="s">
        <v>429</v>
      </c>
      <c r="D86" s="2" t="s">
        <v>430</v>
      </c>
      <c r="E86" s="2" t="s">
        <v>431</v>
      </c>
      <c r="F86" s="2" t="s">
        <v>432</v>
      </c>
      <c r="G86" s="4" t="n">
        <v>219.4</v>
      </c>
      <c r="H86" s="4" t="n">
        <v>19.95</v>
      </c>
      <c r="I86" s="4" t="n">
        <v>199.45</v>
      </c>
      <c r="J86" s="4" t="n">
        <v>199.45</v>
      </c>
      <c r="K86" s="2" t="n">
        <v>4</v>
      </c>
      <c r="L86" s="2" t="s">
        <v>56</v>
      </c>
      <c r="M86" s="2" t="s">
        <v>57</v>
      </c>
      <c r="N86" s="2" t="s">
        <v>433</v>
      </c>
      <c r="O86" s="2" t="s">
        <v>66</v>
      </c>
      <c r="P86" s="2" t="s">
        <v>434</v>
      </c>
      <c r="Q86" s="2" t="str">
        <f aca="false">IF(ROUND(ABS(J86-I86),2)&lt;=0.02,"TRUE","FALSE")</f>
        <v>TRUE</v>
      </c>
    </row>
    <row r="87" customFormat="false" ht="15" hidden="false" customHeight="false" outlineLevel="0" collapsed="false">
      <c r="A87" s="2" t="s">
        <v>18</v>
      </c>
      <c r="B87" s="2" t="s">
        <v>435</v>
      </c>
      <c r="C87" s="2" t="s">
        <v>436</v>
      </c>
      <c r="D87" s="2" t="s">
        <v>437</v>
      </c>
      <c r="E87" s="2" t="s">
        <v>438</v>
      </c>
      <c r="F87" s="2" t="s">
        <v>439</v>
      </c>
      <c r="G87" s="4" t="n">
        <v>111.31</v>
      </c>
      <c r="H87" s="4" t="n">
        <v>10.12</v>
      </c>
      <c r="I87" s="4" t="n">
        <v>101.19</v>
      </c>
      <c r="J87" s="4" t="n">
        <v>101.19</v>
      </c>
      <c r="K87" s="2" t="n">
        <v>4</v>
      </c>
      <c r="L87" s="2" t="s">
        <v>56</v>
      </c>
      <c r="M87" s="2" t="s">
        <v>57</v>
      </c>
      <c r="N87" s="2" t="s">
        <v>440</v>
      </c>
      <c r="O87" s="2" t="s">
        <v>441</v>
      </c>
      <c r="P87" s="2" t="s">
        <v>442</v>
      </c>
      <c r="Q87" s="2" t="str">
        <f aca="false">IF(ROUND(ABS(J87-I87),2)&lt;=0.02,"TRUE","FALSE")</f>
        <v>TRUE</v>
      </c>
    </row>
    <row r="88" customFormat="false" ht="15" hidden="false" customHeight="false" outlineLevel="0" collapsed="false">
      <c r="A88" s="2" t="s">
        <v>18</v>
      </c>
      <c r="B88" s="2" t="s">
        <v>443</v>
      </c>
      <c r="C88" s="2" t="s">
        <v>444</v>
      </c>
      <c r="D88" s="2" t="s">
        <v>445</v>
      </c>
      <c r="E88" s="2" t="s">
        <v>446</v>
      </c>
      <c r="F88" s="2" t="s">
        <v>447</v>
      </c>
      <c r="G88" s="4" t="n">
        <v>114.07</v>
      </c>
      <c r="H88" s="4" t="n">
        <v>10.37</v>
      </c>
      <c r="I88" s="4" t="n">
        <v>103.7</v>
      </c>
      <c r="J88" s="4" t="n">
        <v>103.7</v>
      </c>
      <c r="K88" s="2" t="n">
        <v>4</v>
      </c>
      <c r="L88" s="2" t="s">
        <v>56</v>
      </c>
      <c r="M88" s="2" t="s">
        <v>57</v>
      </c>
      <c r="N88" s="2" t="s">
        <v>448</v>
      </c>
      <c r="O88" s="2" t="s">
        <v>148</v>
      </c>
      <c r="P88" s="2" t="s">
        <v>449</v>
      </c>
      <c r="Q88" s="2" t="str">
        <f aca="false">IF(ROUND(ABS(J88-I88),2)&lt;=0.02,"TRUE","FALSE")</f>
        <v>TRUE</v>
      </c>
    </row>
    <row r="89" customFormat="false" ht="15" hidden="false" customHeight="false" outlineLevel="0" collapsed="false">
      <c r="A89" s="2" t="s">
        <v>14</v>
      </c>
      <c r="B89" s="2" t="s">
        <v>450</v>
      </c>
      <c r="C89" s="2" t="s">
        <v>451</v>
      </c>
      <c r="D89" s="2" t="s">
        <v>452</v>
      </c>
      <c r="E89" s="2" t="s">
        <v>453</v>
      </c>
      <c r="F89" s="2" t="s">
        <v>454</v>
      </c>
      <c r="G89" s="4" t="n">
        <v>107.05</v>
      </c>
      <c r="H89" s="4" t="n">
        <v>9.73</v>
      </c>
      <c r="I89" s="4" t="n">
        <v>97.32</v>
      </c>
      <c r="J89" s="4" t="n">
        <v>97.32</v>
      </c>
      <c r="K89" s="2" t="n">
        <v>4</v>
      </c>
      <c r="L89" s="2" t="s">
        <v>56</v>
      </c>
      <c r="M89" s="2" t="s">
        <v>57</v>
      </c>
      <c r="N89" s="2" t="s">
        <v>455</v>
      </c>
      <c r="O89" s="2" t="s">
        <v>148</v>
      </c>
      <c r="P89" s="2" t="s">
        <v>456</v>
      </c>
      <c r="Q89" s="2" t="str">
        <f aca="false">IF(ROUND(ABS(J89-I89),2)&lt;=0.02,"TRUE","FALSE")</f>
        <v>TRUE</v>
      </c>
    </row>
    <row r="90" customFormat="false" ht="15" hidden="false" customHeight="false" outlineLevel="0" collapsed="false">
      <c r="A90" s="2" t="s">
        <v>14</v>
      </c>
      <c r="B90" s="2" t="s">
        <v>457</v>
      </c>
      <c r="C90" s="2" t="s">
        <v>458</v>
      </c>
      <c r="D90" s="2" t="s">
        <v>459</v>
      </c>
      <c r="E90" s="2" t="s">
        <v>460</v>
      </c>
      <c r="F90" s="2" t="s">
        <v>461</v>
      </c>
      <c r="G90" s="4" t="n">
        <v>104.41</v>
      </c>
      <c r="H90" s="4" t="n">
        <v>9.49</v>
      </c>
      <c r="I90" s="4" t="n">
        <v>94.92</v>
      </c>
      <c r="J90" s="4" t="n">
        <v>94.92</v>
      </c>
      <c r="K90" s="2" t="n">
        <v>4</v>
      </c>
      <c r="L90" s="2" t="s">
        <v>56</v>
      </c>
      <c r="M90" s="2" t="s">
        <v>57</v>
      </c>
      <c r="N90" s="2" t="s">
        <v>462</v>
      </c>
      <c r="O90" s="2" t="s">
        <v>66</v>
      </c>
      <c r="P90" s="2" t="s">
        <v>463</v>
      </c>
      <c r="Q90" s="2" t="str">
        <f aca="false">IF(ROUND(ABS(J90-I90),2)&lt;=0.02,"TRUE","FALSE")</f>
        <v>TRUE</v>
      </c>
    </row>
    <row r="91" customFormat="false" ht="15" hidden="false" customHeight="false" outlineLevel="0" collapsed="false">
      <c r="A91" s="2" t="s">
        <v>26</v>
      </c>
      <c r="B91" s="2" t="s">
        <v>464</v>
      </c>
      <c r="C91" s="2" t="s">
        <v>465</v>
      </c>
      <c r="D91" s="2" t="s">
        <v>466</v>
      </c>
      <c r="E91" s="2" t="s">
        <v>467</v>
      </c>
      <c r="F91" s="2" t="s">
        <v>468</v>
      </c>
      <c r="G91" s="4" t="n">
        <v>228.6</v>
      </c>
      <c r="H91" s="4" t="n">
        <v>20.78</v>
      </c>
      <c r="I91" s="4" t="n">
        <v>207.82</v>
      </c>
      <c r="J91" s="4" t="n">
        <v>207.82</v>
      </c>
      <c r="K91" s="2" t="n">
        <v>4</v>
      </c>
      <c r="L91" s="2" t="s">
        <v>56</v>
      </c>
      <c r="M91" s="2" t="s">
        <v>57</v>
      </c>
      <c r="N91" s="2" t="s">
        <v>469</v>
      </c>
      <c r="O91" s="2" t="s">
        <v>66</v>
      </c>
      <c r="P91" s="2" t="s">
        <v>470</v>
      </c>
      <c r="Q91" s="2" t="str">
        <f aca="false">IF(ROUND(ABS(J91-I91),2)&lt;=0.02,"TRUE","FALSE")</f>
        <v>TRUE</v>
      </c>
    </row>
    <row r="92" customFormat="false" ht="15" hidden="false" customHeight="false" outlineLevel="0" collapsed="false">
      <c r="A92" s="2" t="s">
        <v>30</v>
      </c>
      <c r="B92" s="2" t="s">
        <v>377</v>
      </c>
      <c r="C92" s="2" t="s">
        <v>378</v>
      </c>
      <c r="D92" s="2" t="s">
        <v>471</v>
      </c>
      <c r="E92" s="2" t="s">
        <v>380</v>
      </c>
      <c r="F92" s="2" t="s">
        <v>381</v>
      </c>
      <c r="G92" s="4" t="n">
        <v>105.56</v>
      </c>
      <c r="H92" s="4" t="n">
        <v>9.6</v>
      </c>
      <c r="I92" s="4" t="n">
        <v>95.96</v>
      </c>
      <c r="J92" s="4" t="n">
        <v>95.96</v>
      </c>
      <c r="K92" s="2" t="n">
        <v>4</v>
      </c>
      <c r="L92" s="2" t="s">
        <v>56</v>
      </c>
      <c r="M92" s="2" t="s">
        <v>57</v>
      </c>
      <c r="N92" s="2"/>
      <c r="O92" s="2" t="s">
        <v>58</v>
      </c>
      <c r="P92" s="2" t="s">
        <v>472</v>
      </c>
      <c r="Q92" s="2" t="str">
        <f aca="false">IF(ROUND(ABS(J92-I92),2)&lt;=0.02,"TRUE","FALSE")</f>
        <v>TRUE</v>
      </c>
    </row>
    <row r="93" customFormat="false" ht="15" hidden="false" customHeight="false" outlineLevel="0" collapsed="false">
      <c r="A93" s="2" t="s">
        <v>30</v>
      </c>
      <c r="B93" s="2" t="s">
        <v>353</v>
      </c>
      <c r="C93" s="2" t="s">
        <v>354</v>
      </c>
      <c r="D93" s="2" t="s">
        <v>473</v>
      </c>
      <c r="E93" s="2" t="s">
        <v>356</v>
      </c>
      <c r="F93" s="2" t="s">
        <v>357</v>
      </c>
      <c r="G93" s="4" t="n">
        <v>120.89</v>
      </c>
      <c r="H93" s="4" t="n">
        <v>10.99</v>
      </c>
      <c r="I93" s="4" t="n">
        <v>109.9</v>
      </c>
      <c r="J93" s="4" t="n">
        <v>109.9</v>
      </c>
      <c r="K93" s="2" t="n">
        <v>4</v>
      </c>
      <c r="L93" s="2" t="s">
        <v>56</v>
      </c>
      <c r="M93" s="2" t="s">
        <v>57</v>
      </c>
      <c r="N93" s="2" t="s">
        <v>358</v>
      </c>
      <c r="O93" s="2" t="s">
        <v>66</v>
      </c>
      <c r="P93" s="2" t="s">
        <v>474</v>
      </c>
      <c r="Q93" s="2" t="str">
        <f aca="false">IF(ROUND(ABS(J93-I93),2)&lt;=0.02,"TRUE","FALSE")</f>
        <v>TRUE</v>
      </c>
    </row>
    <row r="94" customFormat="false" ht="15" hidden="false" customHeight="false" outlineLevel="0" collapsed="false">
      <c r="A94" s="2" t="s">
        <v>26</v>
      </c>
      <c r="B94" s="2" t="s">
        <v>450</v>
      </c>
      <c r="C94" s="2" t="s">
        <v>451</v>
      </c>
      <c r="D94" s="2" t="s">
        <v>475</v>
      </c>
      <c r="E94" s="2" t="s">
        <v>453</v>
      </c>
      <c r="F94" s="2" t="s">
        <v>454</v>
      </c>
      <c r="G94" s="4" t="n">
        <v>109.19</v>
      </c>
      <c r="H94" s="4" t="n">
        <v>9.93</v>
      </c>
      <c r="I94" s="4" t="n">
        <v>99.26</v>
      </c>
      <c r="J94" s="4" t="n">
        <v>99.26</v>
      </c>
      <c r="K94" s="2" t="n">
        <v>4</v>
      </c>
      <c r="L94" s="2" t="s">
        <v>56</v>
      </c>
      <c r="M94" s="2" t="s">
        <v>57</v>
      </c>
      <c r="N94" s="2" t="s">
        <v>455</v>
      </c>
      <c r="O94" s="2" t="s">
        <v>148</v>
      </c>
      <c r="P94" s="2" t="s">
        <v>476</v>
      </c>
      <c r="Q94" s="2" t="str">
        <f aca="false">IF(ROUND(ABS(J94-I94),2)&lt;=0.02,"TRUE","FALSE")</f>
        <v>TRUE</v>
      </c>
    </row>
    <row r="95" customFormat="false" ht="15" hidden="false" customHeight="false" outlineLevel="0" collapsed="false">
      <c r="A95" s="2" t="s">
        <v>22</v>
      </c>
      <c r="B95" s="2" t="s">
        <v>477</v>
      </c>
      <c r="C95" s="2" t="s">
        <v>478</v>
      </c>
      <c r="D95" s="2" t="s">
        <v>479</v>
      </c>
      <c r="E95" s="2" t="s">
        <v>480</v>
      </c>
      <c r="F95" s="2" t="s">
        <v>481</v>
      </c>
      <c r="G95" s="4" t="n">
        <v>256.07</v>
      </c>
      <c r="H95" s="4" t="n">
        <v>23.29</v>
      </c>
      <c r="I95" s="4" t="n">
        <v>232.78</v>
      </c>
      <c r="J95" s="4" t="n">
        <v>232.78</v>
      </c>
      <c r="K95" s="2" t="n">
        <v>4</v>
      </c>
      <c r="L95" s="2" t="s">
        <v>56</v>
      </c>
      <c r="M95" s="2" t="s">
        <v>57</v>
      </c>
      <c r="N95" s="2" t="s">
        <v>482</v>
      </c>
      <c r="O95" s="2" t="s">
        <v>66</v>
      </c>
      <c r="P95" s="2" t="s">
        <v>483</v>
      </c>
      <c r="Q95" s="2" t="str">
        <f aca="false">IF(ROUND(ABS(J95-I95),2)&lt;=0.02,"TRUE","FALSE")</f>
        <v>TRUE</v>
      </c>
    </row>
    <row r="96" customFormat="false" ht="15" hidden="false" customHeight="false" outlineLevel="0" collapsed="false">
      <c r="A96" s="2" t="s">
        <v>30</v>
      </c>
      <c r="B96" s="2" t="s">
        <v>435</v>
      </c>
      <c r="C96" s="2" t="s">
        <v>436</v>
      </c>
      <c r="D96" s="2" t="s">
        <v>484</v>
      </c>
      <c r="E96" s="2" t="s">
        <v>438</v>
      </c>
      <c r="F96" s="2" t="s">
        <v>439</v>
      </c>
      <c r="G96" s="4" t="n">
        <v>106.48</v>
      </c>
      <c r="H96" s="4" t="n">
        <v>9.68</v>
      </c>
      <c r="I96" s="4" t="n">
        <v>96.8</v>
      </c>
      <c r="J96" s="4" t="n">
        <v>96.8</v>
      </c>
      <c r="K96" s="2" t="n">
        <v>4</v>
      </c>
      <c r="L96" s="2" t="s">
        <v>56</v>
      </c>
      <c r="M96" s="2" t="s">
        <v>57</v>
      </c>
      <c r="N96" s="2" t="s">
        <v>440</v>
      </c>
      <c r="O96" s="2" t="s">
        <v>441</v>
      </c>
      <c r="P96" s="2" t="s">
        <v>485</v>
      </c>
      <c r="Q96" s="2" t="str">
        <f aca="false">IF(ROUND(ABS(J96-I96),2)&lt;=0.02,"TRUE","FALSE")</f>
        <v>TRUE</v>
      </c>
    </row>
    <row r="97" customFormat="false" ht="15" hidden="false" customHeight="false" outlineLevel="0" collapsed="false">
      <c r="A97" s="2" t="s">
        <v>30</v>
      </c>
      <c r="B97" s="2" t="s">
        <v>404</v>
      </c>
      <c r="C97" s="2" t="s">
        <v>405</v>
      </c>
      <c r="D97" s="2" t="s">
        <v>486</v>
      </c>
      <c r="E97" s="2" t="s">
        <v>407</v>
      </c>
      <c r="F97" s="2" t="s">
        <v>408</v>
      </c>
      <c r="G97" s="4" t="n">
        <v>105.11</v>
      </c>
      <c r="H97" s="4" t="n">
        <v>9.56</v>
      </c>
      <c r="I97" s="4" t="n">
        <v>95.55</v>
      </c>
      <c r="J97" s="4" t="n">
        <v>95.55</v>
      </c>
      <c r="K97" s="2" t="n">
        <v>2</v>
      </c>
      <c r="L97" s="2" t="s">
        <v>56</v>
      </c>
      <c r="M97" s="2" t="s">
        <v>57</v>
      </c>
      <c r="N97" s="2" t="s">
        <v>409</v>
      </c>
      <c r="O97" s="2" t="s">
        <v>66</v>
      </c>
      <c r="P97" s="2" t="s">
        <v>487</v>
      </c>
      <c r="Q97" s="2" t="str">
        <f aca="false">IF(ROUND(ABS(J97-I97),2)&lt;=0.02,"TRUE","FALSE")</f>
        <v>TRUE</v>
      </c>
    </row>
    <row r="98" customFormat="false" ht="15" hidden="false" customHeight="false" outlineLevel="0" collapsed="false">
      <c r="A98" s="2" t="s">
        <v>30</v>
      </c>
      <c r="B98" s="2" t="s">
        <v>383</v>
      </c>
      <c r="C98" s="2" t="s">
        <v>384</v>
      </c>
      <c r="D98" s="2" t="s">
        <v>488</v>
      </c>
      <c r="E98" s="2" t="s">
        <v>386</v>
      </c>
      <c r="F98" s="2" t="s">
        <v>387</v>
      </c>
      <c r="G98" s="4" t="n">
        <v>108.72</v>
      </c>
      <c r="H98" s="4" t="n">
        <v>9.89</v>
      </c>
      <c r="I98" s="4" t="n">
        <v>98.83</v>
      </c>
      <c r="J98" s="4" t="n">
        <v>98.83</v>
      </c>
      <c r="K98" s="2" t="n">
        <v>4</v>
      </c>
      <c r="L98" s="2" t="s">
        <v>56</v>
      </c>
      <c r="M98" s="2" t="s">
        <v>57</v>
      </c>
      <c r="N98" s="2" t="s">
        <v>388</v>
      </c>
      <c r="O98" s="2" t="s">
        <v>217</v>
      </c>
      <c r="P98" s="2" t="s">
        <v>489</v>
      </c>
      <c r="Q98" s="2" t="str">
        <f aca="false">IF(ROUND(ABS(J98-I98),2)&lt;=0.02,"TRUE","FALSE")</f>
        <v>TRUE</v>
      </c>
    </row>
    <row r="99" customFormat="false" ht="15" hidden="false" customHeight="false" outlineLevel="0" collapsed="false">
      <c r="A99" s="2" t="s">
        <v>26</v>
      </c>
      <c r="B99" s="2" t="s">
        <v>457</v>
      </c>
      <c r="C99" s="2" t="s">
        <v>458</v>
      </c>
      <c r="D99" s="2" t="s">
        <v>490</v>
      </c>
      <c r="E99" s="2" t="s">
        <v>460</v>
      </c>
      <c r="F99" s="2" t="s">
        <v>461</v>
      </c>
      <c r="G99" s="4" t="n">
        <v>111.32</v>
      </c>
      <c r="H99" s="4" t="n">
        <v>10.12</v>
      </c>
      <c r="I99" s="4" t="n">
        <v>101.2</v>
      </c>
      <c r="J99" s="4" t="n">
        <v>101.2</v>
      </c>
      <c r="K99" s="2" t="n">
        <v>5</v>
      </c>
      <c r="L99" s="2" t="s">
        <v>56</v>
      </c>
      <c r="M99" s="2" t="s">
        <v>57</v>
      </c>
      <c r="N99" s="2" t="s">
        <v>462</v>
      </c>
      <c r="O99" s="2" t="s">
        <v>66</v>
      </c>
      <c r="P99" s="2" t="s">
        <v>491</v>
      </c>
      <c r="Q99" s="2" t="str">
        <f aca="false">IF(ROUND(ABS(J99-I99),2)&lt;=0.02,"TRUE","FALSE")</f>
        <v>TRUE</v>
      </c>
    </row>
    <row r="100" customFormat="false" ht="15" hidden="false" customHeight="false" outlineLevel="0" collapsed="false">
      <c r="A100" s="2" t="s">
        <v>18</v>
      </c>
      <c r="B100" s="2" t="s">
        <v>492</v>
      </c>
      <c r="C100" s="2" t="s">
        <v>493</v>
      </c>
      <c r="D100" s="2" t="s">
        <v>494</v>
      </c>
      <c r="E100" s="2" t="s">
        <v>495</v>
      </c>
      <c r="F100" s="2" t="s">
        <v>496</v>
      </c>
      <c r="G100" s="4" t="n">
        <v>108.56</v>
      </c>
      <c r="H100" s="4" t="n">
        <v>9.88</v>
      </c>
      <c r="I100" s="4" t="n">
        <v>98.68</v>
      </c>
      <c r="J100" s="4" t="n">
        <v>98.68</v>
      </c>
      <c r="K100" s="2" t="n">
        <v>4</v>
      </c>
      <c r="L100" s="2" t="s">
        <v>56</v>
      </c>
      <c r="M100" s="2" t="s">
        <v>57</v>
      </c>
      <c r="N100" s="2" t="s">
        <v>497</v>
      </c>
      <c r="O100" s="2" t="s">
        <v>104</v>
      </c>
      <c r="P100" s="2" t="s">
        <v>498</v>
      </c>
      <c r="Q100" s="2" t="str">
        <f aca="false">IF(ROUND(ABS(J100-I100),2)&lt;=0.02,"TRUE","FALSE")</f>
        <v>TRUE</v>
      </c>
    </row>
    <row r="101" customFormat="false" ht="15" hidden="false" customHeight="false" outlineLevel="0" collapsed="false">
      <c r="A101" s="2" t="s">
        <v>14</v>
      </c>
      <c r="B101" s="2" t="s">
        <v>499</v>
      </c>
      <c r="C101" s="2" t="s">
        <v>500</v>
      </c>
      <c r="D101" s="2" t="s">
        <v>501</v>
      </c>
      <c r="E101" s="2" t="s">
        <v>502</v>
      </c>
      <c r="F101" s="2" t="s">
        <v>503</v>
      </c>
      <c r="G101" s="4" t="n">
        <v>103.3</v>
      </c>
      <c r="H101" s="4" t="n">
        <v>9.4</v>
      </c>
      <c r="I101" s="4" t="n">
        <v>93.9</v>
      </c>
      <c r="J101" s="4" t="n">
        <v>93.9</v>
      </c>
      <c r="K101" s="2" t="n">
        <v>4</v>
      </c>
      <c r="L101" s="2" t="s">
        <v>56</v>
      </c>
      <c r="M101" s="2" t="s">
        <v>57</v>
      </c>
      <c r="N101" s="2"/>
      <c r="O101" s="2" t="s">
        <v>58</v>
      </c>
      <c r="P101" s="2" t="s">
        <v>504</v>
      </c>
      <c r="Q101" s="2" t="str">
        <f aca="false">IF(ROUND(ABS(J101-I101),2)&lt;=0.02,"TRUE","FALSE")</f>
        <v>TRUE</v>
      </c>
    </row>
    <row r="102" customFormat="false" ht="15" hidden="false" customHeight="false" outlineLevel="0" collapsed="false">
      <c r="A102" s="2" t="s">
        <v>30</v>
      </c>
      <c r="B102" s="2" t="s">
        <v>443</v>
      </c>
      <c r="C102" s="2" t="s">
        <v>444</v>
      </c>
      <c r="D102" s="2" t="s">
        <v>505</v>
      </c>
      <c r="E102" s="2" t="s">
        <v>446</v>
      </c>
      <c r="F102" s="2" t="s">
        <v>447</v>
      </c>
      <c r="G102" s="4" t="n">
        <v>114.69</v>
      </c>
      <c r="H102" s="4" t="n">
        <v>10.43</v>
      </c>
      <c r="I102" s="4" t="n">
        <v>104.26</v>
      </c>
      <c r="J102" s="4" t="n">
        <v>104.26</v>
      </c>
      <c r="K102" s="2" t="n">
        <v>4</v>
      </c>
      <c r="L102" s="2" t="s">
        <v>56</v>
      </c>
      <c r="M102" s="2" t="s">
        <v>57</v>
      </c>
      <c r="N102" s="2" t="s">
        <v>448</v>
      </c>
      <c r="O102" s="2" t="s">
        <v>148</v>
      </c>
      <c r="P102" s="2" t="s">
        <v>506</v>
      </c>
      <c r="Q102" s="2" t="str">
        <f aca="false">IF(ROUND(ABS(J102-I102),2)&lt;=0.02,"TRUE","FALSE")</f>
        <v>TRUE</v>
      </c>
    </row>
    <row r="103" customFormat="false" ht="15" hidden="false" customHeight="false" outlineLevel="0" collapsed="false">
      <c r="A103" s="2" t="s">
        <v>30</v>
      </c>
      <c r="B103" s="2" t="s">
        <v>411</v>
      </c>
      <c r="C103" s="2" t="s">
        <v>412</v>
      </c>
      <c r="D103" s="2" t="s">
        <v>507</v>
      </c>
      <c r="E103" s="2" t="s">
        <v>414</v>
      </c>
      <c r="F103" s="2" t="s">
        <v>415</v>
      </c>
      <c r="G103" s="4" t="n">
        <v>138.91</v>
      </c>
      <c r="H103" s="4" t="n">
        <v>12.64</v>
      </c>
      <c r="I103" s="4" t="n">
        <v>126.27</v>
      </c>
      <c r="J103" s="4" t="n">
        <v>126.27</v>
      </c>
      <c r="K103" s="2" t="n">
        <v>8</v>
      </c>
      <c r="L103" s="2" t="s">
        <v>56</v>
      </c>
      <c r="M103" s="2" t="s">
        <v>57</v>
      </c>
      <c r="N103" s="2" t="s">
        <v>416</v>
      </c>
      <c r="O103" s="2" t="s">
        <v>417</v>
      </c>
      <c r="P103" s="2" t="s">
        <v>508</v>
      </c>
      <c r="Q103" s="2" t="str">
        <f aca="false">IF(ROUND(ABS(J103-I103),2)&lt;=0.02,"TRUE","FALSE")</f>
        <v>TRUE</v>
      </c>
    </row>
    <row r="104" customFormat="false" ht="15" hidden="false" customHeight="false" outlineLevel="0" collapsed="false">
      <c r="A104" s="2" t="s">
        <v>30</v>
      </c>
      <c r="B104" s="2" t="s">
        <v>428</v>
      </c>
      <c r="C104" s="2" t="s">
        <v>429</v>
      </c>
      <c r="D104" s="2" t="s">
        <v>509</v>
      </c>
      <c r="E104" s="2" t="s">
        <v>431</v>
      </c>
      <c r="F104" s="2" t="s">
        <v>432</v>
      </c>
      <c r="G104" s="4" t="n">
        <v>165.08</v>
      </c>
      <c r="H104" s="4" t="n">
        <v>15.01</v>
      </c>
      <c r="I104" s="4" t="n">
        <v>150.07</v>
      </c>
      <c r="J104" s="4" t="n">
        <v>150.07</v>
      </c>
      <c r="K104" s="2" t="n">
        <v>4</v>
      </c>
      <c r="L104" s="2" t="s">
        <v>56</v>
      </c>
      <c r="M104" s="2" t="s">
        <v>57</v>
      </c>
      <c r="N104" s="2" t="s">
        <v>433</v>
      </c>
      <c r="O104" s="2" t="s">
        <v>66</v>
      </c>
      <c r="P104" s="2" t="s">
        <v>510</v>
      </c>
      <c r="Q104" s="2" t="str">
        <f aca="false">IF(ROUND(ABS(J104-I104),2)&lt;=0.02,"TRUE","FALSE")</f>
        <v>TRUE</v>
      </c>
    </row>
    <row r="105" customFormat="false" ht="15" hidden="false" customHeight="false" outlineLevel="0" collapsed="false">
      <c r="A105" s="2" t="s">
        <v>26</v>
      </c>
      <c r="B105" s="2" t="s">
        <v>511</v>
      </c>
      <c r="C105" s="2" t="s">
        <v>512</v>
      </c>
      <c r="D105" s="2" t="s">
        <v>513</v>
      </c>
      <c r="E105" s="2" t="s">
        <v>514</v>
      </c>
      <c r="F105" s="2" t="s">
        <v>515</v>
      </c>
      <c r="G105" s="4" t="n">
        <v>135.38</v>
      </c>
      <c r="H105" s="4" t="n">
        <v>12.31</v>
      </c>
      <c r="I105" s="4" t="n">
        <v>123.07</v>
      </c>
      <c r="J105" s="4" t="n">
        <v>123.07</v>
      </c>
      <c r="K105" s="2" t="n">
        <v>4</v>
      </c>
      <c r="L105" s="2" t="s">
        <v>56</v>
      </c>
      <c r="M105" s="2" t="s">
        <v>57</v>
      </c>
      <c r="N105" s="2" t="s">
        <v>516</v>
      </c>
      <c r="O105" s="2" t="s">
        <v>66</v>
      </c>
      <c r="P105" s="2" t="s">
        <v>517</v>
      </c>
      <c r="Q105" s="2" t="str">
        <f aca="false">IF(ROUND(ABS(J105-I105),2)&lt;=0.02,"TRUE","FALSE")</f>
        <v>TRUE</v>
      </c>
    </row>
    <row r="106" customFormat="false" ht="15" hidden="false" customHeight="false" outlineLevel="0" collapsed="false">
      <c r="A106" s="2" t="s">
        <v>14</v>
      </c>
      <c r="B106" s="2" t="s">
        <v>518</v>
      </c>
      <c r="C106" s="2" t="s">
        <v>519</v>
      </c>
      <c r="D106" s="2" t="s">
        <v>520</v>
      </c>
      <c r="E106" s="2" t="s">
        <v>521</v>
      </c>
      <c r="F106" s="2" t="s">
        <v>522</v>
      </c>
      <c r="G106" s="4" t="n">
        <v>115.03</v>
      </c>
      <c r="H106" s="4" t="n">
        <v>10.46</v>
      </c>
      <c r="I106" s="4" t="n">
        <v>104.57</v>
      </c>
      <c r="J106" s="4" t="n">
        <v>104.57</v>
      </c>
      <c r="K106" s="2" t="n">
        <v>2</v>
      </c>
      <c r="L106" s="2" t="s">
        <v>56</v>
      </c>
      <c r="M106" s="2" t="s">
        <v>57</v>
      </c>
      <c r="N106" s="2" t="s">
        <v>523</v>
      </c>
      <c r="O106" s="2" t="s">
        <v>66</v>
      </c>
      <c r="P106" s="2" t="s">
        <v>524</v>
      </c>
      <c r="Q106" s="2" t="str">
        <f aca="false">IF(ROUND(ABS(J106-I106),2)&lt;=0.02,"TRUE","FALSE")</f>
        <v>TRUE</v>
      </c>
    </row>
    <row r="107" customFormat="false" ht="15" hidden="false" customHeight="false" outlineLevel="0" collapsed="false">
      <c r="A107" s="2" t="s">
        <v>18</v>
      </c>
      <c r="B107" s="2" t="s">
        <v>525</v>
      </c>
      <c r="C107" s="2" t="s">
        <v>526</v>
      </c>
      <c r="D107" s="2" t="s">
        <v>527</v>
      </c>
      <c r="E107" s="2" t="s">
        <v>528</v>
      </c>
      <c r="F107" s="2" t="s">
        <v>529</v>
      </c>
      <c r="G107" s="4" t="n">
        <v>160.66</v>
      </c>
      <c r="H107" s="4" t="n">
        <v>14.61</v>
      </c>
      <c r="I107" s="4" t="n">
        <v>146.05</v>
      </c>
      <c r="J107" s="4" t="n">
        <v>146.05</v>
      </c>
      <c r="K107" s="2" t="n">
        <v>4</v>
      </c>
      <c r="L107" s="2" t="s">
        <v>56</v>
      </c>
      <c r="M107" s="2" t="s">
        <v>57</v>
      </c>
      <c r="N107" s="2" t="s">
        <v>530</v>
      </c>
      <c r="O107" s="2" t="s">
        <v>66</v>
      </c>
      <c r="P107" s="2" t="s">
        <v>531</v>
      </c>
      <c r="Q107" s="2" t="str">
        <f aca="false">IF(ROUND(ABS(J107-I107),2)&lt;=0.02,"TRUE","FALSE")</f>
        <v>TRUE</v>
      </c>
    </row>
    <row r="108" customFormat="false" ht="15" hidden="false" customHeight="false" outlineLevel="0" collapsed="false">
      <c r="A108" s="2" t="s">
        <v>14</v>
      </c>
      <c r="B108" s="2" t="s">
        <v>532</v>
      </c>
      <c r="C108" s="2" t="s">
        <v>533</v>
      </c>
      <c r="D108" s="2" t="s">
        <v>534</v>
      </c>
      <c r="E108" s="2" t="s">
        <v>535</v>
      </c>
      <c r="F108" s="2" t="s">
        <v>536</v>
      </c>
      <c r="G108" s="4" t="n">
        <v>113.51</v>
      </c>
      <c r="H108" s="4" t="n">
        <v>10.32</v>
      </c>
      <c r="I108" s="4" t="n">
        <v>103.19</v>
      </c>
      <c r="J108" s="4" t="n">
        <v>103.19</v>
      </c>
      <c r="K108" s="2" t="n">
        <v>2</v>
      </c>
      <c r="L108" s="2" t="s">
        <v>56</v>
      </c>
      <c r="M108" s="2" t="s">
        <v>57</v>
      </c>
      <c r="N108" s="2" t="s">
        <v>537</v>
      </c>
      <c r="O108" s="2" t="s">
        <v>66</v>
      </c>
      <c r="P108" s="2" t="s">
        <v>538</v>
      </c>
      <c r="Q108" s="2" t="str">
        <f aca="false">IF(ROUND(ABS(J108-I108),2)&lt;=0.02,"TRUE","FALSE")</f>
        <v>TRUE</v>
      </c>
    </row>
    <row r="109" customFormat="false" ht="15" hidden="false" customHeight="false" outlineLevel="0" collapsed="false">
      <c r="A109" s="2" t="s">
        <v>10</v>
      </c>
      <c r="B109" s="2" t="s">
        <v>532</v>
      </c>
      <c r="C109" s="2" t="s">
        <v>533</v>
      </c>
      <c r="D109" s="2" t="s">
        <v>539</v>
      </c>
      <c r="E109" s="2" t="s">
        <v>535</v>
      </c>
      <c r="F109" s="2" t="s">
        <v>536</v>
      </c>
      <c r="G109" s="4" t="n">
        <v>112.34</v>
      </c>
      <c r="H109" s="4" t="n">
        <v>10.22</v>
      </c>
      <c r="I109" s="4" t="n">
        <v>102.12</v>
      </c>
      <c r="J109" s="4" t="n">
        <v>102.12</v>
      </c>
      <c r="K109" s="2" t="n">
        <v>2</v>
      </c>
      <c r="L109" s="2" t="s">
        <v>56</v>
      </c>
      <c r="M109" s="2" t="s">
        <v>57</v>
      </c>
      <c r="N109" s="2" t="s">
        <v>537</v>
      </c>
      <c r="O109" s="2" t="s">
        <v>66</v>
      </c>
      <c r="P109" s="2" t="s">
        <v>540</v>
      </c>
      <c r="Q109" s="2" t="str">
        <f aca="false">IF(ROUND(ABS(J109-I109),2)&lt;=0.02,"TRUE","FALSE")</f>
        <v>TRUE</v>
      </c>
    </row>
    <row r="110" customFormat="false" ht="15" hidden="false" customHeight="false" outlineLevel="0" collapsed="false">
      <c r="A110" s="2" t="s">
        <v>26</v>
      </c>
      <c r="B110" s="2" t="s">
        <v>499</v>
      </c>
      <c r="C110" s="2" t="s">
        <v>500</v>
      </c>
      <c r="D110" s="2" t="s">
        <v>541</v>
      </c>
      <c r="E110" s="2" t="s">
        <v>502</v>
      </c>
      <c r="F110" s="2" t="s">
        <v>503</v>
      </c>
      <c r="G110" s="4" t="n">
        <v>90.27</v>
      </c>
      <c r="H110" s="4" t="n">
        <v>8.2</v>
      </c>
      <c r="I110" s="4" t="n">
        <v>82.07</v>
      </c>
      <c r="J110" s="4" t="n">
        <v>82.07</v>
      </c>
      <c r="K110" s="2" t="n">
        <v>6</v>
      </c>
      <c r="L110" s="2" t="s">
        <v>56</v>
      </c>
      <c r="M110" s="2" t="s">
        <v>57</v>
      </c>
      <c r="N110" s="2"/>
      <c r="O110" s="2" t="s">
        <v>58</v>
      </c>
      <c r="P110" s="2" t="s">
        <v>542</v>
      </c>
      <c r="Q110" s="2" t="str">
        <f aca="false">IF(ROUND(ABS(J110-I110),2)&lt;=0.02,"TRUE","FALSE")</f>
        <v>TRUE</v>
      </c>
    </row>
    <row r="111" customFormat="false" ht="15" hidden="false" customHeight="false" outlineLevel="0" collapsed="false">
      <c r="A111" s="2" t="s">
        <v>26</v>
      </c>
      <c r="B111" s="2" t="s">
        <v>492</v>
      </c>
      <c r="C111" s="2" t="s">
        <v>493</v>
      </c>
      <c r="D111" s="2" t="s">
        <v>543</v>
      </c>
      <c r="E111" s="2" t="s">
        <v>495</v>
      </c>
      <c r="F111" s="2" t="s">
        <v>496</v>
      </c>
      <c r="G111" s="4" t="n">
        <v>99.76</v>
      </c>
      <c r="H111" s="4" t="n">
        <v>9.07</v>
      </c>
      <c r="I111" s="4" t="n">
        <v>90.69</v>
      </c>
      <c r="J111" s="4" t="n">
        <v>90.69</v>
      </c>
      <c r="K111" s="2" t="n">
        <v>6</v>
      </c>
      <c r="L111" s="2" t="s">
        <v>56</v>
      </c>
      <c r="M111" s="2" t="s">
        <v>57</v>
      </c>
      <c r="N111" s="2" t="s">
        <v>497</v>
      </c>
      <c r="O111" s="2" t="s">
        <v>104</v>
      </c>
      <c r="P111" s="2" t="s">
        <v>544</v>
      </c>
      <c r="Q111" s="2" t="str">
        <f aca="false">IF(ROUND(ABS(J111-I111),2)&lt;=0.02,"TRUE","FALSE")</f>
        <v>TRUE</v>
      </c>
    </row>
    <row r="112" customFormat="false" ht="15" hidden="false" customHeight="false" outlineLevel="0" collapsed="false">
      <c r="A112" s="2" t="s">
        <v>18</v>
      </c>
      <c r="B112" s="2" t="s">
        <v>545</v>
      </c>
      <c r="C112" s="2" t="s">
        <v>546</v>
      </c>
      <c r="D112" s="2" t="s">
        <v>547</v>
      </c>
      <c r="E112" s="2" t="s">
        <v>548</v>
      </c>
      <c r="F112" s="2" t="s">
        <v>549</v>
      </c>
      <c r="G112" s="4" t="n">
        <v>177.88</v>
      </c>
      <c r="H112" s="4" t="n">
        <v>16.18</v>
      </c>
      <c r="I112" s="4" t="n">
        <v>161.7</v>
      </c>
      <c r="J112" s="4" t="n">
        <v>161.7</v>
      </c>
      <c r="K112" s="2" t="n">
        <v>8</v>
      </c>
      <c r="L112" s="2" t="s">
        <v>56</v>
      </c>
      <c r="M112" s="2" t="s">
        <v>57</v>
      </c>
      <c r="N112" s="2" t="s">
        <v>550</v>
      </c>
      <c r="O112" s="2" t="s">
        <v>104</v>
      </c>
      <c r="P112" s="2" t="s">
        <v>551</v>
      </c>
      <c r="Q112" s="2" t="str">
        <f aca="false">IF(ROUND(ABS(J112-I112),2)&lt;=0.02,"TRUE","FALSE")</f>
        <v>TRUE</v>
      </c>
    </row>
    <row r="113" customFormat="false" ht="15" hidden="false" customHeight="false" outlineLevel="0" collapsed="false">
      <c r="A113" s="2" t="s">
        <v>14</v>
      </c>
      <c r="B113" s="2" t="s">
        <v>511</v>
      </c>
      <c r="C113" s="2" t="s">
        <v>512</v>
      </c>
      <c r="D113" s="2" t="s">
        <v>552</v>
      </c>
      <c r="E113" s="2" t="s">
        <v>514</v>
      </c>
      <c r="F113" s="2" t="s">
        <v>515</v>
      </c>
      <c r="G113" s="4" t="n">
        <v>125.17</v>
      </c>
      <c r="H113" s="4" t="n">
        <v>11.39</v>
      </c>
      <c r="I113" s="4" t="n">
        <v>113.78</v>
      </c>
      <c r="J113" s="4" t="n">
        <v>113.78</v>
      </c>
      <c r="K113" s="2" t="n">
        <v>4</v>
      </c>
      <c r="L113" s="2" t="s">
        <v>56</v>
      </c>
      <c r="M113" s="2" t="s">
        <v>57</v>
      </c>
      <c r="N113" s="2" t="s">
        <v>516</v>
      </c>
      <c r="O113" s="2" t="s">
        <v>66</v>
      </c>
      <c r="P113" s="2" t="s">
        <v>553</v>
      </c>
      <c r="Q113" s="2" t="str">
        <f aca="false">IF(ROUND(ABS(J113-I113),2)&lt;=0.02,"TRUE","FALSE")</f>
        <v>TRUE</v>
      </c>
    </row>
    <row r="114" customFormat="false" ht="15" hidden="false" customHeight="false" outlineLevel="0" collapsed="false">
      <c r="A114" s="2" t="s">
        <v>14</v>
      </c>
      <c r="B114" s="2" t="s">
        <v>554</v>
      </c>
      <c r="C114" s="2" t="s">
        <v>555</v>
      </c>
      <c r="D114" s="2" t="s">
        <v>556</v>
      </c>
      <c r="E114" s="2" t="s">
        <v>557</v>
      </c>
      <c r="F114" s="2" t="s">
        <v>558</v>
      </c>
      <c r="G114" s="4" t="n">
        <v>125.96</v>
      </c>
      <c r="H114" s="4" t="n">
        <v>11.46</v>
      </c>
      <c r="I114" s="4" t="n">
        <v>114.5</v>
      </c>
      <c r="J114" s="4" t="n">
        <v>114.5</v>
      </c>
      <c r="K114" s="2" t="n">
        <v>4</v>
      </c>
      <c r="L114" s="2" t="s">
        <v>56</v>
      </c>
      <c r="M114" s="2" t="s">
        <v>57</v>
      </c>
      <c r="N114" s="2" t="s">
        <v>559</v>
      </c>
      <c r="O114" s="2" t="s">
        <v>66</v>
      </c>
      <c r="P114" s="2" t="s">
        <v>560</v>
      </c>
      <c r="Q114" s="2" t="str">
        <f aca="false">IF(ROUND(ABS(J114-I114),2)&lt;=0.02,"TRUE","FALSE")</f>
        <v>TRUE</v>
      </c>
    </row>
    <row r="115" customFormat="false" ht="15" hidden="false" customHeight="false" outlineLevel="0" collapsed="false">
      <c r="A115" s="2" t="s">
        <v>22</v>
      </c>
      <c r="B115" s="2" t="s">
        <v>518</v>
      </c>
      <c r="C115" s="2" t="s">
        <v>519</v>
      </c>
      <c r="D115" s="2" t="s">
        <v>561</v>
      </c>
      <c r="E115" s="2" t="s">
        <v>521</v>
      </c>
      <c r="F115" s="2" t="s">
        <v>522</v>
      </c>
      <c r="G115" s="4" t="n">
        <v>110.09</v>
      </c>
      <c r="H115" s="4" t="n">
        <v>10.01</v>
      </c>
      <c r="I115" s="4" t="n">
        <v>100.08</v>
      </c>
      <c r="J115" s="4" t="n">
        <v>100.08</v>
      </c>
      <c r="K115" s="2" t="n">
        <v>2</v>
      </c>
      <c r="L115" s="2" t="s">
        <v>56</v>
      </c>
      <c r="M115" s="2" t="s">
        <v>57</v>
      </c>
      <c r="N115" s="2" t="s">
        <v>523</v>
      </c>
      <c r="O115" s="2" t="s">
        <v>66</v>
      </c>
      <c r="P115" s="2" t="s">
        <v>562</v>
      </c>
      <c r="Q115" s="2" t="str">
        <f aca="false">IF(ROUND(ABS(J115-I115),2)&lt;=0.02,"TRUE","FALSE")</f>
        <v>TRUE</v>
      </c>
    </row>
    <row r="116" customFormat="false" ht="15" hidden="false" customHeight="false" outlineLevel="0" collapsed="false">
      <c r="A116" s="2" t="s">
        <v>30</v>
      </c>
      <c r="B116" s="2" t="s">
        <v>563</v>
      </c>
      <c r="C116" s="2" t="s">
        <v>564</v>
      </c>
      <c r="D116" s="2" t="s">
        <v>565</v>
      </c>
      <c r="E116" s="2" t="s">
        <v>566</v>
      </c>
      <c r="F116" s="2" t="s">
        <v>567</v>
      </c>
      <c r="G116" s="4" t="n">
        <v>144.83</v>
      </c>
      <c r="H116" s="4" t="n">
        <v>13.17</v>
      </c>
      <c r="I116" s="4" t="n">
        <v>131.66</v>
      </c>
      <c r="J116" s="4" t="n">
        <v>131.66</v>
      </c>
      <c r="K116" s="2" t="n">
        <v>4</v>
      </c>
      <c r="L116" s="2" t="s">
        <v>56</v>
      </c>
      <c r="M116" s="2" t="s">
        <v>57</v>
      </c>
      <c r="N116" s="2" t="s">
        <v>568</v>
      </c>
      <c r="O116" s="2" t="s">
        <v>66</v>
      </c>
      <c r="P116" s="2" t="s">
        <v>569</v>
      </c>
      <c r="Q116" s="2" t="str">
        <f aca="false">IF(ROUND(ABS(J116-I116),2)&lt;=0.02,"TRUE","FALSE")</f>
        <v>TRUE</v>
      </c>
    </row>
    <row r="117" customFormat="false" ht="15" hidden="false" customHeight="false" outlineLevel="0" collapsed="false">
      <c r="A117" s="2" t="s">
        <v>18</v>
      </c>
      <c r="B117" s="2" t="s">
        <v>570</v>
      </c>
      <c r="C117" s="2" t="s">
        <v>571</v>
      </c>
      <c r="D117" s="2" t="s">
        <v>572</v>
      </c>
      <c r="E117" s="2" t="s">
        <v>573</v>
      </c>
      <c r="F117" s="2" t="s">
        <v>574</v>
      </c>
      <c r="G117" s="4" t="n">
        <v>107.42</v>
      </c>
      <c r="H117" s="4" t="n">
        <v>9.77</v>
      </c>
      <c r="I117" s="4" t="n">
        <v>97.65</v>
      </c>
      <c r="J117" s="4" t="n">
        <v>97.65</v>
      </c>
      <c r="K117" s="2" t="n">
        <v>2</v>
      </c>
      <c r="L117" s="2" t="s">
        <v>56</v>
      </c>
      <c r="M117" s="2" t="s">
        <v>57</v>
      </c>
      <c r="N117" s="2" t="s">
        <v>575</v>
      </c>
      <c r="O117" s="2" t="s">
        <v>148</v>
      </c>
      <c r="P117" s="2" t="s">
        <v>576</v>
      </c>
      <c r="Q117" s="2" t="str">
        <f aca="false">IF(ROUND(ABS(J117-I117),2)&lt;=0.02,"TRUE","FALSE")</f>
        <v>TRUE</v>
      </c>
    </row>
    <row r="118" customFormat="false" ht="15" hidden="false" customHeight="false" outlineLevel="0" collapsed="false">
      <c r="A118" s="2" t="s">
        <v>18</v>
      </c>
      <c r="B118" s="2" t="s">
        <v>563</v>
      </c>
      <c r="C118" s="2" t="s">
        <v>564</v>
      </c>
      <c r="D118" s="2" t="s">
        <v>577</v>
      </c>
      <c r="E118" s="2" t="s">
        <v>566</v>
      </c>
      <c r="F118" s="2" t="s">
        <v>567</v>
      </c>
      <c r="G118" s="4" t="n">
        <v>144.14</v>
      </c>
      <c r="H118" s="4" t="n">
        <v>13.11</v>
      </c>
      <c r="I118" s="4" t="n">
        <v>131.03</v>
      </c>
      <c r="J118" s="4" t="n">
        <v>131.03</v>
      </c>
      <c r="K118" s="2" t="n">
        <v>4</v>
      </c>
      <c r="L118" s="2" t="s">
        <v>56</v>
      </c>
      <c r="M118" s="2" t="s">
        <v>57</v>
      </c>
      <c r="N118" s="2" t="s">
        <v>568</v>
      </c>
      <c r="O118" s="2" t="s">
        <v>66</v>
      </c>
      <c r="P118" s="2" t="s">
        <v>578</v>
      </c>
      <c r="Q118" s="2" t="str">
        <f aca="false">IF(ROUND(ABS(J118-I118),2)&lt;=0.02,"TRUE","FALSE")</f>
        <v>TRUE</v>
      </c>
    </row>
    <row r="119" customFormat="false" ht="15" hidden="false" customHeight="false" outlineLevel="0" collapsed="false">
      <c r="A119" s="2" t="s">
        <v>14</v>
      </c>
      <c r="B119" s="2" t="s">
        <v>464</v>
      </c>
      <c r="C119" s="2" t="s">
        <v>465</v>
      </c>
      <c r="D119" s="2" t="s">
        <v>579</v>
      </c>
      <c r="E119" s="2" t="s">
        <v>467</v>
      </c>
      <c r="F119" s="2" t="s">
        <v>468</v>
      </c>
      <c r="G119" s="4" t="n">
        <v>182.95</v>
      </c>
      <c r="H119" s="4" t="n">
        <v>16.63</v>
      </c>
      <c r="I119" s="4" t="n">
        <v>166.32</v>
      </c>
      <c r="J119" s="4" t="n">
        <v>166.32</v>
      </c>
      <c r="K119" s="2" t="n">
        <v>4</v>
      </c>
      <c r="L119" s="2" t="s">
        <v>56</v>
      </c>
      <c r="M119" s="2" t="s">
        <v>57</v>
      </c>
      <c r="N119" s="2" t="s">
        <v>469</v>
      </c>
      <c r="O119" s="2" t="s">
        <v>66</v>
      </c>
      <c r="P119" s="2" t="s">
        <v>580</v>
      </c>
      <c r="Q119" s="2" t="str">
        <f aca="false">IF(ROUND(ABS(J119-I119),2)&lt;=0.02,"TRUE","FALSE")</f>
        <v>TRUE</v>
      </c>
    </row>
    <row r="120" customFormat="false" ht="15" hidden="false" customHeight="false" outlineLevel="0" collapsed="false">
      <c r="A120" s="2" t="s">
        <v>18</v>
      </c>
      <c r="B120" s="2" t="s">
        <v>581</v>
      </c>
      <c r="C120" s="2" t="s">
        <v>582</v>
      </c>
      <c r="D120" s="2" t="s">
        <v>583</v>
      </c>
      <c r="E120" s="2" t="s">
        <v>584</v>
      </c>
      <c r="F120" s="2" t="s">
        <v>585</v>
      </c>
      <c r="G120" s="4" t="n">
        <v>96.15</v>
      </c>
      <c r="H120" s="4" t="n">
        <v>8.73</v>
      </c>
      <c r="I120" s="4" t="n">
        <v>87.42</v>
      </c>
      <c r="J120" s="4" t="n">
        <v>87.42</v>
      </c>
      <c r="K120" s="2" t="n">
        <v>4</v>
      </c>
      <c r="L120" s="2" t="s">
        <v>56</v>
      </c>
      <c r="M120" s="2" t="s">
        <v>57</v>
      </c>
      <c r="N120" s="2" t="s">
        <v>586</v>
      </c>
      <c r="O120" s="2" t="s">
        <v>66</v>
      </c>
      <c r="P120" s="2" t="s">
        <v>587</v>
      </c>
      <c r="Q120" s="2" t="str">
        <f aca="false">IF(ROUND(ABS(J120-I120),2)&lt;=0.02,"TRUE","FALSE")</f>
        <v>TRUE</v>
      </c>
    </row>
    <row r="121" customFormat="false" ht="15" hidden="false" customHeight="false" outlineLevel="0" collapsed="false">
      <c r="A121" s="2" t="s">
        <v>30</v>
      </c>
      <c r="B121" s="2" t="s">
        <v>525</v>
      </c>
      <c r="C121" s="2" t="s">
        <v>526</v>
      </c>
      <c r="D121" s="2" t="s">
        <v>588</v>
      </c>
      <c r="E121" s="2" t="s">
        <v>528</v>
      </c>
      <c r="F121" s="2" t="s">
        <v>529</v>
      </c>
      <c r="G121" s="4" t="n">
        <v>151.79</v>
      </c>
      <c r="H121" s="4" t="n">
        <v>13.81</v>
      </c>
      <c r="I121" s="4" t="n">
        <v>137.98</v>
      </c>
      <c r="J121" s="4" t="n">
        <v>137.98</v>
      </c>
      <c r="K121" s="2" t="n">
        <v>4</v>
      </c>
      <c r="L121" s="2" t="s">
        <v>56</v>
      </c>
      <c r="M121" s="2" t="s">
        <v>57</v>
      </c>
      <c r="N121" s="2" t="s">
        <v>530</v>
      </c>
      <c r="O121" s="2" t="s">
        <v>66</v>
      </c>
      <c r="P121" s="2" t="s">
        <v>589</v>
      </c>
      <c r="Q121" s="2" t="str">
        <f aca="false">IF(ROUND(ABS(J121-I121),2)&lt;=0.02,"TRUE","FALSE")</f>
        <v>TRUE</v>
      </c>
    </row>
    <row r="122" customFormat="false" ht="15" hidden="false" customHeight="false" outlineLevel="0" collapsed="false">
      <c r="A122" s="2" t="s">
        <v>18</v>
      </c>
      <c r="B122" s="2" t="s">
        <v>590</v>
      </c>
      <c r="C122" s="2" t="s">
        <v>591</v>
      </c>
      <c r="D122" s="2" t="s">
        <v>592</v>
      </c>
      <c r="E122" s="2" t="s">
        <v>593</v>
      </c>
      <c r="F122" s="2" t="s">
        <v>594</v>
      </c>
      <c r="G122" s="4" t="n">
        <v>123.68</v>
      </c>
      <c r="H122" s="4" t="n">
        <v>11.25</v>
      </c>
      <c r="I122" s="4" t="n">
        <v>112.43</v>
      </c>
      <c r="J122" s="4" t="n">
        <v>112.43</v>
      </c>
      <c r="K122" s="2" t="n">
        <v>4</v>
      </c>
      <c r="L122" s="2" t="s">
        <v>56</v>
      </c>
      <c r="M122" s="2" t="s">
        <v>57</v>
      </c>
      <c r="N122" s="2" t="s">
        <v>595</v>
      </c>
      <c r="O122" s="2" t="s">
        <v>217</v>
      </c>
      <c r="P122" s="2" t="s">
        <v>596</v>
      </c>
      <c r="Q122" s="2" t="str">
        <f aca="false">IF(ROUND(ABS(J122-I122),2)&lt;=0.02,"TRUE","FALSE")</f>
        <v>TRUE</v>
      </c>
    </row>
    <row r="123" customFormat="false" ht="15" hidden="false" customHeight="false" outlineLevel="0" collapsed="false">
      <c r="A123" s="2" t="s">
        <v>26</v>
      </c>
      <c r="B123" s="2" t="s">
        <v>554</v>
      </c>
      <c r="C123" s="2" t="s">
        <v>555</v>
      </c>
      <c r="D123" s="2" t="s">
        <v>597</v>
      </c>
      <c r="E123" s="2" t="s">
        <v>557</v>
      </c>
      <c r="F123" s="2" t="s">
        <v>558</v>
      </c>
      <c r="G123" s="4" t="n">
        <v>126.97</v>
      </c>
      <c r="H123" s="4" t="n">
        <v>11.55</v>
      </c>
      <c r="I123" s="4" t="n">
        <v>115.42</v>
      </c>
      <c r="J123" s="4" t="n">
        <v>115.42</v>
      </c>
      <c r="K123" s="2" t="n">
        <v>6</v>
      </c>
      <c r="L123" s="2" t="s">
        <v>56</v>
      </c>
      <c r="M123" s="2" t="s">
        <v>57</v>
      </c>
      <c r="N123" s="2" t="s">
        <v>559</v>
      </c>
      <c r="O123" s="2" t="s">
        <v>66</v>
      </c>
      <c r="P123" s="2" t="s">
        <v>598</v>
      </c>
      <c r="Q123" s="2" t="str">
        <f aca="false">IF(ROUND(ABS(J123-I123),2)&lt;=0.02,"TRUE","FALSE")</f>
        <v>TRUE</v>
      </c>
    </row>
    <row r="124" customFormat="false" ht="15" hidden="false" customHeight="false" outlineLevel="0" collapsed="false">
      <c r="A124" s="2" t="s">
        <v>26</v>
      </c>
      <c r="B124" s="2" t="s">
        <v>599</v>
      </c>
      <c r="C124" s="2" t="s">
        <v>600</v>
      </c>
      <c r="D124" s="2" t="s">
        <v>601</v>
      </c>
      <c r="E124" s="2" t="s">
        <v>602</v>
      </c>
      <c r="F124" s="2" t="s">
        <v>603</v>
      </c>
      <c r="G124" s="4" t="n">
        <v>128.3</v>
      </c>
      <c r="H124" s="4" t="n">
        <v>11.67</v>
      </c>
      <c r="I124" s="4" t="n">
        <v>116.63</v>
      </c>
      <c r="J124" s="4" t="n">
        <v>116.63</v>
      </c>
      <c r="K124" s="2" t="n">
        <v>4</v>
      </c>
      <c r="L124" s="2" t="s">
        <v>56</v>
      </c>
      <c r="M124" s="2" t="s">
        <v>57</v>
      </c>
      <c r="N124" s="2" t="s">
        <v>604</v>
      </c>
      <c r="O124" s="2" t="s">
        <v>66</v>
      </c>
      <c r="P124" s="2" t="s">
        <v>605</v>
      </c>
      <c r="Q124" s="2" t="str">
        <f aca="false">IF(ROUND(ABS(J124-I124),2)&lt;=0.02,"TRUE","FALSE")</f>
        <v>TRUE</v>
      </c>
    </row>
    <row r="125" customFormat="false" ht="15" hidden="false" customHeight="false" outlineLevel="0" collapsed="false">
      <c r="A125" s="2" t="s">
        <v>30</v>
      </c>
      <c r="B125" s="2" t="s">
        <v>545</v>
      </c>
      <c r="C125" s="2" t="s">
        <v>546</v>
      </c>
      <c r="D125" s="2" t="s">
        <v>606</v>
      </c>
      <c r="E125" s="2" t="s">
        <v>548</v>
      </c>
      <c r="F125" s="2" t="s">
        <v>549</v>
      </c>
      <c r="G125" s="4" t="n">
        <v>175.1</v>
      </c>
      <c r="H125" s="4" t="n">
        <v>15.92</v>
      </c>
      <c r="I125" s="4" t="n">
        <v>159.18</v>
      </c>
      <c r="J125" s="4" t="n">
        <v>159.18</v>
      </c>
      <c r="K125" s="2" t="n">
        <v>8</v>
      </c>
      <c r="L125" s="2" t="s">
        <v>56</v>
      </c>
      <c r="M125" s="2" t="s">
        <v>57</v>
      </c>
      <c r="N125" s="2" t="s">
        <v>550</v>
      </c>
      <c r="O125" s="2" t="s">
        <v>104</v>
      </c>
      <c r="P125" s="2" t="s">
        <v>607</v>
      </c>
      <c r="Q125" s="2" t="str">
        <f aca="false">IF(ROUND(ABS(J125-I125),2)&lt;=0.02,"TRUE","FALSE")</f>
        <v>TRUE</v>
      </c>
    </row>
    <row r="126" customFormat="false" ht="15" hidden="false" customHeight="false" outlineLevel="0" collapsed="false">
      <c r="A126" s="2" t="s">
        <v>18</v>
      </c>
      <c r="B126" s="2" t="s">
        <v>608</v>
      </c>
      <c r="C126" s="2" t="s">
        <v>609</v>
      </c>
      <c r="D126" s="2" t="s">
        <v>610</v>
      </c>
      <c r="E126" s="2" t="s">
        <v>611</v>
      </c>
      <c r="F126" s="2" t="s">
        <v>612</v>
      </c>
      <c r="G126" s="4" t="n">
        <v>109.73</v>
      </c>
      <c r="H126" s="4" t="n">
        <v>9.98</v>
      </c>
      <c r="I126" s="4" t="n">
        <v>99.75</v>
      </c>
      <c r="J126" s="4" t="n">
        <v>99.75</v>
      </c>
      <c r="K126" s="2" t="n">
        <v>2</v>
      </c>
      <c r="L126" s="2" t="s">
        <v>56</v>
      </c>
      <c r="M126" s="2" t="s">
        <v>57</v>
      </c>
      <c r="N126" s="2" t="s">
        <v>613</v>
      </c>
      <c r="O126" s="2" t="s">
        <v>66</v>
      </c>
      <c r="P126" s="2" t="s">
        <v>614</v>
      </c>
      <c r="Q126" s="2" t="str">
        <f aca="false">IF(ROUND(ABS(J126-I126),2)&lt;=0.02,"TRUE","FALSE")</f>
        <v>TRUE</v>
      </c>
    </row>
    <row r="127" customFormat="false" ht="15" hidden="false" customHeight="false" outlineLevel="0" collapsed="false">
      <c r="A127" s="2" t="s">
        <v>18</v>
      </c>
      <c r="B127" s="2" t="s">
        <v>615</v>
      </c>
      <c r="C127" s="2" t="s">
        <v>616</v>
      </c>
      <c r="D127" s="2" t="s">
        <v>617</v>
      </c>
      <c r="E127" s="2" t="s">
        <v>618</v>
      </c>
      <c r="F127" s="2" t="s">
        <v>619</v>
      </c>
      <c r="G127" s="4" t="n">
        <v>112.04</v>
      </c>
      <c r="H127" s="4" t="n">
        <v>10.19</v>
      </c>
      <c r="I127" s="4" t="n">
        <v>101.85</v>
      </c>
      <c r="J127" s="4" t="n">
        <v>101.85</v>
      </c>
      <c r="K127" s="2" t="n">
        <v>2</v>
      </c>
      <c r="L127" s="2" t="s">
        <v>56</v>
      </c>
      <c r="M127" s="2" t="s">
        <v>57</v>
      </c>
      <c r="N127" s="2" t="s">
        <v>620</v>
      </c>
      <c r="O127" s="2" t="s">
        <v>104</v>
      </c>
      <c r="P127" s="2" t="s">
        <v>621</v>
      </c>
      <c r="Q127" s="2" t="str">
        <f aca="false">IF(ROUND(ABS(J127-I127),2)&lt;=0.02,"TRUE","FALSE")</f>
        <v>TRUE</v>
      </c>
    </row>
    <row r="128" customFormat="false" ht="15" hidden="false" customHeight="false" outlineLevel="0" collapsed="false">
      <c r="A128" s="2" t="s">
        <v>14</v>
      </c>
      <c r="B128" s="2" t="s">
        <v>599</v>
      </c>
      <c r="C128" s="2" t="s">
        <v>600</v>
      </c>
      <c r="D128" s="2" t="s">
        <v>622</v>
      </c>
      <c r="E128" s="2" t="s">
        <v>602</v>
      </c>
      <c r="F128" s="2" t="s">
        <v>603</v>
      </c>
      <c r="G128" s="4" t="n">
        <v>124.21</v>
      </c>
      <c r="H128" s="4" t="n">
        <v>11.29</v>
      </c>
      <c r="I128" s="4" t="n">
        <v>112.92</v>
      </c>
      <c r="J128" s="4" t="n">
        <v>112.92</v>
      </c>
      <c r="K128" s="2" t="n">
        <v>4</v>
      </c>
      <c r="L128" s="2" t="s">
        <v>56</v>
      </c>
      <c r="M128" s="2" t="s">
        <v>57</v>
      </c>
      <c r="N128" s="2" t="s">
        <v>604</v>
      </c>
      <c r="O128" s="2" t="s">
        <v>66</v>
      </c>
      <c r="P128" s="2" t="s">
        <v>623</v>
      </c>
      <c r="Q128" s="2" t="str">
        <f aca="false">IF(ROUND(ABS(J128-I128),2)&lt;=0.02,"TRUE","FALSE")</f>
        <v>TRUE</v>
      </c>
    </row>
    <row r="129" customFormat="false" ht="15" hidden="false" customHeight="false" outlineLevel="0" collapsed="false">
      <c r="A129" s="2" t="s">
        <v>30</v>
      </c>
      <c r="B129" s="2" t="s">
        <v>581</v>
      </c>
      <c r="C129" s="2" t="s">
        <v>582</v>
      </c>
      <c r="D129" s="2" t="s">
        <v>624</v>
      </c>
      <c r="E129" s="2" t="s">
        <v>584</v>
      </c>
      <c r="F129" s="2" t="s">
        <v>585</v>
      </c>
      <c r="G129" s="4" t="n">
        <v>87.14</v>
      </c>
      <c r="H129" s="4" t="n">
        <v>7.92</v>
      </c>
      <c r="I129" s="4" t="n">
        <v>79.22</v>
      </c>
      <c r="J129" s="4" t="n">
        <v>79.22</v>
      </c>
      <c r="K129" s="2" t="n">
        <v>4</v>
      </c>
      <c r="L129" s="2" t="s">
        <v>56</v>
      </c>
      <c r="M129" s="2" t="s">
        <v>57</v>
      </c>
      <c r="N129" s="2" t="s">
        <v>586</v>
      </c>
      <c r="O129" s="2" t="s">
        <v>66</v>
      </c>
      <c r="P129" s="2" t="s">
        <v>625</v>
      </c>
      <c r="Q129" s="2" t="str">
        <f aca="false">IF(ROUND(ABS(J129-I129),2)&lt;=0.02,"TRUE","FALSE")</f>
        <v>TRUE</v>
      </c>
    </row>
    <row r="130" customFormat="false" ht="15" hidden="false" customHeight="false" outlineLevel="0" collapsed="false">
      <c r="A130" s="2" t="s">
        <v>22</v>
      </c>
      <c r="B130" s="2" t="s">
        <v>626</v>
      </c>
      <c r="C130" s="2" t="s">
        <v>627</v>
      </c>
      <c r="D130" s="2" t="s">
        <v>628</v>
      </c>
      <c r="E130" s="2" t="s">
        <v>629</v>
      </c>
      <c r="F130" s="2" t="s">
        <v>630</v>
      </c>
      <c r="G130" s="4" t="n">
        <v>118.11</v>
      </c>
      <c r="H130" s="4" t="n">
        <v>10.74</v>
      </c>
      <c r="I130" s="4" t="n">
        <v>107.37</v>
      </c>
      <c r="J130" s="4" t="n">
        <v>107.37</v>
      </c>
      <c r="K130" s="2" t="n">
        <v>4</v>
      </c>
      <c r="L130" s="2" t="s">
        <v>56</v>
      </c>
      <c r="M130" s="2" t="s">
        <v>57</v>
      </c>
      <c r="N130" s="2" t="s">
        <v>631</v>
      </c>
      <c r="O130" s="2" t="s">
        <v>217</v>
      </c>
      <c r="P130" s="2" t="s">
        <v>632</v>
      </c>
      <c r="Q130" s="2" t="str">
        <f aca="false">IF(ROUND(ABS(J130-I130),2)&lt;=0.02,"TRUE","FALSE")</f>
        <v>TRUE</v>
      </c>
    </row>
    <row r="131" customFormat="false" ht="15" hidden="false" customHeight="false" outlineLevel="0" collapsed="false">
      <c r="A131" s="2" t="s">
        <v>18</v>
      </c>
      <c r="B131" s="2" t="s">
        <v>633</v>
      </c>
      <c r="C131" s="2" t="s">
        <v>634</v>
      </c>
      <c r="D131" s="2" t="s">
        <v>635</v>
      </c>
      <c r="E131" s="2" t="s">
        <v>636</v>
      </c>
      <c r="F131" s="2" t="s">
        <v>637</v>
      </c>
      <c r="G131" s="4" t="n">
        <v>111.55</v>
      </c>
      <c r="H131" s="4" t="n">
        <v>10.14</v>
      </c>
      <c r="I131" s="4" t="n">
        <v>101.41</v>
      </c>
      <c r="J131" s="4" t="n">
        <v>101.41</v>
      </c>
      <c r="K131" s="2" t="n">
        <v>4</v>
      </c>
      <c r="L131" s="2" t="s">
        <v>56</v>
      </c>
      <c r="M131" s="2" t="s">
        <v>57</v>
      </c>
      <c r="N131" s="2" t="s">
        <v>638</v>
      </c>
      <c r="O131" s="2" t="s">
        <v>66</v>
      </c>
      <c r="P131" s="2" t="s">
        <v>639</v>
      </c>
      <c r="Q131" s="2" t="str">
        <f aca="false">IF(ROUND(ABS(J131-I131),2)&lt;=0.02,"TRUE","FALSE")</f>
        <v>TRUE</v>
      </c>
    </row>
    <row r="132" customFormat="false" ht="15" hidden="false" customHeight="false" outlineLevel="0" collapsed="false">
      <c r="A132" s="2" t="s">
        <v>10</v>
      </c>
      <c r="B132" s="2" t="s">
        <v>142</v>
      </c>
      <c r="C132" s="2" t="s">
        <v>143</v>
      </c>
      <c r="D132" s="2" t="s">
        <v>640</v>
      </c>
      <c r="E132" s="2" t="s">
        <v>145</v>
      </c>
      <c r="F132" s="2" t="s">
        <v>146</v>
      </c>
      <c r="G132" s="4" t="n">
        <v>118.21</v>
      </c>
      <c r="H132" s="4" t="n">
        <v>10.75</v>
      </c>
      <c r="I132" s="4" t="n">
        <v>107.46</v>
      </c>
      <c r="J132" s="4" t="n">
        <v>107.46</v>
      </c>
      <c r="K132" s="2" t="n">
        <v>4</v>
      </c>
      <c r="L132" s="2" t="s">
        <v>56</v>
      </c>
      <c r="M132" s="2" t="s">
        <v>57</v>
      </c>
      <c r="N132" s="2" t="s">
        <v>147</v>
      </c>
      <c r="O132" s="2" t="s">
        <v>148</v>
      </c>
      <c r="P132" s="2" t="s">
        <v>641</v>
      </c>
      <c r="Q132" s="2" t="str">
        <f aca="false">IF(ROUND(ABS(J132-I132),2)&lt;=0.02,"TRUE","FALSE")</f>
        <v>TRUE</v>
      </c>
    </row>
    <row r="133" customFormat="false" ht="15" hidden="false" customHeight="false" outlineLevel="0" collapsed="false">
      <c r="A133" s="2" t="s">
        <v>22</v>
      </c>
      <c r="B133" s="2" t="s">
        <v>642</v>
      </c>
      <c r="C133" s="2" t="s">
        <v>643</v>
      </c>
      <c r="D133" s="2" t="s">
        <v>644</v>
      </c>
      <c r="E133" s="2" t="s">
        <v>645</v>
      </c>
      <c r="F133" s="2" t="s">
        <v>645</v>
      </c>
      <c r="G133" s="4" t="n">
        <v>153.17</v>
      </c>
      <c r="H133" s="4" t="n">
        <v>13.93</v>
      </c>
      <c r="I133" s="4" t="n">
        <v>139.24</v>
      </c>
      <c r="J133" s="4" t="n">
        <v>139.24</v>
      </c>
      <c r="K133" s="2" t="n">
        <v>4</v>
      </c>
      <c r="L133" s="2" t="s">
        <v>56</v>
      </c>
      <c r="M133" s="2" t="s">
        <v>57</v>
      </c>
      <c r="N133" s="2" t="s">
        <v>364</v>
      </c>
      <c r="O133" s="2" t="s">
        <v>217</v>
      </c>
      <c r="P133" s="2" t="s">
        <v>646</v>
      </c>
      <c r="Q133" s="2" t="str">
        <f aca="false">IF(ROUND(ABS(J133-I133),2)&lt;=0.02,"TRUE","FALSE")</f>
        <v>TRUE</v>
      </c>
    </row>
    <row r="134" customFormat="false" ht="15" hidden="false" customHeight="false" outlineLevel="0" collapsed="false">
      <c r="A134" s="2" t="s">
        <v>22</v>
      </c>
      <c r="B134" s="2" t="s">
        <v>647</v>
      </c>
      <c r="C134" s="2" t="s">
        <v>648</v>
      </c>
      <c r="D134" s="2" t="s">
        <v>649</v>
      </c>
      <c r="E134" s="2" t="s">
        <v>650</v>
      </c>
      <c r="F134" s="2" t="s">
        <v>651</v>
      </c>
      <c r="G134" s="4" t="n">
        <v>192.7</v>
      </c>
      <c r="H134" s="4" t="n">
        <v>17.52</v>
      </c>
      <c r="I134" s="4" t="n">
        <v>175.18</v>
      </c>
      <c r="J134" s="4" t="n">
        <v>175.18</v>
      </c>
      <c r="K134" s="2" t="n">
        <v>4</v>
      </c>
      <c r="L134" s="2" t="s">
        <v>56</v>
      </c>
      <c r="M134" s="2" t="s">
        <v>57</v>
      </c>
      <c r="N134" s="2"/>
      <c r="O134" s="2" t="s">
        <v>58</v>
      </c>
      <c r="P134" s="2" t="s">
        <v>652</v>
      </c>
      <c r="Q134" s="2" t="str">
        <f aca="false">IF(ROUND(ABS(J134-I134),2)&lt;=0.02,"TRUE","FALSE")</f>
        <v>TRUE</v>
      </c>
    </row>
    <row r="135" customFormat="false" ht="15" hidden="false" customHeight="false" outlineLevel="0" collapsed="false">
      <c r="A135" s="2" t="s">
        <v>22</v>
      </c>
      <c r="B135" s="2" t="s">
        <v>653</v>
      </c>
      <c r="C135" s="2" t="s">
        <v>654</v>
      </c>
      <c r="D135" s="2" t="s">
        <v>655</v>
      </c>
      <c r="E135" s="2" t="s">
        <v>656</v>
      </c>
      <c r="F135" s="2" t="s">
        <v>657</v>
      </c>
      <c r="G135" s="4" t="n">
        <v>140.53</v>
      </c>
      <c r="H135" s="4" t="n">
        <v>12.78</v>
      </c>
      <c r="I135" s="4" t="n">
        <v>127.75</v>
      </c>
      <c r="J135" s="4" t="n">
        <v>127.75</v>
      </c>
      <c r="K135" s="2" t="n">
        <v>4</v>
      </c>
      <c r="L135" s="2" t="s">
        <v>56</v>
      </c>
      <c r="M135" s="2" t="s">
        <v>57</v>
      </c>
      <c r="N135" s="2" t="s">
        <v>658</v>
      </c>
      <c r="O135" s="2" t="s">
        <v>148</v>
      </c>
      <c r="P135" s="2" t="s">
        <v>659</v>
      </c>
      <c r="Q135" s="2" t="str">
        <f aca="false">IF(ROUND(ABS(J135-I135),2)&lt;=0.02,"TRUE","FALSE")</f>
        <v>TRUE</v>
      </c>
    </row>
    <row r="136" customFormat="false" ht="15" hidden="false" customHeight="false" outlineLevel="0" collapsed="false">
      <c r="A136" s="2" t="s">
        <v>14</v>
      </c>
      <c r="B136" s="2" t="s">
        <v>660</v>
      </c>
      <c r="C136" s="2" t="s">
        <v>661</v>
      </c>
      <c r="D136" s="2" t="s">
        <v>662</v>
      </c>
      <c r="E136" s="2" t="s">
        <v>663</v>
      </c>
      <c r="F136" s="2" t="s">
        <v>664</v>
      </c>
      <c r="G136" s="4" t="n">
        <v>101.24</v>
      </c>
      <c r="H136" s="4" t="n">
        <v>9.21</v>
      </c>
      <c r="I136" s="4" t="n">
        <v>92.03</v>
      </c>
      <c r="J136" s="4" t="n">
        <v>92.03</v>
      </c>
      <c r="K136" s="2" t="n">
        <v>2</v>
      </c>
      <c r="L136" s="2" t="s">
        <v>56</v>
      </c>
      <c r="M136" s="2" t="s">
        <v>57</v>
      </c>
      <c r="N136" s="2" t="s">
        <v>665</v>
      </c>
      <c r="O136" s="2" t="s">
        <v>66</v>
      </c>
      <c r="P136" s="2" t="s">
        <v>666</v>
      </c>
      <c r="Q136" s="2" t="str">
        <f aca="false">IF(ROUND(ABS(J136-I136),2)&lt;=0.02,"TRUE","FALSE")</f>
        <v>TRUE</v>
      </c>
    </row>
    <row r="137" customFormat="false" ht="15" hidden="false" customHeight="false" outlineLevel="0" collapsed="false">
      <c r="A137" s="2" t="s">
        <v>10</v>
      </c>
      <c r="B137" s="2" t="s">
        <v>660</v>
      </c>
      <c r="C137" s="2" t="s">
        <v>661</v>
      </c>
      <c r="D137" s="2" t="s">
        <v>667</v>
      </c>
      <c r="E137" s="2" t="s">
        <v>663</v>
      </c>
      <c r="F137" s="2" t="s">
        <v>664</v>
      </c>
      <c r="G137" s="4" t="n">
        <v>100.79</v>
      </c>
      <c r="H137" s="4" t="n">
        <v>9.17</v>
      </c>
      <c r="I137" s="4" t="n">
        <v>91.62</v>
      </c>
      <c r="J137" s="4" t="n">
        <v>91.62</v>
      </c>
      <c r="K137" s="2" t="n">
        <v>2</v>
      </c>
      <c r="L137" s="2" t="s">
        <v>56</v>
      </c>
      <c r="M137" s="2" t="s">
        <v>57</v>
      </c>
      <c r="N137" s="2" t="s">
        <v>665</v>
      </c>
      <c r="O137" s="2" t="s">
        <v>66</v>
      </c>
      <c r="P137" s="2" t="s">
        <v>668</v>
      </c>
      <c r="Q137" s="2" t="str">
        <f aca="false">IF(ROUND(ABS(J137-I137),2)&lt;=0.02,"TRUE","FALSE")</f>
        <v>TRUE</v>
      </c>
    </row>
    <row r="138" customFormat="false" ht="15" hidden="false" customHeight="false" outlineLevel="0" collapsed="false">
      <c r="A138" s="2" t="s">
        <v>22</v>
      </c>
      <c r="B138" s="2" t="s">
        <v>669</v>
      </c>
      <c r="C138" s="2" t="s">
        <v>670</v>
      </c>
      <c r="D138" s="2" t="s">
        <v>671</v>
      </c>
      <c r="E138" s="2" t="s">
        <v>672</v>
      </c>
      <c r="F138" s="2" t="s">
        <v>673</v>
      </c>
      <c r="G138" s="4" t="n">
        <v>113.64</v>
      </c>
      <c r="H138" s="4" t="n">
        <v>10.33</v>
      </c>
      <c r="I138" s="4" t="n">
        <v>103.31</v>
      </c>
      <c r="J138" s="4" t="n">
        <v>103.31</v>
      </c>
      <c r="K138" s="2" t="n">
        <v>4</v>
      </c>
      <c r="L138" s="2" t="s">
        <v>56</v>
      </c>
      <c r="M138" s="2" t="s">
        <v>57</v>
      </c>
      <c r="N138" s="2" t="s">
        <v>674</v>
      </c>
      <c r="O138" s="2" t="s">
        <v>66</v>
      </c>
      <c r="P138" s="2" t="s">
        <v>675</v>
      </c>
      <c r="Q138" s="2" t="str">
        <f aca="false">IF(ROUND(ABS(J138-I138),2)&lt;=0.02,"TRUE","FALSE")</f>
        <v>TRUE</v>
      </c>
    </row>
    <row r="139" customFormat="false" ht="15" hidden="false" customHeight="false" outlineLevel="0" collapsed="false">
      <c r="A139" s="2" t="s">
        <v>10</v>
      </c>
      <c r="B139" s="2" t="s">
        <v>626</v>
      </c>
      <c r="C139" s="2" t="s">
        <v>627</v>
      </c>
      <c r="D139" s="2" t="s">
        <v>676</v>
      </c>
      <c r="E139" s="2" t="s">
        <v>629</v>
      </c>
      <c r="F139" s="2" t="s">
        <v>630</v>
      </c>
      <c r="G139" s="4" t="n">
        <v>104.51</v>
      </c>
      <c r="H139" s="4" t="n">
        <v>9.5</v>
      </c>
      <c r="I139" s="4" t="n">
        <v>95.01</v>
      </c>
      <c r="J139" s="4" t="n">
        <v>95.01</v>
      </c>
      <c r="K139" s="2" t="n">
        <v>4</v>
      </c>
      <c r="L139" s="2" t="s">
        <v>56</v>
      </c>
      <c r="M139" s="2" t="s">
        <v>57</v>
      </c>
      <c r="N139" s="2" t="s">
        <v>631</v>
      </c>
      <c r="O139" s="2" t="s">
        <v>217</v>
      </c>
      <c r="P139" s="2" t="s">
        <v>677</v>
      </c>
      <c r="Q139" s="2" t="str">
        <f aca="false">IF(ROUND(ABS(J139-I139),2)&lt;=0.02,"TRUE","FALSE")</f>
        <v>TRUE</v>
      </c>
    </row>
    <row r="140" customFormat="false" ht="15" hidden="false" customHeight="false" outlineLevel="0" collapsed="false">
      <c r="A140" s="2" t="s">
        <v>18</v>
      </c>
      <c r="B140" s="2" t="s">
        <v>660</v>
      </c>
      <c r="C140" s="2" t="s">
        <v>661</v>
      </c>
      <c r="D140" s="2" t="s">
        <v>678</v>
      </c>
      <c r="E140" s="2" t="s">
        <v>663</v>
      </c>
      <c r="F140" s="2" t="s">
        <v>664</v>
      </c>
      <c r="G140" s="4" t="n">
        <v>197.56</v>
      </c>
      <c r="H140" s="4" t="n">
        <v>17.96</v>
      </c>
      <c r="I140" s="4" t="n">
        <v>179.6</v>
      </c>
      <c r="J140" s="4" t="n">
        <v>179.6</v>
      </c>
      <c r="K140" s="2" t="n">
        <v>4</v>
      </c>
      <c r="L140" s="2" t="s">
        <v>56</v>
      </c>
      <c r="M140" s="2" t="s">
        <v>57</v>
      </c>
      <c r="N140" s="2" t="s">
        <v>665</v>
      </c>
      <c r="O140" s="2" t="s">
        <v>66</v>
      </c>
      <c r="P140" s="2" t="s">
        <v>679</v>
      </c>
      <c r="Q140" s="2" t="str">
        <f aca="false">IF(ROUND(ABS(J140-I140),2)&lt;=0.02,"TRUE","FALSE")</f>
        <v>TRUE</v>
      </c>
    </row>
    <row r="141" customFormat="false" ht="15" hidden="false" customHeight="false" outlineLevel="0" collapsed="false">
      <c r="A141" s="2" t="s">
        <v>26</v>
      </c>
      <c r="B141" s="2" t="s">
        <v>660</v>
      </c>
      <c r="C141" s="2" t="s">
        <v>661</v>
      </c>
      <c r="D141" s="2" t="s">
        <v>680</v>
      </c>
      <c r="E141" s="2" t="s">
        <v>663</v>
      </c>
      <c r="F141" s="2" t="s">
        <v>664</v>
      </c>
      <c r="G141" s="4" t="n">
        <v>99.46</v>
      </c>
      <c r="H141" s="4" t="n">
        <v>9.05</v>
      </c>
      <c r="I141" s="4" t="n">
        <v>90.41</v>
      </c>
      <c r="J141" s="4" t="n">
        <v>90.41</v>
      </c>
      <c r="K141" s="2" t="n">
        <v>2</v>
      </c>
      <c r="L141" s="2" t="s">
        <v>56</v>
      </c>
      <c r="M141" s="2" t="s">
        <v>57</v>
      </c>
      <c r="N141" s="2" t="s">
        <v>665</v>
      </c>
      <c r="O141" s="2" t="s">
        <v>66</v>
      </c>
      <c r="P141" s="2" t="s">
        <v>681</v>
      </c>
      <c r="Q141" s="2" t="str">
        <f aca="false">IF(ROUND(ABS(J141-I141),2)&lt;=0.02,"TRUE","FALSE")</f>
        <v>TRUE</v>
      </c>
    </row>
    <row r="142" customFormat="false" ht="15" hidden="false" customHeight="false" outlineLevel="0" collapsed="false">
      <c r="A142" s="2" t="s">
        <v>22</v>
      </c>
      <c r="B142" s="2" t="s">
        <v>682</v>
      </c>
      <c r="C142" s="2" t="s">
        <v>683</v>
      </c>
      <c r="D142" s="2" t="s">
        <v>684</v>
      </c>
      <c r="E142" s="2" t="s">
        <v>685</v>
      </c>
      <c r="F142" s="2" t="s">
        <v>686</v>
      </c>
      <c r="G142" s="4" t="n">
        <v>116.16</v>
      </c>
      <c r="H142" s="4" t="n">
        <v>10.57</v>
      </c>
      <c r="I142" s="4" t="n">
        <v>105.59</v>
      </c>
      <c r="J142" s="4" t="n">
        <v>105.59</v>
      </c>
      <c r="K142" s="2" t="n">
        <v>4</v>
      </c>
      <c r="L142" s="2" t="s">
        <v>56</v>
      </c>
      <c r="M142" s="2" t="s">
        <v>57</v>
      </c>
      <c r="N142" s="2" t="s">
        <v>687</v>
      </c>
      <c r="O142" s="2" t="s">
        <v>148</v>
      </c>
      <c r="P142" s="2" t="s">
        <v>688</v>
      </c>
      <c r="Q142" s="2" t="str">
        <f aca="false">IF(ROUND(ABS(J142-I142),2)&lt;=0.02,"TRUE","FALSE")</f>
        <v>TRUE</v>
      </c>
    </row>
    <row r="143" customFormat="false" ht="15" hidden="false" customHeight="false" outlineLevel="0" collapsed="false">
      <c r="A143" s="2" t="s">
        <v>22</v>
      </c>
      <c r="B143" s="2" t="s">
        <v>689</v>
      </c>
      <c r="C143" s="2" t="s">
        <v>690</v>
      </c>
      <c r="D143" s="2" t="s">
        <v>691</v>
      </c>
      <c r="E143" s="2" t="s">
        <v>692</v>
      </c>
      <c r="F143" s="2" t="s">
        <v>693</v>
      </c>
      <c r="G143" s="4" t="n">
        <v>125.45</v>
      </c>
      <c r="H143" s="4" t="n">
        <v>11.41</v>
      </c>
      <c r="I143" s="4" t="n">
        <v>114.04</v>
      </c>
      <c r="J143" s="4" t="n">
        <v>114.04</v>
      </c>
      <c r="K143" s="2" t="n">
        <v>4</v>
      </c>
      <c r="L143" s="2" t="s">
        <v>56</v>
      </c>
      <c r="M143" s="2" t="s">
        <v>57</v>
      </c>
      <c r="N143" s="2" t="s">
        <v>694</v>
      </c>
      <c r="O143" s="2" t="s">
        <v>104</v>
      </c>
      <c r="P143" s="2" t="s">
        <v>695</v>
      </c>
      <c r="Q143" s="2" t="str">
        <f aca="false">IF(ROUND(ABS(J143-I143),2)&lt;=0.02,"TRUE","FALSE")</f>
        <v>TRUE</v>
      </c>
    </row>
    <row r="144" customFormat="false" ht="15" hidden="false" customHeight="false" outlineLevel="0" collapsed="false">
      <c r="A144" s="2" t="s">
        <v>18</v>
      </c>
      <c r="B144" s="2" t="s">
        <v>696</v>
      </c>
      <c r="C144" s="2" t="s">
        <v>697</v>
      </c>
      <c r="D144" s="2" t="s">
        <v>698</v>
      </c>
      <c r="E144" s="2" t="s">
        <v>699</v>
      </c>
      <c r="F144" s="2" t="s">
        <v>700</v>
      </c>
      <c r="G144" s="4" t="n">
        <v>97.84</v>
      </c>
      <c r="H144" s="4" t="n">
        <v>8.9</v>
      </c>
      <c r="I144" s="4" t="n">
        <v>88.94</v>
      </c>
      <c r="J144" s="4" t="n">
        <v>88.94</v>
      </c>
      <c r="K144" s="2" t="n">
        <v>4</v>
      </c>
      <c r="L144" s="2" t="s">
        <v>56</v>
      </c>
      <c r="M144" s="2" t="s">
        <v>57</v>
      </c>
      <c r="N144" s="2" t="s">
        <v>701</v>
      </c>
      <c r="O144" s="2" t="s">
        <v>66</v>
      </c>
      <c r="P144" s="2" t="s">
        <v>702</v>
      </c>
      <c r="Q144" s="2" t="str">
        <f aca="false">IF(ROUND(ABS(J144-I144),2)&lt;=0.02,"TRUE","FALSE")</f>
        <v>TRUE</v>
      </c>
    </row>
    <row r="145" customFormat="false" ht="15" hidden="false" customHeight="false" outlineLevel="0" collapsed="false">
      <c r="A145" s="2" t="s">
        <v>22</v>
      </c>
      <c r="B145" s="2" t="s">
        <v>703</v>
      </c>
      <c r="C145" s="2" t="s">
        <v>704</v>
      </c>
      <c r="D145" s="2" t="s">
        <v>705</v>
      </c>
      <c r="E145" s="2" t="s">
        <v>706</v>
      </c>
      <c r="F145" s="2" t="s">
        <v>707</v>
      </c>
      <c r="G145" s="4" t="n">
        <v>117.04</v>
      </c>
      <c r="H145" s="4" t="n">
        <v>10.64</v>
      </c>
      <c r="I145" s="4" t="n">
        <v>106.4</v>
      </c>
      <c r="J145" s="4" t="n">
        <v>106.4</v>
      </c>
      <c r="K145" s="2" t="n">
        <v>4</v>
      </c>
      <c r="L145" s="2" t="s">
        <v>56</v>
      </c>
      <c r="M145" s="2" t="s">
        <v>57</v>
      </c>
      <c r="N145" s="2"/>
      <c r="O145" s="2" t="s">
        <v>58</v>
      </c>
      <c r="P145" s="2" t="s">
        <v>708</v>
      </c>
      <c r="Q145" s="2" t="str">
        <f aca="false">IF(ROUND(ABS(J145-I145),2)&lt;=0.02,"TRUE","FALSE")</f>
        <v>TRUE</v>
      </c>
    </row>
    <row r="146" customFormat="false" ht="15" hidden="false" customHeight="false" outlineLevel="0" collapsed="false">
      <c r="A146" s="2" t="s">
        <v>22</v>
      </c>
      <c r="B146" s="2" t="s">
        <v>709</v>
      </c>
      <c r="C146" s="2" t="s">
        <v>710</v>
      </c>
      <c r="D146" s="2" t="s">
        <v>711</v>
      </c>
      <c r="E146" s="2" t="s">
        <v>712</v>
      </c>
      <c r="F146" s="2" t="s">
        <v>713</v>
      </c>
      <c r="G146" s="4" t="n">
        <v>110.88</v>
      </c>
      <c r="H146" s="4" t="n">
        <v>10.08</v>
      </c>
      <c r="I146" s="4" t="n">
        <v>100.8</v>
      </c>
      <c r="J146" s="4" t="n">
        <v>100.8</v>
      </c>
      <c r="K146" s="2" t="n">
        <v>2</v>
      </c>
      <c r="L146" s="2" t="s">
        <v>56</v>
      </c>
      <c r="M146" s="2" t="s">
        <v>57</v>
      </c>
      <c r="N146" s="2" t="s">
        <v>714</v>
      </c>
      <c r="O146" s="2" t="s">
        <v>441</v>
      </c>
      <c r="P146" s="2" t="s">
        <v>715</v>
      </c>
      <c r="Q146" s="2" t="str">
        <f aca="false">IF(ROUND(ABS(J146-I146),2)&lt;=0.02,"TRUE","FALSE")</f>
        <v>TRUE</v>
      </c>
    </row>
    <row r="147" customFormat="false" ht="15" hidden="false" customHeight="false" outlineLevel="0" collapsed="false">
      <c r="A147" s="2" t="s">
        <v>22</v>
      </c>
      <c r="B147" s="2" t="s">
        <v>660</v>
      </c>
      <c r="C147" s="2" t="s">
        <v>661</v>
      </c>
      <c r="D147" s="2" t="s">
        <v>716</v>
      </c>
      <c r="E147" s="2" t="s">
        <v>663</v>
      </c>
      <c r="F147" s="2" t="s">
        <v>664</v>
      </c>
      <c r="G147" s="4" t="n">
        <v>96.83</v>
      </c>
      <c r="H147" s="4" t="n">
        <v>8.8</v>
      </c>
      <c r="I147" s="4" t="n">
        <v>88.03</v>
      </c>
      <c r="J147" s="4" t="n">
        <v>88.03</v>
      </c>
      <c r="K147" s="2" t="n">
        <v>2</v>
      </c>
      <c r="L147" s="2" t="s">
        <v>56</v>
      </c>
      <c r="M147" s="2" t="s">
        <v>57</v>
      </c>
      <c r="N147" s="2" t="s">
        <v>665</v>
      </c>
      <c r="O147" s="2" t="s">
        <v>66</v>
      </c>
      <c r="P147" s="2" t="s">
        <v>717</v>
      </c>
      <c r="Q147" s="2" t="str">
        <f aca="false">IF(ROUND(ABS(J147-I147),2)&lt;=0.02,"TRUE","FALSE")</f>
        <v>TRUE</v>
      </c>
    </row>
    <row r="148" customFormat="false" ht="15" hidden="false" customHeight="false" outlineLevel="0" collapsed="false">
      <c r="A148" s="2" t="s">
        <v>30</v>
      </c>
      <c r="B148" s="2" t="s">
        <v>718</v>
      </c>
      <c r="C148" s="2" t="s">
        <v>719</v>
      </c>
      <c r="D148" s="2" t="s">
        <v>720</v>
      </c>
      <c r="E148" s="2" t="s">
        <v>721</v>
      </c>
      <c r="F148" s="2" t="s">
        <v>722</v>
      </c>
      <c r="G148" s="4" t="n">
        <v>85.04</v>
      </c>
      <c r="H148" s="4" t="n">
        <v>7.73</v>
      </c>
      <c r="I148" s="4" t="n">
        <v>77.31</v>
      </c>
      <c r="J148" s="4" t="n">
        <v>77.31</v>
      </c>
      <c r="K148" s="2" t="n">
        <v>2</v>
      </c>
      <c r="L148" s="2" t="s">
        <v>56</v>
      </c>
      <c r="M148" s="2" t="s">
        <v>57</v>
      </c>
      <c r="N148" s="2" t="s">
        <v>170</v>
      </c>
      <c r="O148" s="2" t="s">
        <v>148</v>
      </c>
      <c r="P148" s="2" t="s">
        <v>723</v>
      </c>
      <c r="Q148" s="2" t="str">
        <f aca="false">IF(ROUND(ABS(J148-I148),2)&lt;=0.02,"TRUE","FALSE")</f>
        <v>TRUE</v>
      </c>
    </row>
    <row r="149" customFormat="false" ht="15" hidden="false" customHeight="false" outlineLevel="0" collapsed="false">
      <c r="A149" s="2" t="s">
        <v>10</v>
      </c>
      <c r="B149" s="2" t="s">
        <v>642</v>
      </c>
      <c r="C149" s="2" t="s">
        <v>643</v>
      </c>
      <c r="D149" s="2" t="s">
        <v>724</v>
      </c>
      <c r="E149" s="2" t="s">
        <v>645</v>
      </c>
      <c r="F149" s="2" t="s">
        <v>645</v>
      </c>
      <c r="G149" s="4" t="n">
        <v>141.72</v>
      </c>
      <c r="H149" s="4" t="n">
        <v>12.89</v>
      </c>
      <c r="I149" s="4" t="n">
        <v>128.83</v>
      </c>
      <c r="J149" s="4" t="n">
        <v>128.83</v>
      </c>
      <c r="K149" s="2" t="n">
        <v>4</v>
      </c>
      <c r="L149" s="2" t="s">
        <v>56</v>
      </c>
      <c r="M149" s="2" t="s">
        <v>57</v>
      </c>
      <c r="N149" s="2" t="s">
        <v>364</v>
      </c>
      <c r="O149" s="2" t="s">
        <v>217</v>
      </c>
      <c r="P149" s="2" t="s">
        <v>725</v>
      </c>
      <c r="Q149" s="2" t="str">
        <f aca="false">IF(ROUND(ABS(J149-I149),2)&lt;=0.02,"TRUE","FALSE")</f>
        <v>TRUE</v>
      </c>
    </row>
    <row r="150" customFormat="false" ht="15" hidden="false" customHeight="false" outlineLevel="0" collapsed="false">
      <c r="A150" s="2" t="s">
        <v>10</v>
      </c>
      <c r="B150" s="2" t="s">
        <v>726</v>
      </c>
      <c r="C150" s="2" t="s">
        <v>727</v>
      </c>
      <c r="D150" s="2" t="s">
        <v>728</v>
      </c>
      <c r="E150" s="2" t="s">
        <v>729</v>
      </c>
      <c r="F150" s="2" t="s">
        <v>730</v>
      </c>
      <c r="G150" s="4" t="n">
        <v>111.41</v>
      </c>
      <c r="H150" s="4" t="n">
        <v>10.13</v>
      </c>
      <c r="I150" s="4" t="n">
        <v>101.28</v>
      </c>
      <c r="J150" s="4" t="n">
        <v>101.28</v>
      </c>
      <c r="K150" s="2" t="n">
        <v>4</v>
      </c>
      <c r="L150" s="2" t="s">
        <v>56</v>
      </c>
      <c r="M150" s="2" t="s">
        <v>57</v>
      </c>
      <c r="N150" s="2" t="s">
        <v>731</v>
      </c>
      <c r="O150" s="2" t="s">
        <v>217</v>
      </c>
      <c r="P150" s="2" t="s">
        <v>732</v>
      </c>
      <c r="Q150" s="2" t="str">
        <f aca="false">IF(ROUND(ABS(J150-I150),2)&lt;=0.02,"TRUE","FALSE")</f>
        <v>TRUE</v>
      </c>
    </row>
    <row r="151" customFormat="false" ht="15" hidden="false" customHeight="false" outlineLevel="0" collapsed="false">
      <c r="A151" s="2" t="s">
        <v>10</v>
      </c>
      <c r="B151" s="2" t="s">
        <v>647</v>
      </c>
      <c r="C151" s="2" t="s">
        <v>648</v>
      </c>
      <c r="D151" s="2" t="s">
        <v>733</v>
      </c>
      <c r="E151" s="2" t="s">
        <v>650</v>
      </c>
      <c r="F151" s="2" t="s">
        <v>651</v>
      </c>
      <c r="G151" s="4" t="n">
        <v>148.21</v>
      </c>
      <c r="H151" s="4" t="n">
        <v>13.48</v>
      </c>
      <c r="I151" s="4" t="n">
        <v>134.73</v>
      </c>
      <c r="J151" s="4" t="n">
        <v>134.73</v>
      </c>
      <c r="K151" s="2" t="n">
        <v>4</v>
      </c>
      <c r="L151" s="2" t="s">
        <v>56</v>
      </c>
      <c r="M151" s="2" t="s">
        <v>57</v>
      </c>
      <c r="N151" s="2"/>
      <c r="O151" s="2" t="s">
        <v>58</v>
      </c>
      <c r="P151" s="2" t="s">
        <v>734</v>
      </c>
      <c r="Q151" s="2" t="str">
        <f aca="false">IF(ROUND(ABS(J151-I151),2)&lt;=0.02,"TRUE","FALSE")</f>
        <v>TRUE</v>
      </c>
    </row>
    <row r="152" customFormat="false" ht="15" hidden="false" customHeight="false" outlineLevel="0" collapsed="false">
      <c r="A152" s="2" t="s">
        <v>30</v>
      </c>
      <c r="B152" s="2" t="s">
        <v>696</v>
      </c>
      <c r="C152" s="2" t="s">
        <v>697</v>
      </c>
      <c r="D152" s="2" t="s">
        <v>735</v>
      </c>
      <c r="E152" s="2" t="s">
        <v>699</v>
      </c>
      <c r="F152" s="2" t="s">
        <v>700</v>
      </c>
      <c r="G152" s="4" t="n">
        <v>93.06</v>
      </c>
      <c r="H152" s="4" t="n">
        <v>8.46</v>
      </c>
      <c r="I152" s="4" t="n">
        <v>84.6</v>
      </c>
      <c r="J152" s="4" t="n">
        <v>84.6</v>
      </c>
      <c r="K152" s="2" t="n">
        <v>4</v>
      </c>
      <c r="L152" s="2" t="s">
        <v>56</v>
      </c>
      <c r="M152" s="2" t="s">
        <v>57</v>
      </c>
      <c r="N152" s="2" t="s">
        <v>701</v>
      </c>
      <c r="O152" s="2" t="s">
        <v>66</v>
      </c>
      <c r="P152" s="2" t="s">
        <v>736</v>
      </c>
      <c r="Q152" s="2" t="str">
        <f aca="false">IF(ROUND(ABS(J152-I152),2)&lt;=0.02,"TRUE","FALSE")</f>
        <v>TRUE</v>
      </c>
    </row>
    <row r="153" customFormat="false" ht="15" hidden="false" customHeight="false" outlineLevel="0" collapsed="false">
      <c r="A153" s="2" t="s">
        <v>10</v>
      </c>
      <c r="B153" s="2" t="s">
        <v>608</v>
      </c>
      <c r="C153" s="2" t="s">
        <v>609</v>
      </c>
      <c r="D153" s="2" t="s">
        <v>737</v>
      </c>
      <c r="E153" s="2" t="s">
        <v>611</v>
      </c>
      <c r="F153" s="2" t="s">
        <v>612</v>
      </c>
      <c r="G153" s="4" t="n">
        <v>93.71</v>
      </c>
      <c r="H153" s="4" t="n">
        <v>8.52</v>
      </c>
      <c r="I153" s="4" t="n">
        <v>85.19</v>
      </c>
      <c r="J153" s="4" t="n">
        <v>85.19</v>
      </c>
      <c r="K153" s="2" t="n">
        <v>2</v>
      </c>
      <c r="L153" s="2" t="s">
        <v>56</v>
      </c>
      <c r="M153" s="2" t="s">
        <v>57</v>
      </c>
      <c r="N153" s="2" t="s">
        <v>613</v>
      </c>
      <c r="O153" s="2" t="s">
        <v>66</v>
      </c>
      <c r="P153" s="2" t="s">
        <v>738</v>
      </c>
      <c r="Q153" s="2" t="str">
        <f aca="false">IF(ROUND(ABS(J153-I153),2)&lt;=0.02,"TRUE","FALSE")</f>
        <v>TRUE</v>
      </c>
    </row>
    <row r="154" customFormat="false" ht="15" hidden="false" customHeight="false" outlineLevel="0" collapsed="false">
      <c r="A154" s="2" t="s">
        <v>22</v>
      </c>
      <c r="B154" s="2" t="s">
        <v>726</v>
      </c>
      <c r="C154" s="2" t="s">
        <v>727</v>
      </c>
      <c r="D154" s="2" t="s">
        <v>739</v>
      </c>
      <c r="E154" s="2" t="s">
        <v>729</v>
      </c>
      <c r="F154" s="2" t="s">
        <v>730</v>
      </c>
      <c r="G154" s="4" t="n">
        <v>115.8</v>
      </c>
      <c r="H154" s="4" t="n">
        <v>10.53</v>
      </c>
      <c r="I154" s="4" t="n">
        <v>105.27</v>
      </c>
      <c r="J154" s="4" t="n">
        <v>105.27</v>
      </c>
      <c r="K154" s="2" t="n">
        <v>4</v>
      </c>
      <c r="L154" s="2" t="s">
        <v>56</v>
      </c>
      <c r="M154" s="2" t="s">
        <v>57</v>
      </c>
      <c r="N154" s="2" t="s">
        <v>731</v>
      </c>
      <c r="O154" s="2" t="s">
        <v>217</v>
      </c>
      <c r="P154" s="2" t="s">
        <v>740</v>
      </c>
      <c r="Q154" s="2" t="str">
        <f aca="false">IF(ROUND(ABS(J154-I154),2)&lt;=0.02,"TRUE","FALSE")</f>
        <v>TRUE</v>
      </c>
    </row>
    <row r="155" customFormat="false" ht="15" hidden="false" customHeight="false" outlineLevel="0" collapsed="false">
      <c r="A155" s="2" t="s">
        <v>22</v>
      </c>
      <c r="B155" s="2" t="s">
        <v>741</v>
      </c>
      <c r="C155" s="2" t="s">
        <v>742</v>
      </c>
      <c r="D155" s="2" t="s">
        <v>743</v>
      </c>
      <c r="E155" s="2" t="s">
        <v>744</v>
      </c>
      <c r="F155" s="2" t="s">
        <v>744</v>
      </c>
      <c r="G155" s="4" t="n">
        <v>127.66</v>
      </c>
      <c r="H155" s="4" t="n">
        <v>11.61</v>
      </c>
      <c r="I155" s="4" t="n">
        <v>116.05</v>
      </c>
      <c r="J155" s="4" t="n">
        <v>116.05</v>
      </c>
      <c r="K155" s="2" t="n">
        <v>4</v>
      </c>
      <c r="L155" s="2" t="s">
        <v>56</v>
      </c>
      <c r="M155" s="2" t="s">
        <v>57</v>
      </c>
      <c r="N155" s="2" t="s">
        <v>745</v>
      </c>
      <c r="O155" s="2" t="s">
        <v>66</v>
      </c>
      <c r="P155" s="2" t="s">
        <v>746</v>
      </c>
      <c r="Q155" s="2" t="str">
        <f aca="false">IF(ROUND(ABS(J155-I155),2)&lt;=0.02,"TRUE","FALSE")</f>
        <v>TRUE</v>
      </c>
    </row>
    <row r="156" customFormat="false" ht="15" hidden="false" customHeight="false" outlineLevel="0" collapsed="false">
      <c r="A156" s="2" t="s">
        <v>18</v>
      </c>
      <c r="B156" s="2" t="s">
        <v>532</v>
      </c>
      <c r="C156" s="2" t="s">
        <v>533</v>
      </c>
      <c r="D156" s="2" t="s">
        <v>747</v>
      </c>
      <c r="E156" s="2" t="s">
        <v>535</v>
      </c>
      <c r="F156" s="2" t="s">
        <v>536</v>
      </c>
      <c r="G156" s="4" t="n">
        <v>128.33</v>
      </c>
      <c r="H156" s="4" t="n">
        <v>11.67</v>
      </c>
      <c r="I156" s="4" t="n">
        <v>116.66</v>
      </c>
      <c r="J156" s="4" t="n">
        <v>116.66</v>
      </c>
      <c r="K156" s="2" t="n">
        <v>3</v>
      </c>
      <c r="L156" s="2" t="s">
        <v>56</v>
      </c>
      <c r="M156" s="2" t="s">
        <v>57</v>
      </c>
      <c r="N156" s="2" t="s">
        <v>537</v>
      </c>
      <c r="O156" s="2" t="s">
        <v>66</v>
      </c>
      <c r="P156" s="2" t="s">
        <v>748</v>
      </c>
      <c r="Q156" s="2" t="str">
        <f aca="false">IF(ROUND(ABS(J156-I156),2)&lt;=0.02,"TRUE","FALSE")</f>
        <v>TRUE</v>
      </c>
    </row>
    <row r="157" customFormat="false" ht="15" hidden="false" customHeight="false" outlineLevel="0" collapsed="false">
      <c r="A157" s="2" t="s">
        <v>22</v>
      </c>
      <c r="B157" s="2" t="s">
        <v>749</v>
      </c>
      <c r="C157" s="2" t="s">
        <v>750</v>
      </c>
      <c r="D157" s="2" t="s">
        <v>751</v>
      </c>
      <c r="E157" s="2" t="s">
        <v>752</v>
      </c>
      <c r="F157" s="2" t="s">
        <v>753</v>
      </c>
      <c r="G157" s="4" t="n">
        <v>113.86</v>
      </c>
      <c r="H157" s="4" t="n">
        <v>10.36</v>
      </c>
      <c r="I157" s="4" t="n">
        <v>103.5</v>
      </c>
      <c r="J157" s="4" t="n">
        <v>103.5</v>
      </c>
      <c r="K157" s="2" t="n">
        <v>5</v>
      </c>
      <c r="L157" s="2" t="s">
        <v>56</v>
      </c>
      <c r="M157" s="2" t="s">
        <v>57</v>
      </c>
      <c r="N157" s="2" t="s">
        <v>754</v>
      </c>
      <c r="O157" s="2" t="s">
        <v>66</v>
      </c>
      <c r="P157" s="2" t="s">
        <v>755</v>
      </c>
      <c r="Q157" s="2" t="str">
        <f aca="false">IF(ROUND(ABS(J157-I157),2)&lt;=0.02,"TRUE","FALSE")</f>
        <v>TRUE</v>
      </c>
    </row>
    <row r="158" customFormat="false" ht="15" hidden="false" customHeight="false" outlineLevel="0" collapsed="false">
      <c r="A158" s="2" t="s">
        <v>22</v>
      </c>
      <c r="B158" s="2" t="s">
        <v>756</v>
      </c>
      <c r="C158" s="2" t="s">
        <v>757</v>
      </c>
      <c r="D158" s="2" t="s">
        <v>758</v>
      </c>
      <c r="E158" s="2" t="s">
        <v>759</v>
      </c>
      <c r="F158" s="2" t="s">
        <v>760</v>
      </c>
      <c r="G158" s="4" t="n">
        <v>125.92</v>
      </c>
      <c r="H158" s="4" t="n">
        <v>11.46</v>
      </c>
      <c r="I158" s="4" t="n">
        <v>114.46</v>
      </c>
      <c r="J158" s="4" t="n">
        <v>114.46</v>
      </c>
      <c r="K158" s="2" t="n">
        <v>4</v>
      </c>
      <c r="L158" s="2" t="s">
        <v>56</v>
      </c>
      <c r="M158" s="2" t="s">
        <v>57</v>
      </c>
      <c r="N158" s="2" t="s">
        <v>761</v>
      </c>
      <c r="O158" s="2" t="s">
        <v>104</v>
      </c>
      <c r="P158" s="2" t="s">
        <v>762</v>
      </c>
      <c r="Q158" s="2" t="str">
        <f aca="false">IF(ROUND(ABS(J158-I158),2)&lt;=0.02,"TRUE","FALSE")</f>
        <v>TRUE</v>
      </c>
    </row>
    <row r="159" customFormat="false" ht="15" hidden="false" customHeight="false" outlineLevel="0" collapsed="false">
      <c r="A159" s="2" t="s">
        <v>22</v>
      </c>
      <c r="B159" s="2" t="s">
        <v>763</v>
      </c>
      <c r="C159" s="2" t="s">
        <v>764</v>
      </c>
      <c r="D159" s="2" t="s">
        <v>765</v>
      </c>
      <c r="E159" s="2" t="s">
        <v>766</v>
      </c>
      <c r="F159" s="2" t="s">
        <v>766</v>
      </c>
      <c r="G159" s="4" t="n">
        <v>122.2</v>
      </c>
      <c r="H159" s="4" t="n">
        <v>11.12</v>
      </c>
      <c r="I159" s="4" t="n">
        <v>111.08</v>
      </c>
      <c r="J159" s="4" t="n">
        <v>111.08</v>
      </c>
      <c r="K159" s="2" t="n">
        <v>4</v>
      </c>
      <c r="L159" s="2" t="s">
        <v>56</v>
      </c>
      <c r="M159" s="2" t="s">
        <v>57</v>
      </c>
      <c r="N159" s="2" t="s">
        <v>767</v>
      </c>
      <c r="O159" s="2" t="s">
        <v>104</v>
      </c>
      <c r="P159" s="2" t="s">
        <v>768</v>
      </c>
      <c r="Q159" s="2" t="str">
        <f aca="false">IF(ROUND(ABS(J159-I159),2)&lt;=0.02,"TRUE","FALSE")</f>
        <v>TRUE</v>
      </c>
    </row>
    <row r="160" customFormat="false" ht="15" hidden="false" customHeight="false" outlineLevel="0" collapsed="false">
      <c r="A160" s="2" t="s">
        <v>10</v>
      </c>
      <c r="B160" s="2" t="s">
        <v>749</v>
      </c>
      <c r="C160" s="2" t="s">
        <v>750</v>
      </c>
      <c r="D160" s="2" t="s">
        <v>769</v>
      </c>
      <c r="E160" s="2" t="s">
        <v>752</v>
      </c>
      <c r="F160" s="2" t="s">
        <v>753</v>
      </c>
      <c r="G160" s="4" t="n">
        <v>97.64</v>
      </c>
      <c r="H160" s="4" t="n">
        <v>8.88</v>
      </c>
      <c r="I160" s="4" t="n">
        <v>88.76</v>
      </c>
      <c r="J160" s="4" t="n">
        <v>88.76</v>
      </c>
      <c r="K160" s="2" t="n">
        <v>4</v>
      </c>
      <c r="L160" s="2" t="s">
        <v>56</v>
      </c>
      <c r="M160" s="2" t="s">
        <v>57</v>
      </c>
      <c r="N160" s="2" t="s">
        <v>754</v>
      </c>
      <c r="O160" s="2" t="s">
        <v>66</v>
      </c>
      <c r="P160" s="2" t="s">
        <v>770</v>
      </c>
      <c r="Q160" s="2" t="str">
        <f aca="false">IF(ROUND(ABS(J160-I160),2)&lt;=0.02,"TRUE","FALSE")</f>
        <v>TRUE</v>
      </c>
    </row>
    <row r="161" customFormat="false" ht="15" hidden="false" customHeight="false" outlineLevel="0" collapsed="false">
      <c r="A161" s="2" t="s">
        <v>10</v>
      </c>
      <c r="B161" s="2" t="s">
        <v>741</v>
      </c>
      <c r="C161" s="2" t="s">
        <v>742</v>
      </c>
      <c r="D161" s="2" t="s">
        <v>771</v>
      </c>
      <c r="E161" s="2" t="s">
        <v>744</v>
      </c>
      <c r="F161" s="2" t="s">
        <v>744</v>
      </c>
      <c r="G161" s="4" t="n">
        <v>120.05</v>
      </c>
      <c r="H161" s="4" t="n">
        <v>10.91</v>
      </c>
      <c r="I161" s="4" t="n">
        <v>109.14</v>
      </c>
      <c r="J161" s="4" t="n">
        <v>109.14</v>
      </c>
      <c r="K161" s="2" t="n">
        <v>4</v>
      </c>
      <c r="L161" s="2" t="s">
        <v>56</v>
      </c>
      <c r="M161" s="2" t="s">
        <v>57</v>
      </c>
      <c r="N161" s="2" t="s">
        <v>745</v>
      </c>
      <c r="O161" s="2" t="s">
        <v>66</v>
      </c>
      <c r="P161" s="2" t="s">
        <v>772</v>
      </c>
      <c r="Q161" s="2" t="str">
        <f aca="false">IF(ROUND(ABS(J161-I161),2)&lt;=0.02,"TRUE","FALSE")</f>
        <v>TRUE</v>
      </c>
    </row>
    <row r="162" customFormat="false" ht="15" hidden="false" customHeight="false" outlineLevel="0" collapsed="false">
      <c r="A162" s="2" t="s">
        <v>22</v>
      </c>
      <c r="B162" s="2" t="s">
        <v>773</v>
      </c>
      <c r="C162" s="2" t="s">
        <v>774</v>
      </c>
      <c r="D162" s="2" t="s">
        <v>775</v>
      </c>
      <c r="E162" s="2" t="s">
        <v>776</v>
      </c>
      <c r="F162" s="2" t="s">
        <v>776</v>
      </c>
      <c r="G162" s="4" t="n">
        <v>112.88</v>
      </c>
      <c r="H162" s="4" t="n">
        <v>10.26</v>
      </c>
      <c r="I162" s="4" t="n">
        <v>102.62</v>
      </c>
      <c r="J162" s="4" t="n">
        <v>102.62</v>
      </c>
      <c r="K162" s="2" t="n">
        <v>4</v>
      </c>
      <c r="L162" s="2" t="s">
        <v>56</v>
      </c>
      <c r="M162" s="2" t="s">
        <v>57</v>
      </c>
      <c r="N162" s="2"/>
      <c r="O162" s="2" t="s">
        <v>58</v>
      </c>
      <c r="P162" s="2" t="s">
        <v>777</v>
      </c>
      <c r="Q162" s="2" t="str">
        <f aca="false">IF(ROUND(ABS(J162-I162),2)&lt;=0.02,"TRUE","FALSE")</f>
        <v>TRUE</v>
      </c>
    </row>
    <row r="163" customFormat="false" ht="15" hidden="false" customHeight="false" outlineLevel="0" collapsed="false">
      <c r="A163" s="2" t="s">
        <v>22</v>
      </c>
      <c r="B163" s="2" t="s">
        <v>778</v>
      </c>
      <c r="C163" s="2" t="s">
        <v>779</v>
      </c>
      <c r="D163" s="2" t="s">
        <v>780</v>
      </c>
      <c r="E163" s="2" t="s">
        <v>781</v>
      </c>
      <c r="F163" s="2" t="s">
        <v>782</v>
      </c>
      <c r="G163" s="4" t="n">
        <v>112.95</v>
      </c>
      <c r="H163" s="4" t="n">
        <v>10.27</v>
      </c>
      <c r="I163" s="4" t="n">
        <v>102.68</v>
      </c>
      <c r="J163" s="4" t="n">
        <v>102.68</v>
      </c>
      <c r="K163" s="2" t="n">
        <v>4</v>
      </c>
      <c r="L163" s="2" t="s">
        <v>56</v>
      </c>
      <c r="M163" s="2" t="s">
        <v>57</v>
      </c>
      <c r="N163" s="2" t="s">
        <v>783</v>
      </c>
      <c r="O163" s="2" t="s">
        <v>66</v>
      </c>
      <c r="P163" s="2" t="s">
        <v>784</v>
      </c>
      <c r="Q163" s="2" t="str">
        <f aca="false">IF(ROUND(ABS(J163-I163),2)&lt;=0.02,"TRUE","FALSE")</f>
        <v>TRUE</v>
      </c>
    </row>
    <row r="164" customFormat="false" ht="15" hidden="false" customHeight="false" outlineLevel="0" collapsed="false">
      <c r="A164" s="2" t="s">
        <v>22</v>
      </c>
      <c r="B164" s="2" t="s">
        <v>785</v>
      </c>
      <c r="C164" s="2" t="s">
        <v>786</v>
      </c>
      <c r="D164" s="2" t="s">
        <v>787</v>
      </c>
      <c r="E164" s="2" t="s">
        <v>788</v>
      </c>
      <c r="F164" s="2" t="s">
        <v>789</v>
      </c>
      <c r="G164" s="4" t="n">
        <v>143.43</v>
      </c>
      <c r="H164" s="4" t="n">
        <v>13.05</v>
      </c>
      <c r="I164" s="4" t="n">
        <v>130.38</v>
      </c>
      <c r="J164" s="4" t="n">
        <v>130.38</v>
      </c>
      <c r="K164" s="2" t="n">
        <v>4</v>
      </c>
      <c r="L164" s="2" t="s">
        <v>56</v>
      </c>
      <c r="M164" s="2" t="s">
        <v>57</v>
      </c>
      <c r="N164" s="2" t="s">
        <v>665</v>
      </c>
      <c r="O164" s="2" t="s">
        <v>66</v>
      </c>
      <c r="P164" s="2" t="s">
        <v>790</v>
      </c>
      <c r="Q164" s="2" t="str">
        <f aca="false">IF(ROUND(ABS(J164-I164),2)&lt;=0.02,"TRUE","FALSE")</f>
        <v>TRUE</v>
      </c>
    </row>
    <row r="165" customFormat="false" ht="15" hidden="false" customHeight="false" outlineLevel="0" collapsed="false">
      <c r="A165" s="2" t="s">
        <v>22</v>
      </c>
      <c r="B165" s="2" t="s">
        <v>791</v>
      </c>
      <c r="C165" s="2" t="s">
        <v>792</v>
      </c>
      <c r="D165" s="2" t="s">
        <v>793</v>
      </c>
      <c r="E165" s="2" t="s">
        <v>794</v>
      </c>
      <c r="F165" s="2" t="s">
        <v>795</v>
      </c>
      <c r="G165" s="4" t="n">
        <v>128.66</v>
      </c>
      <c r="H165" s="4" t="n">
        <v>11.71</v>
      </c>
      <c r="I165" s="4" t="n">
        <v>116.95</v>
      </c>
      <c r="J165" s="4" t="n">
        <v>116.95</v>
      </c>
      <c r="K165" s="2" t="n">
        <v>6</v>
      </c>
      <c r="L165" s="2" t="s">
        <v>56</v>
      </c>
      <c r="M165" s="2" t="s">
        <v>57</v>
      </c>
      <c r="N165" s="2" t="s">
        <v>796</v>
      </c>
      <c r="O165" s="2" t="s">
        <v>66</v>
      </c>
      <c r="P165" s="2" t="s">
        <v>797</v>
      </c>
      <c r="Q165" s="2" t="str">
        <f aca="false">IF(ROUND(ABS(J165-I165),2)&lt;=0.02,"TRUE","FALSE")</f>
        <v>TRUE</v>
      </c>
    </row>
    <row r="166" customFormat="false" ht="15" hidden="false" customHeight="false" outlineLevel="0" collapsed="false">
      <c r="A166" s="2" t="s">
        <v>10</v>
      </c>
      <c r="B166" s="2" t="s">
        <v>703</v>
      </c>
      <c r="C166" s="2" t="s">
        <v>704</v>
      </c>
      <c r="D166" s="2" t="s">
        <v>798</v>
      </c>
      <c r="E166" s="2" t="s">
        <v>706</v>
      </c>
      <c r="F166" s="2" t="s">
        <v>707</v>
      </c>
      <c r="G166" s="4" t="n">
        <v>102.76</v>
      </c>
      <c r="H166" s="4" t="n">
        <v>9.35</v>
      </c>
      <c r="I166" s="4" t="n">
        <v>93.41</v>
      </c>
      <c r="J166" s="4" t="n">
        <v>93.41</v>
      </c>
      <c r="K166" s="2" t="n">
        <v>4</v>
      </c>
      <c r="L166" s="2" t="s">
        <v>56</v>
      </c>
      <c r="M166" s="2" t="s">
        <v>57</v>
      </c>
      <c r="N166" s="2"/>
      <c r="O166" s="2" t="s">
        <v>58</v>
      </c>
      <c r="P166" s="2" t="s">
        <v>799</v>
      </c>
      <c r="Q166" s="2" t="str">
        <f aca="false">IF(ROUND(ABS(J166-I166),2)&lt;=0.02,"TRUE","FALSE")</f>
        <v>TRUE</v>
      </c>
    </row>
    <row r="167" customFormat="false" ht="15" hidden="false" customHeight="false" outlineLevel="0" collapsed="false">
      <c r="A167" s="2" t="s">
        <v>10</v>
      </c>
      <c r="B167" s="2" t="s">
        <v>763</v>
      </c>
      <c r="C167" s="2" t="s">
        <v>764</v>
      </c>
      <c r="D167" s="2" t="s">
        <v>800</v>
      </c>
      <c r="E167" s="2" t="s">
        <v>766</v>
      </c>
      <c r="F167" s="2" t="s">
        <v>766</v>
      </c>
      <c r="G167" s="4" t="n">
        <v>141.34</v>
      </c>
      <c r="H167" s="4" t="n">
        <v>12.85</v>
      </c>
      <c r="I167" s="4" t="n">
        <v>128.49</v>
      </c>
      <c r="J167" s="4" t="n">
        <v>128.49</v>
      </c>
      <c r="K167" s="2" t="n">
        <v>4</v>
      </c>
      <c r="L167" s="2" t="s">
        <v>56</v>
      </c>
      <c r="M167" s="2" t="s">
        <v>57</v>
      </c>
      <c r="N167" s="2" t="s">
        <v>767</v>
      </c>
      <c r="O167" s="2" t="s">
        <v>104</v>
      </c>
      <c r="P167" s="2" t="s">
        <v>801</v>
      </c>
      <c r="Q167" s="2" t="str">
        <f aca="false">IF(ROUND(ABS(J167-I167),2)&lt;=0.02,"TRUE","FALSE")</f>
        <v>TRUE</v>
      </c>
    </row>
    <row r="168" customFormat="false" ht="15" hidden="false" customHeight="false" outlineLevel="0" collapsed="false">
      <c r="A168" s="2" t="s">
        <v>30</v>
      </c>
      <c r="B168" s="2" t="s">
        <v>660</v>
      </c>
      <c r="C168" s="2" t="s">
        <v>661</v>
      </c>
      <c r="D168" s="2" t="s">
        <v>802</v>
      </c>
      <c r="E168" s="2" t="s">
        <v>663</v>
      </c>
      <c r="F168" s="2" t="s">
        <v>664</v>
      </c>
      <c r="G168" s="4" t="n">
        <v>86.83</v>
      </c>
      <c r="H168" s="4" t="n">
        <v>7.9</v>
      </c>
      <c r="I168" s="4" t="n">
        <v>78.93</v>
      </c>
      <c r="J168" s="4" t="n">
        <v>78.93</v>
      </c>
      <c r="K168" s="2" t="n">
        <v>2</v>
      </c>
      <c r="L168" s="2" t="s">
        <v>56</v>
      </c>
      <c r="M168" s="2" t="s">
        <v>57</v>
      </c>
      <c r="N168" s="2" t="s">
        <v>665</v>
      </c>
      <c r="O168" s="2" t="s">
        <v>66</v>
      </c>
      <c r="P168" s="2" t="s">
        <v>803</v>
      </c>
      <c r="Q168" s="2" t="str">
        <f aca="false">IF(ROUND(ABS(J168-I168),2)&lt;=0.02,"TRUE","FALSE")</f>
        <v>TRUE</v>
      </c>
    </row>
    <row r="169" customFormat="false" ht="15" hidden="false" customHeight="false" outlineLevel="0" collapsed="false">
      <c r="A169" s="2" t="s">
        <v>22</v>
      </c>
      <c r="B169" s="2" t="s">
        <v>804</v>
      </c>
      <c r="C169" s="2" t="s">
        <v>805</v>
      </c>
      <c r="D169" s="2" t="s">
        <v>806</v>
      </c>
      <c r="E169" s="2" t="s">
        <v>807</v>
      </c>
      <c r="F169" s="2" t="s">
        <v>808</v>
      </c>
      <c r="G169" s="4" t="n">
        <v>111.78</v>
      </c>
      <c r="H169" s="4" t="n">
        <v>10.16</v>
      </c>
      <c r="I169" s="4" t="n">
        <v>101.62</v>
      </c>
      <c r="J169" s="4" t="n">
        <v>101.62</v>
      </c>
      <c r="K169" s="2" t="n">
        <v>4</v>
      </c>
      <c r="L169" s="2" t="s">
        <v>56</v>
      </c>
      <c r="M169" s="2" t="s">
        <v>57</v>
      </c>
      <c r="N169" s="2" t="s">
        <v>809</v>
      </c>
      <c r="O169" s="2" t="s">
        <v>66</v>
      </c>
      <c r="P169" s="2" t="s">
        <v>810</v>
      </c>
      <c r="Q169" s="2" t="str">
        <f aca="false">IF(ROUND(ABS(J169-I169),2)&lt;=0.02,"TRUE","FALSE")</f>
        <v>TRUE</v>
      </c>
    </row>
    <row r="170" customFormat="false" ht="15" hidden="false" customHeight="false" outlineLevel="0" collapsed="false">
      <c r="A170" s="2" t="s">
        <v>10</v>
      </c>
      <c r="B170" s="2" t="s">
        <v>615</v>
      </c>
      <c r="C170" s="2" t="s">
        <v>616</v>
      </c>
      <c r="D170" s="2" t="s">
        <v>811</v>
      </c>
      <c r="E170" s="2" t="s">
        <v>618</v>
      </c>
      <c r="F170" s="2" t="s">
        <v>619</v>
      </c>
      <c r="G170" s="4" t="n">
        <v>89.1</v>
      </c>
      <c r="H170" s="4" t="n">
        <v>8.1</v>
      </c>
      <c r="I170" s="4" t="n">
        <v>81</v>
      </c>
      <c r="J170" s="4" t="n">
        <v>81</v>
      </c>
      <c r="K170" s="2" t="n">
        <v>4</v>
      </c>
      <c r="L170" s="2" t="s">
        <v>56</v>
      </c>
      <c r="M170" s="2" t="s">
        <v>57</v>
      </c>
      <c r="N170" s="2" t="s">
        <v>620</v>
      </c>
      <c r="O170" s="2" t="s">
        <v>104</v>
      </c>
      <c r="P170" s="2" t="s">
        <v>812</v>
      </c>
      <c r="Q170" s="2" t="str">
        <f aca="false">IF(ROUND(ABS(J170-I170),2)&lt;=0.02,"TRUE","FALSE")</f>
        <v>TRUE</v>
      </c>
    </row>
    <row r="171" customFormat="false" ht="15" hidden="false" customHeight="false" outlineLevel="0" collapsed="false">
      <c r="A171" s="2" t="s">
        <v>18</v>
      </c>
      <c r="B171" s="2" t="s">
        <v>718</v>
      </c>
      <c r="C171" s="2" t="s">
        <v>719</v>
      </c>
      <c r="D171" s="2" t="s">
        <v>813</v>
      </c>
      <c r="E171" s="2" t="s">
        <v>721</v>
      </c>
      <c r="F171" s="2" t="s">
        <v>722</v>
      </c>
      <c r="G171" s="4" t="n">
        <v>149.65</v>
      </c>
      <c r="H171" s="4" t="n">
        <v>13.61</v>
      </c>
      <c r="I171" s="4" t="n">
        <v>136.04</v>
      </c>
      <c r="J171" s="4" t="n">
        <v>136.04</v>
      </c>
      <c r="K171" s="2" t="n">
        <v>4</v>
      </c>
      <c r="L171" s="2" t="s">
        <v>56</v>
      </c>
      <c r="M171" s="2" t="s">
        <v>57</v>
      </c>
      <c r="N171" s="2" t="s">
        <v>170</v>
      </c>
      <c r="O171" s="2" t="s">
        <v>148</v>
      </c>
      <c r="P171" s="2" t="s">
        <v>814</v>
      </c>
      <c r="Q171" s="2" t="str">
        <f aca="false">IF(ROUND(ABS(J171-I171),2)&lt;=0.02,"TRUE","FALSE")</f>
        <v>TRUE</v>
      </c>
    </row>
    <row r="172" customFormat="false" ht="15" hidden="false" customHeight="false" outlineLevel="0" collapsed="false">
      <c r="A172" s="2" t="s">
        <v>10</v>
      </c>
      <c r="B172" s="2" t="s">
        <v>815</v>
      </c>
      <c r="C172" s="2" t="s">
        <v>816</v>
      </c>
      <c r="D172" s="2" t="s">
        <v>817</v>
      </c>
      <c r="E172" s="2" t="s">
        <v>818</v>
      </c>
      <c r="F172" s="2" t="s">
        <v>819</v>
      </c>
      <c r="G172" s="4" t="n">
        <v>89.44</v>
      </c>
      <c r="H172" s="4" t="n">
        <v>8.14</v>
      </c>
      <c r="I172" s="4" t="n">
        <v>81.3</v>
      </c>
      <c r="J172" s="4" t="n">
        <v>81.3</v>
      </c>
      <c r="K172" s="2" t="n">
        <v>2</v>
      </c>
      <c r="L172" s="2" t="s">
        <v>56</v>
      </c>
      <c r="M172" s="2" t="s">
        <v>57</v>
      </c>
      <c r="N172" s="2"/>
      <c r="O172" s="2" t="s">
        <v>58</v>
      </c>
      <c r="P172" s="2" t="s">
        <v>820</v>
      </c>
      <c r="Q172" s="2" t="str">
        <f aca="false">IF(ROUND(ABS(J172-I172),2)&lt;=0.02,"TRUE","FALSE")</f>
        <v>TRUE</v>
      </c>
    </row>
    <row r="173" customFormat="false" ht="15" hidden="false" customHeight="false" outlineLevel="0" collapsed="false">
      <c r="A173" s="2" t="s">
        <v>14</v>
      </c>
      <c r="B173" s="2" t="s">
        <v>821</v>
      </c>
      <c r="C173" s="2" t="s">
        <v>822</v>
      </c>
      <c r="D173" s="2" t="s">
        <v>823</v>
      </c>
      <c r="E173" s="2" t="s">
        <v>824</v>
      </c>
      <c r="F173" s="2" t="s">
        <v>825</v>
      </c>
      <c r="G173" s="4" t="n">
        <v>89.42</v>
      </c>
      <c r="H173" s="4" t="n">
        <v>8.13</v>
      </c>
      <c r="I173" s="4" t="n">
        <v>81.29</v>
      </c>
      <c r="J173" s="4" t="n">
        <v>81.29</v>
      </c>
      <c r="K173" s="2" t="n">
        <v>2</v>
      </c>
      <c r="L173" s="2" t="s">
        <v>56</v>
      </c>
      <c r="M173" s="2" t="s">
        <v>57</v>
      </c>
      <c r="N173" s="2" t="s">
        <v>826</v>
      </c>
      <c r="O173" s="2" t="s">
        <v>66</v>
      </c>
      <c r="P173" s="2" t="s">
        <v>827</v>
      </c>
      <c r="Q173" s="2" t="str">
        <f aca="false">IF(ROUND(ABS(J173-I173),2)&lt;=0.02,"TRUE","FALSE")</f>
        <v>TRUE</v>
      </c>
    </row>
    <row r="174" customFormat="false" ht="15" hidden="false" customHeight="false" outlineLevel="0" collapsed="false">
      <c r="A174" s="2" t="s">
        <v>26</v>
      </c>
      <c r="B174" s="2" t="s">
        <v>518</v>
      </c>
      <c r="C174" s="2" t="s">
        <v>519</v>
      </c>
      <c r="D174" s="2" t="s">
        <v>828</v>
      </c>
      <c r="E174" s="2" t="s">
        <v>521</v>
      </c>
      <c r="F174" s="2" t="s">
        <v>522</v>
      </c>
      <c r="G174" s="4" t="n">
        <v>87.28</v>
      </c>
      <c r="H174" s="4" t="n">
        <v>7.93</v>
      </c>
      <c r="I174" s="4" t="n">
        <v>79.35</v>
      </c>
      <c r="J174" s="4" t="n">
        <v>79.35</v>
      </c>
      <c r="K174" s="2" t="n">
        <v>2</v>
      </c>
      <c r="L174" s="2" t="s">
        <v>56</v>
      </c>
      <c r="M174" s="2" t="s">
        <v>57</v>
      </c>
      <c r="N174" s="2" t="s">
        <v>523</v>
      </c>
      <c r="O174" s="2" t="s">
        <v>66</v>
      </c>
      <c r="P174" s="2" t="s">
        <v>829</v>
      </c>
      <c r="Q174" s="2" t="str">
        <f aca="false">IF(ROUND(ABS(J174-I174),2)&lt;=0.02,"TRUE","FALSE")</f>
        <v>TRUE</v>
      </c>
    </row>
    <row r="175" customFormat="false" ht="15" hidden="false" customHeight="false" outlineLevel="0" collapsed="false">
      <c r="A175" s="2" t="s">
        <v>10</v>
      </c>
      <c r="B175" s="2" t="s">
        <v>785</v>
      </c>
      <c r="C175" s="2" t="s">
        <v>786</v>
      </c>
      <c r="D175" s="2" t="s">
        <v>830</v>
      </c>
      <c r="E175" s="2" t="s">
        <v>788</v>
      </c>
      <c r="F175" s="2" t="s">
        <v>789</v>
      </c>
      <c r="G175" s="4" t="n">
        <v>119.98</v>
      </c>
      <c r="H175" s="4" t="n">
        <v>10.91</v>
      </c>
      <c r="I175" s="4" t="n">
        <v>109.07</v>
      </c>
      <c r="J175" s="4" t="n">
        <v>109.07</v>
      </c>
      <c r="K175" s="2" t="n">
        <v>4</v>
      </c>
      <c r="L175" s="2" t="s">
        <v>56</v>
      </c>
      <c r="M175" s="2" t="s">
        <v>57</v>
      </c>
      <c r="N175" s="2" t="s">
        <v>665</v>
      </c>
      <c r="O175" s="2" t="s">
        <v>66</v>
      </c>
      <c r="P175" s="2" t="s">
        <v>831</v>
      </c>
      <c r="Q175" s="2" t="str">
        <f aca="false">IF(ROUND(ABS(J175-I175),2)&lt;=0.02,"TRUE","FALSE")</f>
        <v>TRUE</v>
      </c>
    </row>
    <row r="176" customFormat="false" ht="15" hidden="false" customHeight="false" outlineLevel="0" collapsed="false">
      <c r="A176" s="2" t="s">
        <v>10</v>
      </c>
      <c r="B176" s="2" t="s">
        <v>633</v>
      </c>
      <c r="C176" s="2" t="s">
        <v>634</v>
      </c>
      <c r="D176" s="2" t="s">
        <v>832</v>
      </c>
      <c r="E176" s="2" t="s">
        <v>636</v>
      </c>
      <c r="F176" s="2" t="s">
        <v>637</v>
      </c>
      <c r="G176" s="4" t="n">
        <v>114.84</v>
      </c>
      <c r="H176" s="4" t="n">
        <v>10.45</v>
      </c>
      <c r="I176" s="4" t="n">
        <v>104.39</v>
      </c>
      <c r="J176" s="4" t="n">
        <v>104.39</v>
      </c>
      <c r="K176" s="2" t="n">
        <v>4</v>
      </c>
      <c r="L176" s="2" t="s">
        <v>56</v>
      </c>
      <c r="M176" s="2" t="s">
        <v>57</v>
      </c>
      <c r="N176" s="2" t="s">
        <v>638</v>
      </c>
      <c r="O176" s="2" t="s">
        <v>66</v>
      </c>
      <c r="P176" s="2" t="s">
        <v>833</v>
      </c>
      <c r="Q176" s="2" t="str">
        <f aca="false">IF(ROUND(ABS(J176-I176),2)&lt;=0.02,"TRUE","FALSE")</f>
        <v>TRUE</v>
      </c>
    </row>
    <row r="177" customFormat="false" ht="15" hidden="false" customHeight="false" outlineLevel="0" collapsed="false">
      <c r="A177" s="2" t="s">
        <v>10</v>
      </c>
      <c r="B177" s="2" t="s">
        <v>653</v>
      </c>
      <c r="C177" s="2" t="s">
        <v>654</v>
      </c>
      <c r="D177" s="2" t="s">
        <v>834</v>
      </c>
      <c r="E177" s="2" t="s">
        <v>656</v>
      </c>
      <c r="F177" s="2" t="s">
        <v>657</v>
      </c>
      <c r="G177" s="4" t="n">
        <v>92.68</v>
      </c>
      <c r="H177" s="4" t="n">
        <v>8.43</v>
      </c>
      <c r="I177" s="4" t="n">
        <v>84.25</v>
      </c>
      <c r="J177" s="4" t="n">
        <v>84.25</v>
      </c>
      <c r="K177" s="2" t="n">
        <v>4</v>
      </c>
      <c r="L177" s="2" t="s">
        <v>56</v>
      </c>
      <c r="M177" s="2" t="s">
        <v>57</v>
      </c>
      <c r="N177" s="2" t="s">
        <v>658</v>
      </c>
      <c r="O177" s="2" t="s">
        <v>148</v>
      </c>
      <c r="P177" s="2" t="s">
        <v>835</v>
      </c>
      <c r="Q177" s="2" t="str">
        <f aca="false">IF(ROUND(ABS(J177-I177),2)&lt;=0.02,"TRUE","FALSE")</f>
        <v>TRUE</v>
      </c>
    </row>
    <row r="178" customFormat="false" ht="15" hidden="false" customHeight="false" outlineLevel="0" collapsed="false">
      <c r="A178" s="2" t="s">
        <v>26</v>
      </c>
      <c r="B178" s="2" t="s">
        <v>178</v>
      </c>
      <c r="C178" s="2" t="s">
        <v>179</v>
      </c>
      <c r="D178" s="2" t="s">
        <v>836</v>
      </c>
      <c r="E178" s="2" t="s">
        <v>181</v>
      </c>
      <c r="F178" s="2" t="s">
        <v>182</v>
      </c>
      <c r="G178" s="4" t="n">
        <v>114.49</v>
      </c>
      <c r="H178" s="4" t="n">
        <v>10.41</v>
      </c>
      <c r="I178" s="4" t="n">
        <v>104.08</v>
      </c>
      <c r="J178" s="4" t="n">
        <v>104.08</v>
      </c>
      <c r="K178" s="2" t="n">
        <v>3</v>
      </c>
      <c r="L178" s="2" t="s">
        <v>56</v>
      </c>
      <c r="M178" s="2" t="s">
        <v>57</v>
      </c>
      <c r="N178" s="2" t="s">
        <v>170</v>
      </c>
      <c r="O178" s="2" t="s">
        <v>148</v>
      </c>
      <c r="P178" s="2" t="s">
        <v>837</v>
      </c>
      <c r="Q178" s="2" t="str">
        <f aca="false">IF(ROUND(ABS(J178-I178),2)&lt;=0.02,"TRUE","FALSE")</f>
        <v>TRUE</v>
      </c>
    </row>
    <row r="179" customFormat="false" ht="15" hidden="false" customHeight="false" outlineLevel="0" collapsed="false">
      <c r="A179" s="2" t="s">
        <v>10</v>
      </c>
      <c r="B179" s="2" t="s">
        <v>778</v>
      </c>
      <c r="C179" s="2" t="s">
        <v>779</v>
      </c>
      <c r="D179" s="2" t="s">
        <v>838</v>
      </c>
      <c r="E179" s="2" t="s">
        <v>781</v>
      </c>
      <c r="F179" s="2" t="s">
        <v>782</v>
      </c>
      <c r="G179" s="4" t="n">
        <v>91.22</v>
      </c>
      <c r="H179" s="4" t="n">
        <v>8.29</v>
      </c>
      <c r="I179" s="4" t="n">
        <v>82.93</v>
      </c>
      <c r="J179" s="4" t="n">
        <v>82.93</v>
      </c>
      <c r="K179" s="2" t="n">
        <v>4</v>
      </c>
      <c r="L179" s="2" t="s">
        <v>56</v>
      </c>
      <c r="M179" s="2" t="s">
        <v>57</v>
      </c>
      <c r="N179" s="2" t="s">
        <v>783</v>
      </c>
      <c r="O179" s="2" t="s">
        <v>66</v>
      </c>
      <c r="P179" s="2" t="s">
        <v>839</v>
      </c>
      <c r="Q179" s="2" t="str">
        <f aca="false">IF(ROUND(ABS(J179-I179),2)&lt;=0.02,"TRUE","FALSE")</f>
        <v>TRUE</v>
      </c>
    </row>
    <row r="180" customFormat="false" ht="15" hidden="false" customHeight="false" outlineLevel="0" collapsed="false">
      <c r="A180" s="2" t="s">
        <v>10</v>
      </c>
      <c r="B180" s="2" t="s">
        <v>804</v>
      </c>
      <c r="C180" s="2" t="s">
        <v>805</v>
      </c>
      <c r="D180" s="2" t="s">
        <v>840</v>
      </c>
      <c r="E180" s="2" t="s">
        <v>807</v>
      </c>
      <c r="F180" s="2" t="s">
        <v>808</v>
      </c>
      <c r="G180" s="4" t="n">
        <v>98.66</v>
      </c>
      <c r="H180" s="4" t="n">
        <v>8.97</v>
      </c>
      <c r="I180" s="4" t="n">
        <v>89.69</v>
      </c>
      <c r="J180" s="4" t="n">
        <v>89.69</v>
      </c>
      <c r="K180" s="2" t="n">
        <v>4</v>
      </c>
      <c r="L180" s="2" t="s">
        <v>56</v>
      </c>
      <c r="M180" s="2" t="s">
        <v>57</v>
      </c>
      <c r="N180" s="2" t="s">
        <v>809</v>
      </c>
      <c r="O180" s="2" t="s">
        <v>66</v>
      </c>
      <c r="P180" s="2" t="s">
        <v>841</v>
      </c>
      <c r="Q180" s="2" t="str">
        <f aca="false">IF(ROUND(ABS(J180-I180),2)&lt;=0.02,"TRUE","FALSE")</f>
        <v>TRUE</v>
      </c>
    </row>
    <row r="181" customFormat="false" ht="15" hidden="false" customHeight="false" outlineLevel="0" collapsed="false">
      <c r="A181" s="2" t="s">
        <v>10</v>
      </c>
      <c r="B181" s="2" t="s">
        <v>477</v>
      </c>
      <c r="C181" s="2" t="s">
        <v>478</v>
      </c>
      <c r="D181" s="2" t="s">
        <v>842</v>
      </c>
      <c r="E181" s="2" t="s">
        <v>480</v>
      </c>
      <c r="F181" s="2" t="s">
        <v>481</v>
      </c>
      <c r="G181" s="4" t="n">
        <v>103.97</v>
      </c>
      <c r="H181" s="4" t="n">
        <v>9.46</v>
      </c>
      <c r="I181" s="4" t="n">
        <v>94.51</v>
      </c>
      <c r="J181" s="4" t="n">
        <v>94.51</v>
      </c>
      <c r="K181" s="2" t="n">
        <v>4</v>
      </c>
      <c r="L181" s="2" t="s">
        <v>56</v>
      </c>
      <c r="M181" s="2" t="s">
        <v>57</v>
      </c>
      <c r="N181" s="2" t="s">
        <v>482</v>
      </c>
      <c r="O181" s="2" t="s">
        <v>66</v>
      </c>
      <c r="P181" s="2" t="s">
        <v>843</v>
      </c>
      <c r="Q181" s="2" t="str">
        <f aca="false">IF(ROUND(ABS(J181-I181),2)&lt;=0.02,"TRUE","FALSE")</f>
        <v>TRUE</v>
      </c>
    </row>
    <row r="182" customFormat="false" ht="15" hidden="false" customHeight="false" outlineLevel="0" collapsed="false">
      <c r="A182" s="2" t="s">
        <v>22</v>
      </c>
      <c r="B182" s="2" t="s">
        <v>844</v>
      </c>
      <c r="C182" s="2" t="s">
        <v>845</v>
      </c>
      <c r="D182" s="2" t="s">
        <v>846</v>
      </c>
      <c r="E182" s="2" t="s">
        <v>847</v>
      </c>
      <c r="F182" s="2" t="s">
        <v>848</v>
      </c>
      <c r="G182" s="4" t="n">
        <v>101.11</v>
      </c>
      <c r="H182" s="4" t="n">
        <v>9.18</v>
      </c>
      <c r="I182" s="4" t="n">
        <v>91.93</v>
      </c>
      <c r="J182" s="4" t="n">
        <v>91.93</v>
      </c>
      <c r="K182" s="2" t="n">
        <v>4</v>
      </c>
      <c r="L182" s="2" t="s">
        <v>56</v>
      </c>
      <c r="M182" s="2" t="s">
        <v>57</v>
      </c>
      <c r="N182" s="2" t="s">
        <v>849</v>
      </c>
      <c r="O182" s="2" t="s">
        <v>66</v>
      </c>
      <c r="P182" s="2" t="s">
        <v>850</v>
      </c>
      <c r="Q182" s="2" t="str">
        <f aca="false">IF(ROUND(ABS(J182-I182),2)&lt;=0.02,"TRUE","FALSE")</f>
        <v>TRUE</v>
      </c>
    </row>
    <row r="183" customFormat="false" ht="15" hidden="false" customHeight="false" outlineLevel="0" collapsed="false">
      <c r="A183" s="2" t="s">
        <v>10</v>
      </c>
      <c r="B183" s="2" t="s">
        <v>773</v>
      </c>
      <c r="C183" s="2" t="s">
        <v>774</v>
      </c>
      <c r="D183" s="2" t="s">
        <v>851</v>
      </c>
      <c r="E183" s="2" t="s">
        <v>776</v>
      </c>
      <c r="F183" s="2" t="s">
        <v>776</v>
      </c>
      <c r="G183" s="4" t="n">
        <v>106.14</v>
      </c>
      <c r="H183" s="4" t="n">
        <v>9.65</v>
      </c>
      <c r="I183" s="4" t="n">
        <v>96.49</v>
      </c>
      <c r="J183" s="4" t="n">
        <v>96.49</v>
      </c>
      <c r="K183" s="2" t="n">
        <v>4</v>
      </c>
      <c r="L183" s="2" t="s">
        <v>56</v>
      </c>
      <c r="M183" s="2" t="s">
        <v>57</v>
      </c>
      <c r="N183" s="2"/>
      <c r="O183" s="2" t="s">
        <v>58</v>
      </c>
      <c r="P183" s="2" t="s">
        <v>852</v>
      </c>
      <c r="Q183" s="2" t="str">
        <f aca="false">IF(ROUND(ABS(J183-I183),2)&lt;=0.02,"TRUE","FALSE")</f>
        <v>TRUE</v>
      </c>
    </row>
    <row r="184" customFormat="false" ht="15" hidden="false" customHeight="false" outlineLevel="0" collapsed="false">
      <c r="A184" s="2" t="s">
        <v>10</v>
      </c>
      <c r="B184" s="2" t="s">
        <v>791</v>
      </c>
      <c r="C184" s="2" t="s">
        <v>792</v>
      </c>
      <c r="D184" s="2" t="s">
        <v>853</v>
      </c>
      <c r="E184" s="2" t="s">
        <v>794</v>
      </c>
      <c r="F184" s="2" t="s">
        <v>795</v>
      </c>
      <c r="G184" s="4" t="n">
        <v>95.18</v>
      </c>
      <c r="H184" s="4" t="n">
        <v>8.66</v>
      </c>
      <c r="I184" s="4" t="n">
        <v>86.52</v>
      </c>
      <c r="J184" s="4" t="n">
        <v>86.52</v>
      </c>
      <c r="K184" s="2" t="n">
        <v>2</v>
      </c>
      <c r="L184" s="2" t="s">
        <v>56</v>
      </c>
      <c r="M184" s="2" t="s">
        <v>57</v>
      </c>
      <c r="N184" s="2" t="s">
        <v>796</v>
      </c>
      <c r="O184" s="2" t="s">
        <v>66</v>
      </c>
      <c r="P184" s="2" t="s">
        <v>854</v>
      </c>
      <c r="Q184" s="2" t="str">
        <f aca="false">IF(ROUND(ABS(J184-I184),2)&lt;=0.02,"TRUE","FALSE")</f>
        <v>TRUE</v>
      </c>
    </row>
    <row r="185" customFormat="false" ht="15" hidden="false" customHeight="false" outlineLevel="0" collapsed="false">
      <c r="A185" s="2" t="s">
        <v>10</v>
      </c>
      <c r="B185" s="2" t="s">
        <v>821</v>
      </c>
      <c r="C185" s="2" t="s">
        <v>822</v>
      </c>
      <c r="D185" s="2" t="s">
        <v>855</v>
      </c>
      <c r="E185" s="2" t="s">
        <v>824</v>
      </c>
      <c r="F185" s="2" t="s">
        <v>825</v>
      </c>
      <c r="G185" s="4" t="n">
        <v>85.18</v>
      </c>
      <c r="H185" s="4" t="n">
        <v>7.75</v>
      </c>
      <c r="I185" s="4" t="n">
        <v>77.43</v>
      </c>
      <c r="J185" s="4" t="n">
        <v>77.43</v>
      </c>
      <c r="K185" s="2" t="n">
        <v>2</v>
      </c>
      <c r="L185" s="2" t="s">
        <v>56</v>
      </c>
      <c r="M185" s="2" t="s">
        <v>57</v>
      </c>
      <c r="N185" s="2" t="s">
        <v>826</v>
      </c>
      <c r="O185" s="2" t="s">
        <v>66</v>
      </c>
      <c r="P185" s="2" t="s">
        <v>856</v>
      </c>
      <c r="Q185" s="2" t="str">
        <f aca="false">IF(ROUND(ABS(J185-I185),2)&lt;=0.02,"TRUE","FALSE")</f>
        <v>TRUE</v>
      </c>
    </row>
    <row r="186" customFormat="false" ht="15" hidden="false" customHeight="false" outlineLevel="0" collapsed="false">
      <c r="A186" s="2" t="s">
        <v>22</v>
      </c>
      <c r="B186" s="2" t="s">
        <v>857</v>
      </c>
      <c r="C186" s="2" t="s">
        <v>858</v>
      </c>
      <c r="D186" s="2" t="s">
        <v>859</v>
      </c>
      <c r="E186" s="2" t="s">
        <v>860</v>
      </c>
      <c r="F186" s="2" t="s">
        <v>861</v>
      </c>
      <c r="G186" s="4" t="n">
        <v>107.2</v>
      </c>
      <c r="H186" s="4" t="n">
        <v>9.74</v>
      </c>
      <c r="I186" s="4" t="n">
        <v>97.46</v>
      </c>
      <c r="J186" s="4" t="n">
        <v>97.46</v>
      </c>
      <c r="K186" s="2" t="n">
        <v>4</v>
      </c>
      <c r="L186" s="2" t="s">
        <v>56</v>
      </c>
      <c r="M186" s="2" t="s">
        <v>57</v>
      </c>
      <c r="N186" s="2" t="s">
        <v>862</v>
      </c>
      <c r="O186" s="2" t="s">
        <v>217</v>
      </c>
      <c r="P186" s="2" t="s">
        <v>863</v>
      </c>
      <c r="Q186" s="2" t="str">
        <f aca="false">IF(ROUND(ABS(J186-I186),2)&lt;=0.02,"TRUE","FALSE")</f>
        <v>TRUE</v>
      </c>
    </row>
    <row r="187" customFormat="false" ht="15" hidden="false" customHeight="false" outlineLevel="0" collapsed="false">
      <c r="A187" s="2" t="s">
        <v>10</v>
      </c>
      <c r="B187" s="2" t="s">
        <v>857</v>
      </c>
      <c r="C187" s="2" t="s">
        <v>858</v>
      </c>
      <c r="D187" s="2" t="s">
        <v>864</v>
      </c>
      <c r="E187" s="2" t="s">
        <v>860</v>
      </c>
      <c r="F187" s="2" t="s">
        <v>861</v>
      </c>
      <c r="G187" s="4" t="n">
        <v>100.33</v>
      </c>
      <c r="H187" s="4" t="n">
        <v>9.12</v>
      </c>
      <c r="I187" s="4" t="n">
        <v>91.21</v>
      </c>
      <c r="J187" s="4" t="n">
        <v>91.21</v>
      </c>
      <c r="K187" s="2" t="n">
        <v>4</v>
      </c>
      <c r="L187" s="2" t="s">
        <v>56</v>
      </c>
      <c r="M187" s="2" t="s">
        <v>57</v>
      </c>
      <c r="N187" s="2" t="s">
        <v>862</v>
      </c>
      <c r="O187" s="2" t="s">
        <v>217</v>
      </c>
      <c r="P187" s="2" t="s">
        <v>865</v>
      </c>
      <c r="Q187" s="2" t="str">
        <f aca="false">IF(ROUND(ABS(J187-I187),2)&lt;=0.02,"TRUE","FALSE")</f>
        <v>TRUE</v>
      </c>
    </row>
    <row r="188" customFormat="false" ht="15" hidden="false" customHeight="false" outlineLevel="0" collapsed="false">
      <c r="A188" s="2" t="s">
        <v>22</v>
      </c>
      <c r="B188" s="2" t="s">
        <v>718</v>
      </c>
      <c r="C188" s="2" t="s">
        <v>719</v>
      </c>
      <c r="D188" s="2" t="s">
        <v>866</v>
      </c>
      <c r="E188" s="2" t="s">
        <v>721</v>
      </c>
      <c r="F188" s="2" t="s">
        <v>722</v>
      </c>
      <c r="G188" s="4" t="n">
        <v>75.6</v>
      </c>
      <c r="H188" s="4" t="n">
        <v>6.88</v>
      </c>
      <c r="I188" s="4" t="n">
        <v>68.72</v>
      </c>
      <c r="J188" s="4" t="n">
        <v>68.72</v>
      </c>
      <c r="K188" s="2" t="n">
        <v>2</v>
      </c>
      <c r="L188" s="2" t="s">
        <v>56</v>
      </c>
      <c r="M188" s="2" t="s">
        <v>57</v>
      </c>
      <c r="N188" s="2" t="s">
        <v>170</v>
      </c>
      <c r="O188" s="2" t="s">
        <v>148</v>
      </c>
      <c r="P188" s="2" t="s">
        <v>867</v>
      </c>
      <c r="Q188" s="2" t="str">
        <f aca="false">IF(ROUND(ABS(J188-I188),2)&lt;=0.02,"TRUE","FALSE")</f>
        <v>TRUE</v>
      </c>
    </row>
    <row r="189" customFormat="false" ht="15" hidden="false" customHeight="false" outlineLevel="0" collapsed="false">
      <c r="A189" s="2" t="s">
        <v>10</v>
      </c>
      <c r="B189" s="2" t="s">
        <v>756</v>
      </c>
      <c r="C189" s="2" t="s">
        <v>757</v>
      </c>
      <c r="D189" s="2" t="s">
        <v>868</v>
      </c>
      <c r="E189" s="2" t="s">
        <v>759</v>
      </c>
      <c r="F189" s="2" t="s">
        <v>760</v>
      </c>
      <c r="G189" s="4" t="n">
        <v>107.05</v>
      </c>
      <c r="H189" s="4" t="n">
        <v>9.73</v>
      </c>
      <c r="I189" s="4" t="n">
        <v>97.32</v>
      </c>
      <c r="J189" s="4" t="n">
        <v>97.32</v>
      </c>
      <c r="K189" s="2" t="n">
        <v>4</v>
      </c>
      <c r="L189" s="2" t="s">
        <v>56</v>
      </c>
      <c r="M189" s="2" t="s">
        <v>57</v>
      </c>
      <c r="N189" s="2" t="s">
        <v>761</v>
      </c>
      <c r="O189" s="2" t="s">
        <v>104</v>
      </c>
      <c r="P189" s="2" t="s">
        <v>869</v>
      </c>
      <c r="Q189" s="2" t="str">
        <f aca="false">IF(ROUND(ABS(J189-I189),2)&lt;=0.02,"TRUE","FALSE")</f>
        <v>TRUE</v>
      </c>
    </row>
    <row r="190" customFormat="false" ht="15" hidden="false" customHeight="false" outlineLevel="0" collapsed="false">
      <c r="A190" s="2" t="s">
        <v>10</v>
      </c>
      <c r="B190" s="2" t="s">
        <v>669</v>
      </c>
      <c r="C190" s="2" t="s">
        <v>670</v>
      </c>
      <c r="D190" s="2" t="s">
        <v>870</v>
      </c>
      <c r="E190" s="2" t="s">
        <v>672</v>
      </c>
      <c r="F190" s="2" t="s">
        <v>673</v>
      </c>
      <c r="G190" s="4" t="n">
        <v>89.99</v>
      </c>
      <c r="H190" s="4" t="n">
        <v>8.18</v>
      </c>
      <c r="I190" s="4" t="n">
        <v>81.81</v>
      </c>
      <c r="J190" s="4" t="n">
        <v>81.81</v>
      </c>
      <c r="K190" s="2" t="n">
        <v>2</v>
      </c>
      <c r="L190" s="2" t="s">
        <v>56</v>
      </c>
      <c r="M190" s="2" t="s">
        <v>57</v>
      </c>
      <c r="N190" s="2" t="s">
        <v>674</v>
      </c>
      <c r="O190" s="2" t="s">
        <v>66</v>
      </c>
      <c r="P190" s="2" t="s">
        <v>871</v>
      </c>
      <c r="Q190" s="2" t="str">
        <f aca="false">IF(ROUND(ABS(J190-I190),2)&lt;=0.02,"TRUE","FALSE")</f>
        <v>TRUE</v>
      </c>
    </row>
    <row r="191" customFormat="false" ht="15" hidden="false" customHeight="false" outlineLevel="0" collapsed="false">
      <c r="A191" s="2" t="s">
        <v>10</v>
      </c>
      <c r="B191" s="2" t="s">
        <v>689</v>
      </c>
      <c r="C191" s="2" t="s">
        <v>690</v>
      </c>
      <c r="D191" s="2" t="s">
        <v>872</v>
      </c>
      <c r="E191" s="2" t="s">
        <v>692</v>
      </c>
      <c r="F191" s="2" t="s">
        <v>693</v>
      </c>
      <c r="G191" s="4" t="n">
        <v>108.85</v>
      </c>
      <c r="H191" s="4" t="n">
        <v>9.9</v>
      </c>
      <c r="I191" s="4" t="n">
        <v>98.95</v>
      </c>
      <c r="J191" s="4" t="n">
        <v>98.95</v>
      </c>
      <c r="K191" s="2" t="n">
        <v>4</v>
      </c>
      <c r="L191" s="2" t="s">
        <v>56</v>
      </c>
      <c r="M191" s="2" t="s">
        <v>57</v>
      </c>
      <c r="N191" s="2" t="s">
        <v>694</v>
      </c>
      <c r="O191" s="2" t="s">
        <v>104</v>
      </c>
      <c r="P191" s="2" t="s">
        <v>873</v>
      </c>
      <c r="Q191" s="2" t="str">
        <f aca="false">IF(ROUND(ABS(J191-I191),2)&lt;=0.02,"TRUE","FALSE")</f>
        <v>TRUE</v>
      </c>
    </row>
    <row r="192" customFormat="false" ht="15" hidden="false" customHeight="false" outlineLevel="0" collapsed="false">
      <c r="A192" s="2" t="s">
        <v>10</v>
      </c>
      <c r="B192" s="2" t="s">
        <v>874</v>
      </c>
      <c r="C192" s="2" t="s">
        <v>875</v>
      </c>
      <c r="D192" s="2" t="s">
        <v>876</v>
      </c>
      <c r="E192" s="2" t="s">
        <v>877</v>
      </c>
      <c r="F192" s="2" t="s">
        <v>878</v>
      </c>
      <c r="G192" s="4" t="n">
        <v>76.04</v>
      </c>
      <c r="H192" s="4" t="n">
        <v>6.92</v>
      </c>
      <c r="I192" s="4" t="n">
        <v>69.12</v>
      </c>
      <c r="J192" s="4" t="n">
        <v>69.12</v>
      </c>
      <c r="K192" s="2" t="n">
        <v>2</v>
      </c>
      <c r="L192" s="2" t="s">
        <v>56</v>
      </c>
      <c r="M192" s="2" t="s">
        <v>57</v>
      </c>
      <c r="N192" s="2" t="s">
        <v>879</v>
      </c>
      <c r="O192" s="2" t="s">
        <v>66</v>
      </c>
      <c r="P192" s="2" t="s">
        <v>880</v>
      </c>
      <c r="Q192" s="2" t="str">
        <f aca="false">IF(ROUND(ABS(J192-I192),2)&lt;=0.02,"TRUE","FALSE")</f>
        <v>TRUE</v>
      </c>
    </row>
    <row r="193" customFormat="false" ht="15" hidden="false" customHeight="false" outlineLevel="0" collapsed="false">
      <c r="A193" s="2" t="s">
        <v>14</v>
      </c>
      <c r="B193" s="2" t="s">
        <v>815</v>
      </c>
      <c r="C193" s="2" t="s">
        <v>816</v>
      </c>
      <c r="D193" s="2" t="s">
        <v>881</v>
      </c>
      <c r="E193" s="2" t="s">
        <v>818</v>
      </c>
      <c r="F193" s="2" t="s">
        <v>819</v>
      </c>
      <c r="G193" s="4" t="n">
        <v>83.91</v>
      </c>
      <c r="H193" s="4" t="n">
        <v>7.63</v>
      </c>
      <c r="I193" s="4" t="n">
        <v>76.28</v>
      </c>
      <c r="J193" s="4" t="n">
        <v>76.28</v>
      </c>
      <c r="K193" s="2" t="n">
        <v>2</v>
      </c>
      <c r="L193" s="2" t="s">
        <v>56</v>
      </c>
      <c r="M193" s="2" t="s">
        <v>57</v>
      </c>
      <c r="N193" s="2"/>
      <c r="O193" s="2" t="s">
        <v>58</v>
      </c>
      <c r="P193" s="2" t="s">
        <v>882</v>
      </c>
      <c r="Q193" s="2" t="str">
        <f aca="false">IF(ROUND(ABS(J193-I193),2)&lt;=0.02,"TRUE","FALSE")</f>
        <v>TRUE</v>
      </c>
    </row>
    <row r="194" customFormat="false" ht="15" hidden="false" customHeight="false" outlineLevel="0" collapsed="false">
      <c r="A194" s="2" t="s">
        <v>10</v>
      </c>
      <c r="B194" s="2" t="s">
        <v>709</v>
      </c>
      <c r="C194" s="2" t="s">
        <v>710</v>
      </c>
      <c r="D194" s="2" t="s">
        <v>883</v>
      </c>
      <c r="E194" s="2" t="s">
        <v>712</v>
      </c>
      <c r="F194" s="2" t="s">
        <v>713</v>
      </c>
      <c r="G194" s="4" t="n">
        <v>91.33</v>
      </c>
      <c r="H194" s="4" t="n">
        <v>8.3</v>
      </c>
      <c r="I194" s="4" t="n">
        <v>83.03</v>
      </c>
      <c r="J194" s="4" t="n">
        <v>83.03</v>
      </c>
      <c r="K194" s="2" t="n">
        <v>2</v>
      </c>
      <c r="L194" s="2" t="s">
        <v>56</v>
      </c>
      <c r="M194" s="2" t="s">
        <v>57</v>
      </c>
      <c r="N194" s="2" t="s">
        <v>714</v>
      </c>
      <c r="O194" s="2" t="s">
        <v>441</v>
      </c>
      <c r="P194" s="2" t="s">
        <v>884</v>
      </c>
      <c r="Q194" s="2" t="str">
        <f aca="false">IF(ROUND(ABS(J194-I194),2)&lt;=0.02,"TRUE","FALSE")</f>
        <v>TRUE</v>
      </c>
    </row>
    <row r="195" customFormat="false" ht="15" hidden="false" customHeight="false" outlineLevel="0" collapsed="false">
      <c r="A195" s="2" t="s">
        <v>10</v>
      </c>
      <c r="B195" s="2" t="s">
        <v>518</v>
      </c>
      <c r="C195" s="2" t="s">
        <v>519</v>
      </c>
      <c r="D195" s="2" t="s">
        <v>885</v>
      </c>
      <c r="E195" s="2" t="s">
        <v>521</v>
      </c>
      <c r="F195" s="2" t="s">
        <v>522</v>
      </c>
      <c r="G195" s="4" t="n">
        <v>82.31</v>
      </c>
      <c r="H195" s="4" t="n">
        <v>7.49</v>
      </c>
      <c r="I195" s="4" t="n">
        <v>74.82</v>
      </c>
      <c r="J195" s="4" t="n">
        <v>74.82</v>
      </c>
      <c r="K195" s="2" t="n">
        <v>2</v>
      </c>
      <c r="L195" s="2" t="s">
        <v>56</v>
      </c>
      <c r="M195" s="2" t="s">
        <v>57</v>
      </c>
      <c r="N195" s="2" t="s">
        <v>523</v>
      </c>
      <c r="O195" s="2" t="s">
        <v>66</v>
      </c>
      <c r="P195" s="2" t="s">
        <v>886</v>
      </c>
      <c r="Q195" s="2" t="str">
        <f aca="false">IF(ROUND(ABS(J195-I195),2)&lt;=0.02,"TRUE","FALSE")</f>
        <v>TRUE</v>
      </c>
    </row>
    <row r="196" customFormat="false" ht="15" hidden="false" customHeight="false" outlineLevel="0" collapsed="false">
      <c r="A196" s="2" t="s">
        <v>10</v>
      </c>
      <c r="B196" s="2" t="s">
        <v>682</v>
      </c>
      <c r="C196" s="2" t="s">
        <v>683</v>
      </c>
      <c r="D196" s="2" t="s">
        <v>887</v>
      </c>
      <c r="E196" s="2" t="s">
        <v>685</v>
      </c>
      <c r="F196" s="2" t="s">
        <v>686</v>
      </c>
      <c r="G196" s="4" t="n">
        <v>114.36</v>
      </c>
      <c r="H196" s="4" t="n">
        <v>10.4</v>
      </c>
      <c r="I196" s="4" t="n">
        <v>103.96</v>
      </c>
      <c r="J196" s="4" t="n">
        <v>103.96</v>
      </c>
      <c r="K196" s="2" t="n">
        <v>4</v>
      </c>
      <c r="L196" s="2" t="s">
        <v>56</v>
      </c>
      <c r="M196" s="2" t="s">
        <v>57</v>
      </c>
      <c r="N196" s="2" t="s">
        <v>687</v>
      </c>
      <c r="O196" s="2" t="s">
        <v>148</v>
      </c>
      <c r="P196" s="2" t="s">
        <v>888</v>
      </c>
      <c r="Q196" s="2" t="str">
        <f aca="false">IF(ROUND(ABS(J196-I196),2)&lt;=0.02,"TRUE","FALSE")</f>
        <v>TRUE</v>
      </c>
    </row>
    <row r="197" customFormat="false" ht="15" hidden="false" customHeight="false" outlineLevel="0" collapsed="false">
      <c r="A197" s="2" t="s">
        <v>14</v>
      </c>
      <c r="B197" s="2" t="s">
        <v>874</v>
      </c>
      <c r="C197" s="2" t="s">
        <v>875</v>
      </c>
      <c r="D197" s="2" t="s">
        <v>889</v>
      </c>
      <c r="E197" s="2" t="s">
        <v>877</v>
      </c>
      <c r="F197" s="2" t="s">
        <v>878</v>
      </c>
      <c r="G197" s="4" t="n">
        <v>73.28</v>
      </c>
      <c r="H197" s="4" t="n">
        <v>6.67</v>
      </c>
      <c r="I197" s="4" t="n">
        <v>66.61</v>
      </c>
      <c r="J197" s="4" t="n">
        <v>66.61</v>
      </c>
      <c r="K197" s="2" t="n">
        <v>2</v>
      </c>
      <c r="L197" s="2" t="s">
        <v>56</v>
      </c>
      <c r="M197" s="2" t="s">
        <v>57</v>
      </c>
      <c r="N197" s="2" t="s">
        <v>879</v>
      </c>
      <c r="O197" s="2" t="s">
        <v>66</v>
      </c>
      <c r="P197" s="2" t="s">
        <v>890</v>
      </c>
      <c r="Q197" s="2" t="str">
        <f aca="false">IF(ROUND(ABS(J197-I197),2)&lt;=0.02,"TRUE","FALSE")</f>
        <v>TRUE</v>
      </c>
    </row>
    <row r="198" customFormat="false" ht="15" hidden="false" customHeight="false" outlineLevel="0" collapsed="false">
      <c r="A198" s="2" t="s">
        <v>18</v>
      </c>
      <c r="B198" s="2" t="s">
        <v>518</v>
      </c>
      <c r="C198" s="2" t="s">
        <v>519</v>
      </c>
      <c r="D198" s="2" t="s">
        <v>891</v>
      </c>
      <c r="E198" s="2" t="s">
        <v>521</v>
      </c>
      <c r="F198" s="2" t="s">
        <v>522</v>
      </c>
      <c r="G198" s="4" t="n">
        <v>108.76</v>
      </c>
      <c r="H198" s="4" t="n">
        <v>9.89</v>
      </c>
      <c r="I198" s="4" t="n">
        <v>98.87</v>
      </c>
      <c r="J198" s="4" t="n">
        <v>98.87</v>
      </c>
      <c r="K198" s="2" t="n">
        <v>4</v>
      </c>
      <c r="L198" s="2" t="s">
        <v>56</v>
      </c>
      <c r="M198" s="2" t="s">
        <v>57</v>
      </c>
      <c r="N198" s="2" t="s">
        <v>523</v>
      </c>
      <c r="O198" s="2" t="s">
        <v>66</v>
      </c>
      <c r="P198" s="2" t="s">
        <v>892</v>
      </c>
      <c r="Q198" s="2" t="str">
        <f aca="false">IF(ROUND(ABS(J198-I198),2)&lt;=0.02,"TRUE","FALSE")</f>
        <v>TRUE</v>
      </c>
    </row>
    <row r="199" customFormat="false" ht="15" hidden="false" customHeight="false" outlineLevel="0" collapsed="false">
      <c r="A199" s="2" t="s">
        <v>26</v>
      </c>
      <c r="B199" s="2" t="s">
        <v>718</v>
      </c>
      <c r="C199" s="2" t="s">
        <v>719</v>
      </c>
      <c r="D199" s="2" t="s">
        <v>893</v>
      </c>
      <c r="E199" s="2" t="s">
        <v>721</v>
      </c>
      <c r="F199" s="2" t="s">
        <v>722</v>
      </c>
      <c r="G199" s="4" t="n">
        <v>72.4</v>
      </c>
      <c r="H199" s="4" t="n">
        <v>6.59</v>
      </c>
      <c r="I199" s="4" t="n">
        <v>65.81</v>
      </c>
      <c r="J199" s="4" t="n">
        <v>65.81</v>
      </c>
      <c r="K199" s="2" t="n">
        <v>2</v>
      </c>
      <c r="L199" s="2" t="s">
        <v>56</v>
      </c>
      <c r="M199" s="2" t="s">
        <v>57</v>
      </c>
      <c r="N199" s="2" t="s">
        <v>170</v>
      </c>
      <c r="O199" s="2" t="s">
        <v>148</v>
      </c>
      <c r="P199" s="2" t="s">
        <v>894</v>
      </c>
      <c r="Q199" s="2" t="str">
        <f aca="false">IF(ROUND(ABS(J199-I199),2)&lt;=0.02,"TRUE","FALSE")</f>
        <v>TRUE</v>
      </c>
    </row>
    <row r="200" customFormat="false" ht="15" hidden="false" customHeight="false" outlineLevel="0" collapsed="false">
      <c r="A200" s="2" t="s">
        <v>14</v>
      </c>
      <c r="B200" s="2" t="s">
        <v>895</v>
      </c>
      <c r="C200" s="2" t="s">
        <v>896</v>
      </c>
      <c r="D200" s="2" t="s">
        <v>897</v>
      </c>
      <c r="E200" s="2" t="s">
        <v>898</v>
      </c>
      <c r="F200" s="2" t="s">
        <v>899</v>
      </c>
      <c r="G200" s="4" t="n">
        <v>73.26</v>
      </c>
      <c r="H200" s="4" t="n">
        <v>6.66</v>
      </c>
      <c r="I200" s="4" t="n">
        <v>66.6</v>
      </c>
      <c r="J200" s="4" t="n">
        <v>66.6</v>
      </c>
      <c r="K200" s="2" t="n">
        <v>2</v>
      </c>
      <c r="L200" s="2" t="s">
        <v>56</v>
      </c>
      <c r="M200" s="2" t="s">
        <v>57</v>
      </c>
      <c r="N200" s="2" t="s">
        <v>900</v>
      </c>
      <c r="O200" s="2" t="s">
        <v>104</v>
      </c>
      <c r="P200" s="2" t="s">
        <v>901</v>
      </c>
      <c r="Q200" s="2" t="str">
        <f aca="false">IF(ROUND(ABS(J200-I200),2)&lt;=0.02,"TRUE","FALSE")</f>
        <v>TRUE</v>
      </c>
    </row>
    <row r="201" customFormat="false" ht="15" hidden="false" customHeight="false" outlineLevel="0" collapsed="false">
      <c r="A201" s="2" t="s">
        <v>10</v>
      </c>
      <c r="B201" s="2" t="s">
        <v>718</v>
      </c>
      <c r="C201" s="2" t="s">
        <v>719</v>
      </c>
      <c r="D201" s="2" t="s">
        <v>902</v>
      </c>
      <c r="E201" s="2" t="s">
        <v>721</v>
      </c>
      <c r="F201" s="2" t="s">
        <v>722</v>
      </c>
      <c r="G201" s="4" t="n">
        <v>71.67</v>
      </c>
      <c r="H201" s="4" t="n">
        <v>6.52</v>
      </c>
      <c r="I201" s="4" t="n">
        <v>65.15</v>
      </c>
      <c r="J201" s="4" t="n">
        <v>65.15</v>
      </c>
      <c r="K201" s="2" t="n">
        <v>2</v>
      </c>
      <c r="L201" s="2" t="s">
        <v>56</v>
      </c>
      <c r="M201" s="2" t="s">
        <v>57</v>
      </c>
      <c r="N201" s="2" t="s">
        <v>170</v>
      </c>
      <c r="O201" s="2" t="s">
        <v>148</v>
      </c>
      <c r="P201" s="2" t="s">
        <v>903</v>
      </c>
      <c r="Q201" s="2" t="str">
        <f aca="false">IF(ROUND(ABS(J201-I201),2)&lt;=0.02,"TRUE","FALSE")</f>
        <v>TRUE</v>
      </c>
    </row>
    <row r="202" customFormat="false" ht="15" hidden="false" customHeight="false" outlineLevel="0" collapsed="false">
      <c r="A202" s="2" t="s">
        <v>18</v>
      </c>
      <c r="B202" s="2" t="s">
        <v>821</v>
      </c>
      <c r="C202" s="2" t="s">
        <v>822</v>
      </c>
      <c r="D202" s="2" t="s">
        <v>904</v>
      </c>
      <c r="E202" s="2" t="s">
        <v>824</v>
      </c>
      <c r="F202" s="2" t="s">
        <v>825</v>
      </c>
      <c r="G202" s="4" t="n">
        <v>151.77</v>
      </c>
      <c r="H202" s="4" t="n">
        <v>13.8</v>
      </c>
      <c r="I202" s="4" t="n">
        <v>137.97</v>
      </c>
      <c r="J202" s="4" t="n">
        <v>137.97</v>
      </c>
      <c r="K202" s="2" t="n">
        <v>4</v>
      </c>
      <c r="L202" s="2" t="s">
        <v>56</v>
      </c>
      <c r="M202" s="2" t="s">
        <v>57</v>
      </c>
      <c r="N202" s="2" t="s">
        <v>826</v>
      </c>
      <c r="O202" s="2" t="s">
        <v>66</v>
      </c>
      <c r="P202" s="2" t="s">
        <v>905</v>
      </c>
      <c r="Q202" s="2" t="str">
        <f aca="false">IF(ROUND(ABS(J202-I202),2)&lt;=0.02,"TRUE","FALSE")</f>
        <v>TRUE</v>
      </c>
    </row>
    <row r="203" customFormat="false" ht="15" hidden="false" customHeight="false" outlineLevel="0" collapsed="false">
      <c r="A203" s="2" t="s">
        <v>18</v>
      </c>
      <c r="B203" s="2" t="s">
        <v>874</v>
      </c>
      <c r="C203" s="2" t="s">
        <v>875</v>
      </c>
      <c r="D203" s="2" t="s">
        <v>906</v>
      </c>
      <c r="E203" s="2" t="s">
        <v>877</v>
      </c>
      <c r="F203" s="2" t="s">
        <v>878</v>
      </c>
      <c r="G203" s="4" t="n">
        <v>130.72</v>
      </c>
      <c r="H203" s="4" t="n">
        <v>11.89</v>
      </c>
      <c r="I203" s="4" t="n">
        <v>118.83</v>
      </c>
      <c r="J203" s="4" t="n">
        <v>118.83</v>
      </c>
      <c r="K203" s="2" t="n">
        <v>4</v>
      </c>
      <c r="L203" s="2" t="s">
        <v>56</v>
      </c>
      <c r="M203" s="2" t="s">
        <v>57</v>
      </c>
      <c r="N203" s="2" t="s">
        <v>879</v>
      </c>
      <c r="O203" s="2" t="s">
        <v>66</v>
      </c>
      <c r="P203" s="2" t="s">
        <v>907</v>
      </c>
      <c r="Q203" s="2" t="str">
        <f aca="false">IF(ROUND(ABS(J203-I203),2)&lt;=0.02,"TRUE","FALSE")</f>
        <v>TRUE</v>
      </c>
    </row>
    <row r="204" customFormat="false" ht="15" hidden="false" customHeight="false" outlineLevel="0" collapsed="false">
      <c r="A204" s="2" t="s">
        <v>10</v>
      </c>
      <c r="B204" s="2" t="s">
        <v>844</v>
      </c>
      <c r="C204" s="2" t="s">
        <v>845</v>
      </c>
      <c r="D204" s="2" t="s">
        <v>908</v>
      </c>
      <c r="E204" s="2" t="s">
        <v>847</v>
      </c>
      <c r="F204" s="2" t="s">
        <v>848</v>
      </c>
      <c r="G204" s="4" t="n">
        <v>92.24</v>
      </c>
      <c r="H204" s="4" t="n">
        <v>8.38</v>
      </c>
      <c r="I204" s="4" t="n">
        <v>83.86</v>
      </c>
      <c r="J204" s="4" t="n">
        <v>83.86</v>
      </c>
      <c r="K204" s="2" t="n">
        <v>4</v>
      </c>
      <c r="L204" s="2" t="s">
        <v>56</v>
      </c>
      <c r="M204" s="2" t="s">
        <v>57</v>
      </c>
      <c r="N204" s="2" t="s">
        <v>849</v>
      </c>
      <c r="O204" s="2" t="s">
        <v>66</v>
      </c>
      <c r="P204" s="2" t="s">
        <v>909</v>
      </c>
      <c r="Q204" s="2" t="str">
        <f aca="false">IF(ROUND(ABS(J204-I204),2)&lt;=0.02,"TRUE","FALSE")</f>
        <v>TRUE</v>
      </c>
    </row>
    <row r="205" customFormat="false" ht="15" hidden="false" customHeight="false" outlineLevel="0" collapsed="false">
      <c r="A205" s="2" t="s">
        <v>18</v>
      </c>
      <c r="B205" s="2" t="s">
        <v>910</v>
      </c>
      <c r="C205" s="2" t="s">
        <v>911</v>
      </c>
      <c r="D205" s="2" t="s">
        <v>912</v>
      </c>
      <c r="E205" s="2" t="s">
        <v>913</v>
      </c>
      <c r="F205" s="2" t="s">
        <v>914</v>
      </c>
      <c r="G205" s="4" t="n">
        <v>116.9</v>
      </c>
      <c r="H205" s="4" t="n">
        <v>10.64</v>
      </c>
      <c r="I205" s="4" t="n">
        <v>106.26</v>
      </c>
      <c r="J205" s="4" t="n">
        <v>106.26</v>
      </c>
      <c r="K205" s="2" t="n">
        <v>9</v>
      </c>
      <c r="L205" s="2" t="s">
        <v>56</v>
      </c>
      <c r="M205" s="2" t="s">
        <v>57</v>
      </c>
      <c r="N205" s="2" t="s">
        <v>915</v>
      </c>
      <c r="O205" s="2" t="s">
        <v>66</v>
      </c>
      <c r="P205" s="2" t="s">
        <v>916</v>
      </c>
      <c r="Q205" s="2" t="str">
        <f aca="false">IF(ROUND(ABS(J205-I205),2)&lt;=0.02,"TRUE","FALSE")</f>
        <v>TRUE</v>
      </c>
    </row>
    <row r="206" customFormat="false" ht="15" hidden="false" customHeight="false" outlineLevel="0" collapsed="false">
      <c r="A206" s="2" t="s">
        <v>14</v>
      </c>
      <c r="B206" s="2" t="s">
        <v>718</v>
      </c>
      <c r="C206" s="2" t="s">
        <v>719</v>
      </c>
      <c r="D206" s="2" t="s">
        <v>917</v>
      </c>
      <c r="E206" s="2" t="s">
        <v>721</v>
      </c>
      <c r="F206" s="2" t="s">
        <v>722</v>
      </c>
      <c r="G206" s="4" t="n">
        <v>66.93</v>
      </c>
      <c r="H206" s="4" t="n">
        <v>6.09</v>
      </c>
      <c r="I206" s="4" t="n">
        <v>60.84</v>
      </c>
      <c r="J206" s="4" t="n">
        <v>60.84</v>
      </c>
      <c r="K206" s="2" t="n">
        <v>2</v>
      </c>
      <c r="L206" s="2" t="s">
        <v>56</v>
      </c>
      <c r="M206" s="2" t="s">
        <v>57</v>
      </c>
      <c r="N206" s="2" t="s">
        <v>170</v>
      </c>
      <c r="O206" s="2" t="s">
        <v>148</v>
      </c>
      <c r="P206" s="2" t="s">
        <v>918</v>
      </c>
      <c r="Q206" s="2" t="str">
        <f aca="false">IF(ROUND(ABS(J206-I206),2)&lt;=0.02,"TRUE","FALSE")</f>
        <v>TRUE</v>
      </c>
    </row>
    <row r="207" customFormat="false" ht="15" hidden="false" customHeight="false" outlineLevel="0" collapsed="false">
      <c r="A207" s="2" t="s">
        <v>18</v>
      </c>
      <c r="B207" s="2" t="s">
        <v>815</v>
      </c>
      <c r="C207" s="2" t="s">
        <v>816</v>
      </c>
      <c r="D207" s="2" t="s">
        <v>919</v>
      </c>
      <c r="E207" s="2" t="s">
        <v>818</v>
      </c>
      <c r="F207" s="2" t="s">
        <v>819</v>
      </c>
      <c r="G207" s="4" t="n">
        <v>144.74</v>
      </c>
      <c r="H207" s="4" t="n">
        <v>13.16</v>
      </c>
      <c r="I207" s="4" t="n">
        <v>131.58</v>
      </c>
      <c r="J207" s="4" t="n">
        <v>131.58</v>
      </c>
      <c r="K207" s="2" t="n">
        <v>4</v>
      </c>
      <c r="L207" s="2" t="s">
        <v>56</v>
      </c>
      <c r="M207" s="2" t="s">
        <v>57</v>
      </c>
      <c r="N207" s="2"/>
      <c r="O207" s="2" t="s">
        <v>58</v>
      </c>
      <c r="P207" s="2" t="s">
        <v>920</v>
      </c>
      <c r="Q207" s="2" t="str">
        <f aca="false">IF(ROUND(ABS(J207-I207),2)&lt;=0.02,"TRUE","FALSE")</f>
        <v>TRUE</v>
      </c>
    </row>
    <row r="208" customFormat="false" ht="15" hidden="false" customHeight="false" outlineLevel="0" collapsed="false">
      <c r="A208" s="2" t="s">
        <v>18</v>
      </c>
      <c r="B208" s="2" t="s">
        <v>895</v>
      </c>
      <c r="C208" s="2" t="s">
        <v>896</v>
      </c>
      <c r="D208" s="2" t="s">
        <v>921</v>
      </c>
      <c r="E208" s="2" t="s">
        <v>898</v>
      </c>
      <c r="F208" s="2" t="s">
        <v>899</v>
      </c>
      <c r="G208" s="4" t="n">
        <v>127.02</v>
      </c>
      <c r="H208" s="4" t="n">
        <v>11.55</v>
      </c>
      <c r="I208" s="4" t="n">
        <v>115.47</v>
      </c>
      <c r="J208" s="4" t="n">
        <v>115.47</v>
      </c>
      <c r="K208" s="2" t="n">
        <v>4</v>
      </c>
      <c r="L208" s="2" t="s">
        <v>56</v>
      </c>
      <c r="M208" s="2" t="s">
        <v>57</v>
      </c>
      <c r="N208" s="2" t="s">
        <v>900</v>
      </c>
      <c r="O208" s="2" t="s">
        <v>104</v>
      </c>
      <c r="P208" s="2" t="s">
        <v>922</v>
      </c>
      <c r="Q208" s="2" t="str">
        <f aca="false">IF(ROUND(ABS(J208-I208),2)&lt;=0.02,"TRUE","FALSE")</f>
        <v>TRUE</v>
      </c>
    </row>
    <row r="209" customFormat="false" ht="15" hidden="false" customHeight="false" outlineLevel="0" collapsed="false">
      <c r="A209" s="2" t="s">
        <v>26</v>
      </c>
      <c r="B209" s="2" t="s">
        <v>923</v>
      </c>
      <c r="C209" s="2" t="s">
        <v>924</v>
      </c>
      <c r="D209" s="2" t="s">
        <v>925</v>
      </c>
      <c r="E209" s="2" t="s">
        <v>926</v>
      </c>
      <c r="F209" s="2" t="s">
        <v>927</v>
      </c>
      <c r="G209" s="4" t="n">
        <v>37.41</v>
      </c>
      <c r="H209" s="4" t="n">
        <v>3.4</v>
      </c>
      <c r="I209" s="4" t="n">
        <v>34.01</v>
      </c>
      <c r="J209" s="4" t="n">
        <v>34.01</v>
      </c>
      <c r="K209" s="2" t="n">
        <v>2</v>
      </c>
      <c r="L209" s="2" t="s">
        <v>56</v>
      </c>
      <c r="M209" s="2" t="s">
        <v>57</v>
      </c>
      <c r="N209" s="2" t="s">
        <v>928</v>
      </c>
      <c r="O209" s="2" t="s">
        <v>66</v>
      </c>
      <c r="P209" s="2" t="s">
        <v>929</v>
      </c>
      <c r="Q209" s="2" t="str">
        <f aca="false">IF(ROUND(ABS(J209-I209),2)&lt;=0.02,"TRUE","FALSE")</f>
        <v>TRUE</v>
      </c>
    </row>
    <row r="210" customFormat="false" ht="15" hidden="false" customHeight="false" outlineLevel="0" collapsed="false">
      <c r="A210" s="2" t="s">
        <v>22</v>
      </c>
      <c r="B210" s="2" t="s">
        <v>930</v>
      </c>
      <c r="C210" s="2" t="s">
        <v>931</v>
      </c>
      <c r="D210" s="2" t="s">
        <v>932</v>
      </c>
      <c r="E210" s="2" t="s">
        <v>933</v>
      </c>
      <c r="F210" s="2" t="s">
        <v>934</v>
      </c>
      <c r="G210" s="4" t="n">
        <v>36.47</v>
      </c>
      <c r="H210" s="4" t="n">
        <v>3.32</v>
      </c>
      <c r="I210" s="4" t="n">
        <v>33.15</v>
      </c>
      <c r="J210" s="4" t="n">
        <v>33.15</v>
      </c>
      <c r="K210" s="2" t="n">
        <v>2</v>
      </c>
      <c r="L210" s="2" t="s">
        <v>56</v>
      </c>
      <c r="M210" s="2" t="s">
        <v>57</v>
      </c>
      <c r="N210" s="2" t="s">
        <v>935</v>
      </c>
      <c r="O210" s="2" t="s">
        <v>66</v>
      </c>
      <c r="P210" s="2" t="s">
        <v>936</v>
      </c>
      <c r="Q210" s="2" t="str">
        <f aca="false">IF(ROUND(ABS(J210-I210),2)&lt;=0.02,"TRUE","FALSE")</f>
        <v>TRUE</v>
      </c>
    </row>
    <row r="211" customFormat="false" ht="15" hidden="false" customHeight="false" outlineLevel="0" collapsed="false">
      <c r="A211" s="2" t="s">
        <v>30</v>
      </c>
      <c r="B211" s="2" t="s">
        <v>937</v>
      </c>
      <c r="C211" s="2" t="s">
        <v>938</v>
      </c>
      <c r="D211" s="2" t="s">
        <v>939</v>
      </c>
      <c r="E211" s="2" t="s">
        <v>940</v>
      </c>
      <c r="F211" s="2" t="s">
        <v>941</v>
      </c>
      <c r="G211" s="4" t="n">
        <v>103.47</v>
      </c>
      <c r="H211" s="4" t="n">
        <v>9.42</v>
      </c>
      <c r="I211" s="4" t="n">
        <v>94.05</v>
      </c>
      <c r="J211" s="4" t="n">
        <v>94.05</v>
      </c>
      <c r="K211" s="2" t="n">
        <v>4</v>
      </c>
      <c r="L211" s="2" t="s">
        <v>56</v>
      </c>
      <c r="M211" s="2" t="s">
        <v>57</v>
      </c>
      <c r="N211" s="2" t="s">
        <v>942</v>
      </c>
      <c r="O211" s="2" t="s">
        <v>217</v>
      </c>
      <c r="P211" s="2" t="s">
        <v>943</v>
      </c>
      <c r="Q211" s="2" t="str">
        <f aca="false">IF(ROUND(ABS(J211-I211),2)&lt;=0.02,"TRUE","FALSE")</f>
        <v>TRUE</v>
      </c>
    </row>
    <row r="212" customFormat="false" ht="15" hidden="false" customHeight="false" outlineLevel="0" collapsed="false">
      <c r="A212" s="2" t="s">
        <v>18</v>
      </c>
      <c r="B212" s="2" t="s">
        <v>944</v>
      </c>
      <c r="C212" s="2" t="s">
        <v>945</v>
      </c>
      <c r="D212" s="2" t="s">
        <v>946</v>
      </c>
      <c r="E212" s="2" t="s">
        <v>947</v>
      </c>
      <c r="F212" s="2" t="s">
        <v>948</v>
      </c>
      <c r="G212" s="4" t="n">
        <v>71.46</v>
      </c>
      <c r="H212" s="4" t="n">
        <v>6.5</v>
      </c>
      <c r="I212" s="4" t="n">
        <v>64.96</v>
      </c>
      <c r="J212" s="4" t="n">
        <v>64.96</v>
      </c>
      <c r="K212" s="2" t="n">
        <v>4</v>
      </c>
      <c r="L212" s="2" t="s">
        <v>56</v>
      </c>
      <c r="M212" s="2" t="s">
        <v>57</v>
      </c>
      <c r="N212" s="2"/>
      <c r="O212" s="2" t="s">
        <v>58</v>
      </c>
      <c r="P212" s="2" t="s">
        <v>949</v>
      </c>
      <c r="Q212" s="2" t="str">
        <f aca="false">IF(ROUND(ABS(J212-I212),2)&lt;=0.02,"TRUE","FALSE")</f>
        <v>TRUE</v>
      </c>
    </row>
    <row r="213" customFormat="false" ht="15" hidden="false" customHeight="false" outlineLevel="0" collapsed="false">
      <c r="A213" s="2" t="s">
        <v>18</v>
      </c>
      <c r="B213" s="2" t="s">
        <v>950</v>
      </c>
      <c r="C213" s="2" t="s">
        <v>951</v>
      </c>
      <c r="D213" s="2" t="s">
        <v>952</v>
      </c>
      <c r="E213" s="2" t="s">
        <v>953</v>
      </c>
      <c r="F213" s="2" t="s">
        <v>954</v>
      </c>
      <c r="G213" s="4" t="n">
        <v>73.23</v>
      </c>
      <c r="H213" s="4" t="n">
        <v>6.66</v>
      </c>
      <c r="I213" s="4" t="n">
        <v>66.57</v>
      </c>
      <c r="J213" s="4" t="n">
        <v>66.57</v>
      </c>
      <c r="K213" s="2" t="n">
        <v>4</v>
      </c>
      <c r="L213" s="2" t="s">
        <v>56</v>
      </c>
      <c r="M213" s="2" t="s">
        <v>57</v>
      </c>
      <c r="N213" s="2" t="s">
        <v>955</v>
      </c>
      <c r="O213" s="2" t="s">
        <v>66</v>
      </c>
      <c r="P213" s="2" t="s">
        <v>956</v>
      </c>
      <c r="Q213" s="2" t="str">
        <f aca="false">IF(ROUND(ABS(J213-I213),2)&lt;=0.02,"TRUE","FALSE")</f>
        <v>TRUE</v>
      </c>
    </row>
    <row r="214" customFormat="false" ht="15" hidden="false" customHeight="false" outlineLevel="0" collapsed="false">
      <c r="A214" s="2" t="s">
        <v>18</v>
      </c>
      <c r="B214" s="2" t="s">
        <v>957</v>
      </c>
      <c r="C214" s="2" t="s">
        <v>958</v>
      </c>
      <c r="D214" s="2" t="s">
        <v>959</v>
      </c>
      <c r="E214" s="2" t="s">
        <v>960</v>
      </c>
      <c r="F214" s="2" t="s">
        <v>961</v>
      </c>
      <c r="G214" s="4" t="n">
        <v>88.3</v>
      </c>
      <c r="H214" s="4" t="n">
        <v>8.03</v>
      </c>
      <c r="I214" s="4" t="n">
        <v>80.27</v>
      </c>
      <c r="J214" s="4" t="n">
        <v>80.27</v>
      </c>
      <c r="K214" s="2" t="n">
        <v>4</v>
      </c>
      <c r="L214" s="2" t="s">
        <v>56</v>
      </c>
      <c r="M214" s="2" t="s">
        <v>57</v>
      </c>
      <c r="N214" s="2" t="s">
        <v>962</v>
      </c>
      <c r="O214" s="2" t="s">
        <v>441</v>
      </c>
      <c r="P214" s="2" t="s">
        <v>963</v>
      </c>
      <c r="Q214" s="2" t="str">
        <f aca="false">IF(ROUND(ABS(J214-I214),2)&lt;=0.02,"TRUE","FALSE")</f>
        <v>TRUE</v>
      </c>
    </row>
    <row r="215" customFormat="false" ht="15" hidden="false" customHeight="false" outlineLevel="0" collapsed="false">
      <c r="A215" s="2" t="s">
        <v>18</v>
      </c>
      <c r="B215" s="2" t="s">
        <v>964</v>
      </c>
      <c r="C215" s="2" t="s">
        <v>965</v>
      </c>
      <c r="D215" s="2" t="s">
        <v>966</v>
      </c>
      <c r="E215" s="2" t="s">
        <v>967</v>
      </c>
      <c r="F215" s="2" t="s">
        <v>968</v>
      </c>
      <c r="G215" s="4" t="n">
        <v>70.46</v>
      </c>
      <c r="H215" s="4" t="n">
        <v>6.41</v>
      </c>
      <c r="I215" s="4" t="n">
        <v>64.05</v>
      </c>
      <c r="J215" s="4" t="n">
        <v>64.05</v>
      </c>
      <c r="K215" s="2" t="n">
        <v>2</v>
      </c>
      <c r="L215" s="2" t="s">
        <v>56</v>
      </c>
      <c r="M215" s="2" t="s">
        <v>57</v>
      </c>
      <c r="N215" s="2" t="s">
        <v>935</v>
      </c>
      <c r="O215" s="2" t="s">
        <v>441</v>
      </c>
      <c r="P215" s="2" t="s">
        <v>969</v>
      </c>
      <c r="Q215" s="2" t="str">
        <f aca="false">IF(ROUND(ABS(J215-I215),2)&lt;=0.02,"TRUE","FALSE")</f>
        <v>TRUE</v>
      </c>
    </row>
    <row r="216" customFormat="false" ht="15" hidden="false" customHeight="false" outlineLevel="0" collapsed="false">
      <c r="A216" s="2" t="s">
        <v>18</v>
      </c>
      <c r="B216" s="2" t="s">
        <v>970</v>
      </c>
      <c r="C216" s="2" t="s">
        <v>971</v>
      </c>
      <c r="D216" s="2" t="s">
        <v>972</v>
      </c>
      <c r="E216" s="2" t="s">
        <v>973</v>
      </c>
      <c r="F216" s="2" t="s">
        <v>974</v>
      </c>
      <c r="G216" s="4" t="n">
        <v>71.86</v>
      </c>
      <c r="H216" s="4" t="n">
        <v>6.53</v>
      </c>
      <c r="I216" s="4" t="n">
        <v>65.33</v>
      </c>
      <c r="J216" s="4" t="n">
        <v>65.33</v>
      </c>
      <c r="K216" s="2" t="n">
        <v>4</v>
      </c>
      <c r="L216" s="2" t="s">
        <v>56</v>
      </c>
      <c r="M216" s="2" t="s">
        <v>57</v>
      </c>
      <c r="N216" s="2" t="s">
        <v>975</v>
      </c>
      <c r="O216" s="2" t="s">
        <v>66</v>
      </c>
      <c r="P216" s="2" t="s">
        <v>976</v>
      </c>
      <c r="Q216" s="2" t="str">
        <f aca="false">IF(ROUND(ABS(J216-I216),2)&lt;=0.02,"TRUE","FALSE")</f>
        <v>TRUE</v>
      </c>
    </row>
    <row r="217" customFormat="false" ht="15" hidden="false" customHeight="false" outlineLevel="0" collapsed="false">
      <c r="A217" s="2" t="s">
        <v>18</v>
      </c>
      <c r="B217" s="2" t="s">
        <v>977</v>
      </c>
      <c r="C217" s="2" t="s">
        <v>978</v>
      </c>
      <c r="D217" s="2" t="s">
        <v>979</v>
      </c>
      <c r="E217" s="2" t="s">
        <v>980</v>
      </c>
      <c r="F217" s="2" t="s">
        <v>981</v>
      </c>
      <c r="G217" s="4" t="n">
        <v>70.46</v>
      </c>
      <c r="H217" s="4" t="n">
        <v>6.41</v>
      </c>
      <c r="I217" s="4" t="n">
        <v>64.05</v>
      </c>
      <c r="J217" s="4" t="n">
        <v>64.05</v>
      </c>
      <c r="K217" s="2" t="n">
        <v>2</v>
      </c>
      <c r="L217" s="2" t="s">
        <v>56</v>
      </c>
      <c r="M217" s="2" t="s">
        <v>57</v>
      </c>
      <c r="N217" s="2"/>
      <c r="O217" s="2" t="s">
        <v>58</v>
      </c>
      <c r="P217" s="2" t="s">
        <v>982</v>
      </c>
      <c r="Q217" s="2" t="str">
        <f aca="false">IF(ROUND(ABS(J217-I217),2)&lt;=0.02,"TRUE","FALSE")</f>
        <v>TRUE</v>
      </c>
    </row>
    <row r="218" customFormat="false" ht="15" hidden="false" customHeight="false" outlineLevel="0" collapsed="false">
      <c r="A218" s="2" t="s">
        <v>18</v>
      </c>
      <c r="B218" s="2" t="s">
        <v>983</v>
      </c>
      <c r="C218" s="2" t="s">
        <v>984</v>
      </c>
      <c r="D218" s="2" t="s">
        <v>985</v>
      </c>
      <c r="E218" s="2" t="s">
        <v>986</v>
      </c>
      <c r="F218" s="2" t="s">
        <v>987</v>
      </c>
      <c r="G218" s="4" t="n">
        <v>71.38</v>
      </c>
      <c r="H218" s="4" t="n">
        <v>6.5</v>
      </c>
      <c r="I218" s="4" t="n">
        <v>64.88</v>
      </c>
      <c r="J218" s="4" t="n">
        <v>64.88</v>
      </c>
      <c r="K218" s="2" t="n">
        <v>5</v>
      </c>
      <c r="L218" s="2" t="s">
        <v>56</v>
      </c>
      <c r="M218" s="2" t="s">
        <v>57</v>
      </c>
      <c r="N218" s="2" t="s">
        <v>988</v>
      </c>
      <c r="O218" s="2" t="s">
        <v>66</v>
      </c>
      <c r="P218" s="2" t="s">
        <v>989</v>
      </c>
      <c r="Q218" s="2" t="str">
        <f aca="false">IF(ROUND(ABS(J218-I218),2)&lt;=0.02,"TRUE","FALSE")</f>
        <v>TRUE</v>
      </c>
    </row>
    <row r="219" customFormat="false" ht="15" hidden="false" customHeight="false" outlineLevel="0" collapsed="false">
      <c r="A219" s="2" t="s">
        <v>18</v>
      </c>
      <c r="B219" s="2" t="s">
        <v>937</v>
      </c>
      <c r="C219" s="2" t="s">
        <v>938</v>
      </c>
      <c r="D219" s="2" t="s">
        <v>990</v>
      </c>
      <c r="E219" s="2" t="s">
        <v>940</v>
      </c>
      <c r="F219" s="2" t="s">
        <v>941</v>
      </c>
      <c r="G219" s="4" t="n">
        <v>111.64</v>
      </c>
      <c r="H219" s="4" t="n">
        <v>10.16</v>
      </c>
      <c r="I219" s="4" t="n">
        <v>101.48</v>
      </c>
      <c r="J219" s="4" t="n">
        <v>101.48</v>
      </c>
      <c r="K219" s="2" t="n">
        <v>6</v>
      </c>
      <c r="L219" s="2" t="s">
        <v>56</v>
      </c>
      <c r="M219" s="2" t="s">
        <v>57</v>
      </c>
      <c r="N219" s="2" t="s">
        <v>942</v>
      </c>
      <c r="O219" s="2" t="s">
        <v>217</v>
      </c>
      <c r="P219" s="2" t="s">
        <v>991</v>
      </c>
      <c r="Q219" s="2" t="str">
        <f aca="false">IF(ROUND(ABS(J219-I219),2)&lt;=0.02,"TRUE","FALSE")</f>
        <v>TRUE</v>
      </c>
    </row>
    <row r="220" customFormat="false" ht="15" hidden="false" customHeight="false" outlineLevel="0" collapsed="false">
      <c r="A220" s="2" t="s">
        <v>18</v>
      </c>
      <c r="B220" s="2" t="s">
        <v>992</v>
      </c>
      <c r="C220" s="2" t="s">
        <v>993</v>
      </c>
      <c r="D220" s="2" t="s">
        <v>994</v>
      </c>
      <c r="E220" s="2" t="s">
        <v>995</v>
      </c>
      <c r="F220" s="2" t="s">
        <v>995</v>
      </c>
      <c r="G220" s="4" t="n">
        <v>95.02</v>
      </c>
      <c r="H220" s="4" t="n">
        <v>8.65</v>
      </c>
      <c r="I220" s="4" t="n">
        <v>86.37</v>
      </c>
      <c r="J220" s="4" t="n">
        <v>86.37</v>
      </c>
      <c r="K220" s="2" t="n">
        <v>6</v>
      </c>
      <c r="L220" s="2" t="s">
        <v>56</v>
      </c>
      <c r="M220" s="2" t="s">
        <v>57</v>
      </c>
      <c r="N220" s="2" t="s">
        <v>996</v>
      </c>
      <c r="O220" s="2" t="s">
        <v>104</v>
      </c>
      <c r="P220" s="2" t="s">
        <v>997</v>
      </c>
      <c r="Q220" s="2" t="str">
        <f aca="false">IF(ROUND(ABS(J220-I220),2)&lt;=0.02,"TRUE","FALSE")</f>
        <v>TRUE</v>
      </c>
    </row>
    <row r="221" customFormat="false" ht="15" hidden="false" customHeight="false" outlineLevel="0" collapsed="false">
      <c r="A221" s="2" t="s">
        <v>18</v>
      </c>
      <c r="B221" s="2" t="s">
        <v>998</v>
      </c>
      <c r="C221" s="2" t="s">
        <v>999</v>
      </c>
      <c r="D221" s="2" t="s">
        <v>1000</v>
      </c>
      <c r="E221" s="2" t="s">
        <v>1001</v>
      </c>
      <c r="F221" s="2" t="s">
        <v>1002</v>
      </c>
      <c r="G221" s="4" t="n">
        <v>70.55</v>
      </c>
      <c r="H221" s="4" t="n">
        <v>6.42</v>
      </c>
      <c r="I221" s="4" t="n">
        <v>64.13</v>
      </c>
      <c r="J221" s="4" t="n">
        <v>64.13</v>
      </c>
      <c r="K221" s="2" t="n">
        <v>14</v>
      </c>
      <c r="L221" s="2" t="s">
        <v>56</v>
      </c>
      <c r="M221" s="2" t="s">
        <v>57</v>
      </c>
      <c r="N221" s="2"/>
      <c r="O221" s="2" t="s">
        <v>58</v>
      </c>
      <c r="P221" s="2" t="s">
        <v>1003</v>
      </c>
      <c r="Q221" s="2" t="str">
        <f aca="false">IF(ROUND(ABS(J221-I221),2)&lt;=0.02,"TRUE","FALSE")</f>
        <v>TRUE</v>
      </c>
    </row>
    <row r="222" customFormat="false" ht="15" hidden="false" customHeight="false" outlineLevel="0" collapsed="false">
      <c r="A222" s="2" t="s">
        <v>18</v>
      </c>
      <c r="B222" s="2" t="s">
        <v>1004</v>
      </c>
      <c r="C222" s="2" t="s">
        <v>1005</v>
      </c>
      <c r="D222" s="2" t="s">
        <v>1006</v>
      </c>
      <c r="E222" s="2" t="s">
        <v>1007</v>
      </c>
      <c r="F222" s="2" t="s">
        <v>1008</v>
      </c>
      <c r="G222" s="4" t="n">
        <v>112.04</v>
      </c>
      <c r="H222" s="4" t="n">
        <v>10.19</v>
      </c>
      <c r="I222" s="4" t="n">
        <v>101.85</v>
      </c>
      <c r="J222" s="4" t="n">
        <v>101.85</v>
      </c>
      <c r="K222" s="2" t="n">
        <v>4</v>
      </c>
      <c r="L222" s="2" t="s">
        <v>56</v>
      </c>
      <c r="M222" s="2" t="s">
        <v>57</v>
      </c>
      <c r="N222" s="2" t="s">
        <v>1009</v>
      </c>
      <c r="O222" s="2" t="s">
        <v>66</v>
      </c>
      <c r="P222" s="2" t="s">
        <v>1010</v>
      </c>
      <c r="Q222" s="2" t="str">
        <f aca="false">IF(ROUND(ABS(J222-I222),2)&lt;=0.02,"TRUE","FALSE")</f>
        <v>TRUE</v>
      </c>
    </row>
    <row r="223" customFormat="false" ht="15" hidden="false" customHeight="false" outlineLevel="0" collapsed="false">
      <c r="A223" s="2" t="s">
        <v>18</v>
      </c>
      <c r="B223" s="2" t="s">
        <v>1011</v>
      </c>
      <c r="C223" s="2" t="s">
        <v>1012</v>
      </c>
      <c r="D223" s="2" t="s">
        <v>1013</v>
      </c>
      <c r="E223" s="2" t="s">
        <v>1014</v>
      </c>
      <c r="F223" s="2" t="s">
        <v>1015</v>
      </c>
      <c r="G223" s="4" t="n">
        <v>70.46</v>
      </c>
      <c r="H223" s="4" t="n">
        <v>6.41</v>
      </c>
      <c r="I223" s="4" t="n">
        <v>64.05</v>
      </c>
      <c r="J223" s="4" t="n">
        <v>64.05</v>
      </c>
      <c r="K223" s="2" t="n">
        <v>2</v>
      </c>
      <c r="L223" s="2" t="s">
        <v>56</v>
      </c>
      <c r="M223" s="2" t="s">
        <v>57</v>
      </c>
      <c r="N223" s="2" t="s">
        <v>1016</v>
      </c>
      <c r="O223" s="2" t="s">
        <v>66</v>
      </c>
      <c r="P223" s="2" t="s">
        <v>1017</v>
      </c>
      <c r="Q223" s="2" t="str">
        <f aca="false">IF(ROUND(ABS(J223-I223),2)&lt;=0.02,"TRUE","FALSE")</f>
        <v>TRUE</v>
      </c>
    </row>
    <row r="224" customFormat="false" ht="15" hidden="false" customHeight="false" outlineLevel="0" collapsed="false">
      <c r="A224" s="2" t="s">
        <v>18</v>
      </c>
      <c r="B224" s="2" t="s">
        <v>1018</v>
      </c>
      <c r="C224" s="2" t="s">
        <v>1019</v>
      </c>
      <c r="D224" s="2" t="s">
        <v>1020</v>
      </c>
      <c r="E224" s="2" t="s">
        <v>1021</v>
      </c>
      <c r="F224" s="2" t="s">
        <v>1022</v>
      </c>
      <c r="G224" s="4" t="n">
        <v>129.48</v>
      </c>
      <c r="H224" s="4" t="n">
        <v>11.78</v>
      </c>
      <c r="I224" s="4" t="n">
        <v>117.7</v>
      </c>
      <c r="J224" s="4" t="n">
        <v>117.7</v>
      </c>
      <c r="K224" s="2" t="n">
        <v>4</v>
      </c>
      <c r="L224" s="2" t="s">
        <v>56</v>
      </c>
      <c r="M224" s="2" t="s">
        <v>57</v>
      </c>
      <c r="N224" s="2" t="s">
        <v>1023</v>
      </c>
      <c r="O224" s="2" t="s">
        <v>66</v>
      </c>
      <c r="P224" s="2" t="s">
        <v>1024</v>
      </c>
      <c r="Q224" s="2" t="str">
        <f aca="false">IF(ROUND(ABS(J224-I224),2)&lt;=0.02,"TRUE","FALSE")</f>
        <v>TRUE</v>
      </c>
    </row>
    <row r="225" customFormat="false" ht="15" hidden="false" customHeight="false" outlineLevel="0" collapsed="false">
      <c r="A225" s="2" t="s">
        <v>18</v>
      </c>
      <c r="B225" s="2" t="s">
        <v>1025</v>
      </c>
      <c r="C225" s="2" t="s">
        <v>1026</v>
      </c>
      <c r="D225" s="2" t="s">
        <v>1027</v>
      </c>
      <c r="E225" s="2" t="s">
        <v>1028</v>
      </c>
      <c r="F225" s="2" t="s">
        <v>1029</v>
      </c>
      <c r="G225" s="4" t="n">
        <v>121.92</v>
      </c>
      <c r="H225" s="4" t="n">
        <v>11.09</v>
      </c>
      <c r="I225" s="4" t="n">
        <v>110.83</v>
      </c>
      <c r="J225" s="4" t="n">
        <v>110.83</v>
      </c>
      <c r="K225" s="2" t="n">
        <v>4</v>
      </c>
      <c r="L225" s="2" t="s">
        <v>56</v>
      </c>
      <c r="M225" s="2" t="s">
        <v>57</v>
      </c>
      <c r="N225" s="2" t="s">
        <v>1030</v>
      </c>
      <c r="O225" s="2" t="s">
        <v>66</v>
      </c>
      <c r="P225" s="2" t="s">
        <v>1031</v>
      </c>
      <c r="Q225" s="2" t="str">
        <f aca="false">IF(ROUND(ABS(J225-I225),2)&lt;=0.02,"TRUE","FALSE")</f>
        <v>TRUE</v>
      </c>
    </row>
    <row r="226" customFormat="false" ht="15" hidden="false" customHeight="false" outlineLevel="0" collapsed="false">
      <c r="A226" s="2" t="s">
        <v>26</v>
      </c>
      <c r="B226" s="2" t="s">
        <v>944</v>
      </c>
      <c r="C226" s="2" t="s">
        <v>945</v>
      </c>
      <c r="D226" s="2" t="s">
        <v>1032</v>
      </c>
      <c r="E226" s="2" t="s">
        <v>947</v>
      </c>
      <c r="F226" s="2" t="s">
        <v>948</v>
      </c>
      <c r="G226" s="4" t="n">
        <v>36.76</v>
      </c>
      <c r="H226" s="4" t="n">
        <v>3.35</v>
      </c>
      <c r="I226" s="4" t="n">
        <v>33.41</v>
      </c>
      <c r="J226" s="4" t="n">
        <v>33.41</v>
      </c>
      <c r="K226" s="2" t="n">
        <v>2</v>
      </c>
      <c r="L226" s="2" t="s">
        <v>56</v>
      </c>
      <c r="M226" s="2" t="s">
        <v>57</v>
      </c>
      <c r="N226" s="2"/>
      <c r="O226" s="2" t="s">
        <v>58</v>
      </c>
      <c r="P226" s="2" t="s">
        <v>1033</v>
      </c>
      <c r="Q226" s="2" t="str">
        <f aca="false">IF(ROUND(ABS(J226-I226),2)&lt;=0.02,"TRUE","FALSE")</f>
        <v>TRUE</v>
      </c>
    </row>
    <row r="227" customFormat="false" ht="15" hidden="false" customHeight="false" outlineLevel="0" collapsed="false">
      <c r="A227" s="2" t="s">
        <v>26</v>
      </c>
      <c r="B227" s="2" t="s">
        <v>821</v>
      </c>
      <c r="C227" s="2" t="s">
        <v>822</v>
      </c>
      <c r="D227" s="2" t="s">
        <v>1034</v>
      </c>
      <c r="E227" s="2" t="s">
        <v>824</v>
      </c>
      <c r="F227" s="2" t="s">
        <v>825</v>
      </c>
      <c r="G227" s="4" t="n">
        <v>62</v>
      </c>
      <c r="H227" s="4" t="n">
        <v>5.64</v>
      </c>
      <c r="I227" s="4" t="n">
        <v>56.36</v>
      </c>
      <c r="J227" s="4" t="n">
        <v>56.36</v>
      </c>
      <c r="K227" s="2" t="n">
        <v>2</v>
      </c>
      <c r="L227" s="2" t="s">
        <v>56</v>
      </c>
      <c r="M227" s="2" t="s">
        <v>57</v>
      </c>
      <c r="N227" s="2" t="s">
        <v>826</v>
      </c>
      <c r="O227" s="2" t="s">
        <v>66</v>
      </c>
      <c r="P227" s="2" t="s">
        <v>1035</v>
      </c>
      <c r="Q227" s="2" t="str">
        <f aca="false">IF(ROUND(ABS(J227-I227),2)&lt;=0.02,"TRUE","FALSE")</f>
        <v>TRUE</v>
      </c>
    </row>
    <row r="228" customFormat="false" ht="15" hidden="false" customHeight="false" outlineLevel="0" collapsed="false">
      <c r="A228" s="2" t="s">
        <v>26</v>
      </c>
      <c r="B228" s="2" t="s">
        <v>950</v>
      </c>
      <c r="C228" s="2" t="s">
        <v>951</v>
      </c>
      <c r="D228" s="2" t="s">
        <v>1036</v>
      </c>
      <c r="E228" s="2" t="s">
        <v>953</v>
      </c>
      <c r="F228" s="2" t="s">
        <v>954</v>
      </c>
      <c r="G228" s="4" t="n">
        <v>37.73</v>
      </c>
      <c r="H228" s="4" t="n">
        <v>3.43</v>
      </c>
      <c r="I228" s="4" t="n">
        <v>34.3</v>
      </c>
      <c r="J228" s="4" t="n">
        <v>34.3</v>
      </c>
      <c r="K228" s="2" t="n">
        <v>2</v>
      </c>
      <c r="L228" s="2" t="s">
        <v>56</v>
      </c>
      <c r="M228" s="2" t="s">
        <v>57</v>
      </c>
      <c r="N228" s="2" t="s">
        <v>955</v>
      </c>
      <c r="O228" s="2" t="s">
        <v>66</v>
      </c>
      <c r="P228" s="2" t="s">
        <v>1037</v>
      </c>
      <c r="Q228" s="2" t="str">
        <f aca="false">IF(ROUND(ABS(J228-I228),2)&lt;=0.02,"TRUE","FALSE")</f>
        <v>TRUE</v>
      </c>
    </row>
    <row r="229" customFormat="false" ht="15" hidden="false" customHeight="false" outlineLevel="0" collapsed="false">
      <c r="A229" s="2" t="s">
        <v>26</v>
      </c>
      <c r="B229" s="2" t="s">
        <v>532</v>
      </c>
      <c r="C229" s="2" t="s">
        <v>533</v>
      </c>
      <c r="D229" s="2" t="s">
        <v>1038</v>
      </c>
      <c r="E229" s="2" t="s">
        <v>535</v>
      </c>
      <c r="F229" s="2" t="s">
        <v>536</v>
      </c>
      <c r="G229" s="4" t="n">
        <v>35.81</v>
      </c>
      <c r="H229" s="4" t="n">
        <v>3.26</v>
      </c>
      <c r="I229" s="4" t="n">
        <v>32.55</v>
      </c>
      <c r="J229" s="4" t="n">
        <v>32.55</v>
      </c>
      <c r="K229" s="2" t="n">
        <v>1</v>
      </c>
      <c r="L229" s="2" t="s">
        <v>56</v>
      </c>
      <c r="M229" s="2" t="s">
        <v>57</v>
      </c>
      <c r="N229" s="2" t="s">
        <v>537</v>
      </c>
      <c r="O229" s="2" t="s">
        <v>66</v>
      </c>
      <c r="P229" s="2" t="s">
        <v>1039</v>
      </c>
      <c r="Q229" s="2" t="str">
        <f aca="false">IF(ROUND(ABS(J229-I229),2)&lt;=0.02,"TRUE","FALSE")</f>
        <v>TRUE</v>
      </c>
    </row>
    <row r="230" customFormat="false" ht="15" hidden="false" customHeight="false" outlineLevel="0" collapsed="false">
      <c r="A230" s="2" t="s">
        <v>26</v>
      </c>
      <c r="B230" s="2" t="s">
        <v>957</v>
      </c>
      <c r="C230" s="2" t="s">
        <v>958</v>
      </c>
      <c r="D230" s="2" t="s">
        <v>1040</v>
      </c>
      <c r="E230" s="2" t="s">
        <v>960</v>
      </c>
      <c r="F230" s="2" t="s">
        <v>961</v>
      </c>
      <c r="G230" s="4" t="n">
        <v>35.81</v>
      </c>
      <c r="H230" s="4" t="n">
        <v>3.26</v>
      </c>
      <c r="I230" s="4" t="n">
        <v>32.55</v>
      </c>
      <c r="J230" s="4" t="n">
        <v>32.55</v>
      </c>
      <c r="K230" s="2" t="n">
        <v>1</v>
      </c>
      <c r="L230" s="2" t="s">
        <v>56</v>
      </c>
      <c r="M230" s="2" t="s">
        <v>57</v>
      </c>
      <c r="N230" s="2" t="s">
        <v>962</v>
      </c>
      <c r="O230" s="2" t="s">
        <v>441</v>
      </c>
      <c r="P230" s="2" t="s">
        <v>1041</v>
      </c>
      <c r="Q230" s="2" t="str">
        <f aca="false">IF(ROUND(ABS(J230-I230),2)&lt;=0.02,"TRUE","FALSE")</f>
        <v>TRUE</v>
      </c>
    </row>
    <row r="231" customFormat="false" ht="15" hidden="false" customHeight="false" outlineLevel="0" collapsed="false">
      <c r="A231" s="2" t="s">
        <v>26</v>
      </c>
      <c r="B231" s="2" t="s">
        <v>815</v>
      </c>
      <c r="C231" s="2" t="s">
        <v>816</v>
      </c>
      <c r="D231" s="2" t="s">
        <v>1042</v>
      </c>
      <c r="E231" s="2" t="s">
        <v>818</v>
      </c>
      <c r="F231" s="2" t="s">
        <v>819</v>
      </c>
      <c r="G231" s="4" t="n">
        <v>67.25</v>
      </c>
      <c r="H231" s="4" t="n">
        <v>6.12</v>
      </c>
      <c r="I231" s="4" t="n">
        <v>61.13</v>
      </c>
      <c r="J231" s="4" t="n">
        <v>61.13</v>
      </c>
      <c r="K231" s="2" t="n">
        <v>2</v>
      </c>
      <c r="L231" s="2" t="s">
        <v>56</v>
      </c>
      <c r="M231" s="2" t="s">
        <v>57</v>
      </c>
      <c r="N231" s="2"/>
      <c r="O231" s="2" t="s">
        <v>58</v>
      </c>
      <c r="P231" s="2" t="s">
        <v>1043</v>
      </c>
      <c r="Q231" s="2" t="str">
        <f aca="false">IF(ROUND(ABS(J231-I231),2)&lt;=0.02,"TRUE","FALSE")</f>
        <v>TRUE</v>
      </c>
    </row>
    <row r="232" customFormat="false" ht="15" hidden="false" customHeight="false" outlineLevel="0" collapsed="false">
      <c r="A232" s="2" t="s">
        <v>26</v>
      </c>
      <c r="B232" s="2" t="s">
        <v>964</v>
      </c>
      <c r="C232" s="2" t="s">
        <v>965</v>
      </c>
      <c r="D232" s="2" t="s">
        <v>1044</v>
      </c>
      <c r="E232" s="2" t="s">
        <v>967</v>
      </c>
      <c r="F232" s="2" t="s">
        <v>968</v>
      </c>
      <c r="G232" s="4" t="n">
        <v>35.81</v>
      </c>
      <c r="H232" s="4" t="n">
        <v>3.26</v>
      </c>
      <c r="I232" s="4" t="n">
        <v>32.55</v>
      </c>
      <c r="J232" s="4" t="n">
        <v>32.55</v>
      </c>
      <c r="K232" s="2" t="n">
        <v>1</v>
      </c>
      <c r="L232" s="2" t="s">
        <v>56</v>
      </c>
      <c r="M232" s="2" t="s">
        <v>57</v>
      </c>
      <c r="N232" s="2" t="s">
        <v>935</v>
      </c>
      <c r="O232" s="2" t="s">
        <v>441</v>
      </c>
      <c r="P232" s="2" t="s">
        <v>1045</v>
      </c>
      <c r="Q232" s="2" t="str">
        <f aca="false">IF(ROUND(ABS(J232-I232),2)&lt;=0.02,"TRUE","FALSE")</f>
        <v>TRUE</v>
      </c>
    </row>
    <row r="233" customFormat="false" ht="15" hidden="false" customHeight="false" outlineLevel="0" collapsed="false">
      <c r="A233" s="2" t="s">
        <v>26</v>
      </c>
      <c r="B233" s="2" t="s">
        <v>970</v>
      </c>
      <c r="C233" s="2" t="s">
        <v>971</v>
      </c>
      <c r="D233" s="2" t="s">
        <v>1046</v>
      </c>
      <c r="E233" s="2" t="s">
        <v>973</v>
      </c>
      <c r="F233" s="2" t="s">
        <v>974</v>
      </c>
      <c r="G233" s="4" t="n">
        <v>36.57</v>
      </c>
      <c r="H233" s="4" t="n">
        <v>3.33</v>
      </c>
      <c r="I233" s="4" t="n">
        <v>33.24</v>
      </c>
      <c r="J233" s="4" t="n">
        <v>33.24</v>
      </c>
      <c r="K233" s="2" t="n">
        <v>2</v>
      </c>
      <c r="L233" s="2" t="s">
        <v>56</v>
      </c>
      <c r="M233" s="2" t="s">
        <v>57</v>
      </c>
      <c r="N233" s="2" t="s">
        <v>975</v>
      </c>
      <c r="O233" s="2" t="s">
        <v>66</v>
      </c>
      <c r="P233" s="2" t="s">
        <v>1047</v>
      </c>
      <c r="Q233" s="2" t="str">
        <f aca="false">IF(ROUND(ABS(J233-I233),2)&lt;=0.02,"TRUE","FALSE")</f>
        <v>TRUE</v>
      </c>
    </row>
    <row r="234" customFormat="false" ht="15" hidden="false" customHeight="false" outlineLevel="0" collapsed="false">
      <c r="A234" s="2" t="s">
        <v>26</v>
      </c>
      <c r="B234" s="2" t="s">
        <v>977</v>
      </c>
      <c r="C234" s="2" t="s">
        <v>978</v>
      </c>
      <c r="D234" s="2" t="s">
        <v>1048</v>
      </c>
      <c r="E234" s="2" t="s">
        <v>980</v>
      </c>
      <c r="F234" s="2" t="s">
        <v>981</v>
      </c>
      <c r="G234" s="4" t="n">
        <v>35.81</v>
      </c>
      <c r="H234" s="4" t="n">
        <v>3.26</v>
      </c>
      <c r="I234" s="4" t="n">
        <v>32.55</v>
      </c>
      <c r="J234" s="4" t="n">
        <v>32.55</v>
      </c>
      <c r="K234" s="2" t="n">
        <v>1</v>
      </c>
      <c r="L234" s="2" t="s">
        <v>56</v>
      </c>
      <c r="M234" s="2" t="s">
        <v>57</v>
      </c>
      <c r="N234" s="2"/>
      <c r="O234" s="2" t="s">
        <v>58</v>
      </c>
      <c r="P234" s="2" t="s">
        <v>1049</v>
      </c>
      <c r="Q234" s="2" t="str">
        <f aca="false">IF(ROUND(ABS(J234-I234),2)&lt;=0.02,"TRUE","FALSE")</f>
        <v>TRUE</v>
      </c>
    </row>
    <row r="235" customFormat="false" ht="15" hidden="false" customHeight="false" outlineLevel="0" collapsed="false">
      <c r="A235" s="2" t="s">
        <v>26</v>
      </c>
      <c r="B235" s="2" t="s">
        <v>998</v>
      </c>
      <c r="C235" s="2" t="s">
        <v>999</v>
      </c>
      <c r="D235" s="2" t="s">
        <v>1050</v>
      </c>
      <c r="E235" s="2" t="s">
        <v>1001</v>
      </c>
      <c r="F235" s="2" t="s">
        <v>1002</v>
      </c>
      <c r="G235" s="4" t="n">
        <v>35.97</v>
      </c>
      <c r="H235" s="4" t="n">
        <v>3.27</v>
      </c>
      <c r="I235" s="4" t="n">
        <v>32.7</v>
      </c>
      <c r="J235" s="4" t="n">
        <v>32.7</v>
      </c>
      <c r="K235" s="2" t="n">
        <v>2</v>
      </c>
      <c r="L235" s="2" t="s">
        <v>56</v>
      </c>
      <c r="M235" s="2" t="s">
        <v>57</v>
      </c>
      <c r="N235" s="2"/>
      <c r="O235" s="2" t="s">
        <v>58</v>
      </c>
      <c r="P235" s="2" t="s">
        <v>1051</v>
      </c>
      <c r="Q235" s="2" t="str">
        <f aca="false">IF(ROUND(ABS(J235-I235),2)&lt;=0.02,"TRUE","FALSE")</f>
        <v>TRUE</v>
      </c>
    </row>
    <row r="236" customFormat="false" ht="15" hidden="false" customHeight="false" outlineLevel="0" collapsed="false">
      <c r="A236" s="2" t="s">
        <v>26</v>
      </c>
      <c r="B236" s="2" t="s">
        <v>1004</v>
      </c>
      <c r="C236" s="2" t="s">
        <v>1005</v>
      </c>
      <c r="D236" s="2" t="s">
        <v>1052</v>
      </c>
      <c r="E236" s="2" t="s">
        <v>1007</v>
      </c>
      <c r="F236" s="2" t="s">
        <v>1008</v>
      </c>
      <c r="G236" s="4" t="n">
        <v>58.28</v>
      </c>
      <c r="H236" s="4" t="n">
        <v>5.3</v>
      </c>
      <c r="I236" s="4" t="n">
        <v>52.98</v>
      </c>
      <c r="J236" s="4" t="n">
        <v>52.98</v>
      </c>
      <c r="K236" s="2" t="n">
        <v>2</v>
      </c>
      <c r="L236" s="2" t="s">
        <v>56</v>
      </c>
      <c r="M236" s="2" t="s">
        <v>57</v>
      </c>
      <c r="N236" s="2" t="s">
        <v>1009</v>
      </c>
      <c r="O236" s="2" t="s">
        <v>66</v>
      </c>
      <c r="P236" s="2" t="s">
        <v>1053</v>
      </c>
      <c r="Q236" s="2" t="str">
        <f aca="false">IF(ROUND(ABS(J236-I236),2)&lt;=0.02,"TRUE","FALSE")</f>
        <v>TRUE</v>
      </c>
    </row>
    <row r="237" customFormat="false" ht="15" hidden="false" customHeight="false" outlineLevel="0" collapsed="false">
      <c r="A237" s="2" t="s">
        <v>26</v>
      </c>
      <c r="B237" s="2" t="s">
        <v>1011</v>
      </c>
      <c r="C237" s="2" t="s">
        <v>1012</v>
      </c>
      <c r="D237" s="2" t="s">
        <v>1054</v>
      </c>
      <c r="E237" s="2" t="s">
        <v>1014</v>
      </c>
      <c r="F237" s="2" t="s">
        <v>1015</v>
      </c>
      <c r="G237" s="4" t="n">
        <v>35.81</v>
      </c>
      <c r="H237" s="4" t="n">
        <v>3.26</v>
      </c>
      <c r="I237" s="4" t="n">
        <v>32.55</v>
      </c>
      <c r="J237" s="4" t="n">
        <v>32.55</v>
      </c>
      <c r="K237" s="2" t="n">
        <v>1</v>
      </c>
      <c r="L237" s="2" t="s">
        <v>56</v>
      </c>
      <c r="M237" s="2" t="s">
        <v>57</v>
      </c>
      <c r="N237" s="2" t="s">
        <v>1016</v>
      </c>
      <c r="O237" s="2" t="s">
        <v>66</v>
      </c>
      <c r="P237" s="2" t="s">
        <v>1055</v>
      </c>
      <c r="Q237" s="2" t="str">
        <f aca="false">IF(ROUND(ABS(J237-I237),2)&lt;=0.02,"TRUE","FALSE")</f>
        <v>TRUE</v>
      </c>
    </row>
    <row r="238" customFormat="false" ht="15" hidden="false" customHeight="false" outlineLevel="0" collapsed="false">
      <c r="A238" s="2" t="s">
        <v>26</v>
      </c>
      <c r="B238" s="2" t="s">
        <v>1018</v>
      </c>
      <c r="C238" s="2" t="s">
        <v>1019</v>
      </c>
      <c r="D238" s="2" t="s">
        <v>1056</v>
      </c>
      <c r="E238" s="2" t="s">
        <v>1021</v>
      </c>
      <c r="F238" s="2" t="s">
        <v>1022</v>
      </c>
      <c r="G238" s="4" t="n">
        <v>64.74</v>
      </c>
      <c r="H238" s="4" t="n">
        <v>5.89</v>
      </c>
      <c r="I238" s="4" t="n">
        <v>58.85</v>
      </c>
      <c r="J238" s="4" t="n">
        <v>58.85</v>
      </c>
      <c r="K238" s="2" t="n">
        <v>2</v>
      </c>
      <c r="L238" s="2" t="s">
        <v>56</v>
      </c>
      <c r="M238" s="2" t="s">
        <v>57</v>
      </c>
      <c r="N238" s="2" t="s">
        <v>1023</v>
      </c>
      <c r="O238" s="2" t="s">
        <v>66</v>
      </c>
      <c r="P238" s="2" t="s">
        <v>1057</v>
      </c>
      <c r="Q238" s="2" t="str">
        <f aca="false">IF(ROUND(ABS(J238-I238),2)&lt;=0.02,"TRUE","FALSE")</f>
        <v>TRUE</v>
      </c>
    </row>
    <row r="239" customFormat="false" ht="15" hidden="false" customHeight="false" outlineLevel="0" collapsed="false">
      <c r="A239" s="2" t="s">
        <v>26</v>
      </c>
      <c r="B239" s="2" t="s">
        <v>1025</v>
      </c>
      <c r="C239" s="2" t="s">
        <v>1026</v>
      </c>
      <c r="D239" s="2" t="s">
        <v>1058</v>
      </c>
      <c r="E239" s="2" t="s">
        <v>1028</v>
      </c>
      <c r="F239" s="2" t="s">
        <v>1029</v>
      </c>
      <c r="G239" s="4" t="n">
        <v>67.06</v>
      </c>
      <c r="H239" s="4" t="n">
        <v>6.1</v>
      </c>
      <c r="I239" s="4" t="n">
        <v>60.96</v>
      </c>
      <c r="J239" s="4" t="n">
        <v>60.96</v>
      </c>
      <c r="K239" s="2" t="n">
        <v>2</v>
      </c>
      <c r="L239" s="2" t="s">
        <v>56</v>
      </c>
      <c r="M239" s="2" t="s">
        <v>57</v>
      </c>
      <c r="N239" s="2" t="s">
        <v>1030</v>
      </c>
      <c r="O239" s="2" t="s">
        <v>66</v>
      </c>
      <c r="P239" s="2" t="s">
        <v>1059</v>
      </c>
      <c r="Q239" s="2" t="str">
        <f aca="false">IF(ROUND(ABS(J239-I239),2)&lt;=0.02,"TRUE","FALSE")</f>
        <v>TRUE</v>
      </c>
    </row>
    <row r="240" customFormat="false" ht="15" hidden="false" customHeight="false" outlineLevel="0" collapsed="false">
      <c r="A240" s="2" t="s">
        <v>10</v>
      </c>
      <c r="B240" s="2" t="s">
        <v>944</v>
      </c>
      <c r="C240" s="2" t="s">
        <v>945</v>
      </c>
      <c r="D240" s="2" t="s">
        <v>1060</v>
      </c>
      <c r="E240" s="2" t="s">
        <v>947</v>
      </c>
      <c r="F240" s="2" t="s">
        <v>948</v>
      </c>
      <c r="G240" s="4" t="n">
        <v>36.46</v>
      </c>
      <c r="H240" s="4" t="n">
        <v>3.32</v>
      </c>
      <c r="I240" s="4" t="n">
        <v>33.14</v>
      </c>
      <c r="J240" s="4" t="n">
        <v>33.14</v>
      </c>
      <c r="K240" s="2" t="n">
        <v>2</v>
      </c>
      <c r="L240" s="2" t="s">
        <v>56</v>
      </c>
      <c r="M240" s="2" t="s">
        <v>57</v>
      </c>
      <c r="N240" s="2"/>
      <c r="O240" s="2" t="s">
        <v>58</v>
      </c>
      <c r="P240" s="2" t="s">
        <v>1061</v>
      </c>
      <c r="Q240" s="2" t="str">
        <f aca="false">IF(ROUND(ABS(J240-I240),2)&lt;=0.02,"TRUE","FALSE")</f>
        <v>TRUE</v>
      </c>
    </row>
    <row r="241" customFormat="false" ht="15" hidden="false" customHeight="false" outlineLevel="0" collapsed="false">
      <c r="A241" s="2" t="s">
        <v>10</v>
      </c>
      <c r="B241" s="2" t="s">
        <v>950</v>
      </c>
      <c r="C241" s="2" t="s">
        <v>951</v>
      </c>
      <c r="D241" s="2" t="s">
        <v>1062</v>
      </c>
      <c r="E241" s="2" t="s">
        <v>953</v>
      </c>
      <c r="F241" s="2" t="s">
        <v>954</v>
      </c>
      <c r="G241" s="4" t="n">
        <v>35.81</v>
      </c>
      <c r="H241" s="4" t="n">
        <v>3.26</v>
      </c>
      <c r="I241" s="4" t="n">
        <v>32.55</v>
      </c>
      <c r="J241" s="4" t="n">
        <v>32.55</v>
      </c>
      <c r="K241" s="2" t="n">
        <v>1</v>
      </c>
      <c r="L241" s="2" t="s">
        <v>56</v>
      </c>
      <c r="M241" s="2" t="s">
        <v>57</v>
      </c>
      <c r="N241" s="2" t="s">
        <v>955</v>
      </c>
      <c r="O241" s="2" t="s">
        <v>66</v>
      </c>
      <c r="P241" s="2" t="s">
        <v>1063</v>
      </c>
      <c r="Q241" s="2" t="str">
        <f aca="false">IF(ROUND(ABS(J241-I241),2)&lt;=0.02,"TRUE","FALSE")</f>
        <v>TRUE</v>
      </c>
    </row>
    <row r="242" customFormat="false" ht="15" hidden="false" customHeight="false" outlineLevel="0" collapsed="false">
      <c r="A242" s="2" t="s">
        <v>10</v>
      </c>
      <c r="B242" s="2" t="s">
        <v>957</v>
      </c>
      <c r="C242" s="2" t="s">
        <v>958</v>
      </c>
      <c r="D242" s="2" t="s">
        <v>1064</v>
      </c>
      <c r="E242" s="2" t="s">
        <v>960</v>
      </c>
      <c r="F242" s="2" t="s">
        <v>961</v>
      </c>
      <c r="G242" s="4" t="n">
        <v>46.42</v>
      </c>
      <c r="H242" s="4" t="n">
        <v>4.22</v>
      </c>
      <c r="I242" s="4" t="n">
        <v>42.2</v>
      </c>
      <c r="J242" s="4" t="n">
        <v>42.2</v>
      </c>
      <c r="K242" s="2" t="n">
        <v>2</v>
      </c>
      <c r="L242" s="2" t="s">
        <v>56</v>
      </c>
      <c r="M242" s="2" t="s">
        <v>57</v>
      </c>
      <c r="N242" s="2" t="s">
        <v>962</v>
      </c>
      <c r="O242" s="2" t="s">
        <v>441</v>
      </c>
      <c r="P242" s="2" t="s">
        <v>1065</v>
      </c>
      <c r="Q242" s="2" t="str">
        <f aca="false">IF(ROUND(ABS(J242-I242),2)&lt;=0.02,"TRUE","FALSE")</f>
        <v>TRUE</v>
      </c>
    </row>
    <row r="243" customFormat="false" ht="15" hidden="false" customHeight="false" outlineLevel="0" collapsed="false">
      <c r="A243" s="2" t="s">
        <v>10</v>
      </c>
      <c r="B243" s="2" t="s">
        <v>964</v>
      </c>
      <c r="C243" s="2" t="s">
        <v>965</v>
      </c>
      <c r="D243" s="2" t="s">
        <v>1066</v>
      </c>
      <c r="E243" s="2" t="s">
        <v>967</v>
      </c>
      <c r="F243" s="2" t="s">
        <v>968</v>
      </c>
      <c r="G243" s="4" t="n">
        <v>35.81</v>
      </c>
      <c r="H243" s="4" t="n">
        <v>3.26</v>
      </c>
      <c r="I243" s="4" t="n">
        <v>32.55</v>
      </c>
      <c r="J243" s="4" t="n">
        <v>32.55</v>
      </c>
      <c r="K243" s="2" t="n">
        <v>1</v>
      </c>
      <c r="L243" s="2" t="s">
        <v>56</v>
      </c>
      <c r="M243" s="2" t="s">
        <v>57</v>
      </c>
      <c r="N243" s="2" t="s">
        <v>935</v>
      </c>
      <c r="O243" s="2" t="s">
        <v>441</v>
      </c>
      <c r="P243" s="2" t="s">
        <v>1067</v>
      </c>
      <c r="Q243" s="2" t="str">
        <f aca="false">IF(ROUND(ABS(J243-I243),2)&lt;=0.02,"TRUE","FALSE")</f>
        <v>TRUE</v>
      </c>
    </row>
    <row r="244" customFormat="false" ht="15" hidden="false" customHeight="false" outlineLevel="0" collapsed="false">
      <c r="A244" s="2" t="s">
        <v>10</v>
      </c>
      <c r="B244" s="2" t="s">
        <v>970</v>
      </c>
      <c r="C244" s="2" t="s">
        <v>971</v>
      </c>
      <c r="D244" s="2" t="s">
        <v>1068</v>
      </c>
      <c r="E244" s="2" t="s">
        <v>973</v>
      </c>
      <c r="F244" s="2" t="s">
        <v>974</v>
      </c>
      <c r="G244" s="4" t="n">
        <v>36.47</v>
      </c>
      <c r="H244" s="4" t="n">
        <v>3.32</v>
      </c>
      <c r="I244" s="4" t="n">
        <v>33.15</v>
      </c>
      <c r="J244" s="4" t="n">
        <v>33.15</v>
      </c>
      <c r="K244" s="2" t="n">
        <v>2</v>
      </c>
      <c r="L244" s="2" t="s">
        <v>56</v>
      </c>
      <c r="M244" s="2" t="s">
        <v>57</v>
      </c>
      <c r="N244" s="2" t="s">
        <v>975</v>
      </c>
      <c r="O244" s="2" t="s">
        <v>66</v>
      </c>
      <c r="P244" s="2" t="s">
        <v>1069</v>
      </c>
      <c r="Q244" s="2" t="str">
        <f aca="false">IF(ROUND(ABS(J244-I244),2)&lt;=0.02,"TRUE","FALSE")</f>
        <v>TRUE</v>
      </c>
    </row>
    <row r="245" customFormat="false" ht="15" hidden="false" customHeight="false" outlineLevel="0" collapsed="false">
      <c r="A245" s="2" t="s">
        <v>10</v>
      </c>
      <c r="B245" s="2" t="s">
        <v>930</v>
      </c>
      <c r="C245" s="2" t="s">
        <v>931</v>
      </c>
      <c r="D245" s="2" t="s">
        <v>1070</v>
      </c>
      <c r="E245" s="2" t="s">
        <v>933</v>
      </c>
      <c r="F245" s="2" t="s">
        <v>934</v>
      </c>
      <c r="G245" s="4" t="n">
        <v>55.43</v>
      </c>
      <c r="H245" s="4" t="n">
        <v>5.04</v>
      </c>
      <c r="I245" s="4" t="n">
        <v>50.39</v>
      </c>
      <c r="J245" s="4" t="n">
        <v>50.39</v>
      </c>
      <c r="K245" s="2" t="n">
        <v>2</v>
      </c>
      <c r="L245" s="2" t="s">
        <v>56</v>
      </c>
      <c r="M245" s="2" t="s">
        <v>57</v>
      </c>
      <c r="N245" s="2" t="s">
        <v>935</v>
      </c>
      <c r="O245" s="2" t="s">
        <v>66</v>
      </c>
      <c r="P245" s="2" t="s">
        <v>1071</v>
      </c>
      <c r="Q245" s="2" t="str">
        <f aca="false">IF(ROUND(ABS(J245-I245),2)&lt;=0.02,"TRUE","FALSE")</f>
        <v>TRUE</v>
      </c>
    </row>
    <row r="246" customFormat="false" ht="15" hidden="false" customHeight="false" outlineLevel="0" collapsed="false">
      <c r="A246" s="2" t="s">
        <v>10</v>
      </c>
      <c r="B246" s="2" t="s">
        <v>977</v>
      </c>
      <c r="C246" s="2" t="s">
        <v>978</v>
      </c>
      <c r="D246" s="2" t="s">
        <v>1072</v>
      </c>
      <c r="E246" s="2" t="s">
        <v>980</v>
      </c>
      <c r="F246" s="2" t="s">
        <v>981</v>
      </c>
      <c r="G246" s="4" t="n">
        <v>35.81</v>
      </c>
      <c r="H246" s="4" t="n">
        <v>3.26</v>
      </c>
      <c r="I246" s="4" t="n">
        <v>32.55</v>
      </c>
      <c r="J246" s="4" t="n">
        <v>32.55</v>
      </c>
      <c r="K246" s="2" t="n">
        <v>1</v>
      </c>
      <c r="L246" s="2" t="s">
        <v>56</v>
      </c>
      <c r="M246" s="2" t="s">
        <v>57</v>
      </c>
      <c r="N246" s="2"/>
      <c r="O246" s="2" t="s">
        <v>58</v>
      </c>
      <c r="P246" s="2" t="s">
        <v>1073</v>
      </c>
      <c r="Q246" s="2" t="str">
        <f aca="false">IF(ROUND(ABS(J246-I246),2)&lt;=0.02,"TRUE","FALSE")</f>
        <v>TRUE</v>
      </c>
    </row>
    <row r="247" customFormat="false" ht="15" hidden="false" customHeight="false" outlineLevel="0" collapsed="false">
      <c r="A247" s="2" t="s">
        <v>10</v>
      </c>
      <c r="B247" s="2" t="s">
        <v>983</v>
      </c>
      <c r="C247" s="2" t="s">
        <v>984</v>
      </c>
      <c r="D247" s="2" t="s">
        <v>1074</v>
      </c>
      <c r="E247" s="2" t="s">
        <v>986</v>
      </c>
      <c r="F247" s="2" t="s">
        <v>987</v>
      </c>
      <c r="G247" s="4" t="n">
        <v>36.28</v>
      </c>
      <c r="H247" s="4" t="n">
        <v>3.3</v>
      </c>
      <c r="I247" s="4" t="n">
        <v>32.98</v>
      </c>
      <c r="J247" s="4" t="n">
        <v>32.98</v>
      </c>
      <c r="K247" s="2" t="n">
        <v>2</v>
      </c>
      <c r="L247" s="2" t="s">
        <v>56</v>
      </c>
      <c r="M247" s="2" t="s">
        <v>57</v>
      </c>
      <c r="N247" s="2" t="s">
        <v>988</v>
      </c>
      <c r="O247" s="2" t="s">
        <v>66</v>
      </c>
      <c r="P247" s="2" t="s">
        <v>1075</v>
      </c>
      <c r="Q247" s="2" t="str">
        <f aca="false">IF(ROUND(ABS(J247-I247),2)&lt;=0.02,"TRUE","FALSE")</f>
        <v>TRUE</v>
      </c>
    </row>
    <row r="248" customFormat="false" ht="15" hidden="false" customHeight="false" outlineLevel="0" collapsed="false">
      <c r="A248" s="2" t="s">
        <v>10</v>
      </c>
      <c r="B248" s="2" t="s">
        <v>937</v>
      </c>
      <c r="C248" s="2" t="s">
        <v>938</v>
      </c>
      <c r="D248" s="2" t="s">
        <v>1076</v>
      </c>
      <c r="E248" s="2" t="s">
        <v>940</v>
      </c>
      <c r="F248" s="2" t="s">
        <v>941</v>
      </c>
      <c r="G248" s="4" t="n">
        <v>57.21</v>
      </c>
      <c r="H248" s="4" t="n">
        <v>5.21</v>
      </c>
      <c r="I248" s="4" t="n">
        <v>52</v>
      </c>
      <c r="J248" s="4" t="n">
        <v>52</v>
      </c>
      <c r="K248" s="2" t="n">
        <v>2</v>
      </c>
      <c r="L248" s="2" t="s">
        <v>56</v>
      </c>
      <c r="M248" s="2" t="s">
        <v>57</v>
      </c>
      <c r="N248" s="2" t="s">
        <v>942</v>
      </c>
      <c r="O248" s="2" t="s">
        <v>217</v>
      </c>
      <c r="P248" s="2" t="s">
        <v>1077</v>
      </c>
      <c r="Q248" s="2" t="str">
        <f aca="false">IF(ROUND(ABS(J248-I248),2)&lt;=0.02,"TRUE","FALSE")</f>
        <v>TRUE</v>
      </c>
    </row>
    <row r="249" customFormat="false" ht="15" hidden="false" customHeight="false" outlineLevel="0" collapsed="false">
      <c r="A249" s="2" t="s">
        <v>10</v>
      </c>
      <c r="B249" s="2" t="s">
        <v>992</v>
      </c>
      <c r="C249" s="2" t="s">
        <v>993</v>
      </c>
      <c r="D249" s="2" t="s">
        <v>1078</v>
      </c>
      <c r="E249" s="2" t="s">
        <v>995</v>
      </c>
      <c r="F249" s="2" t="s">
        <v>995</v>
      </c>
      <c r="G249" s="4" t="n">
        <v>50.21</v>
      </c>
      <c r="H249" s="4" t="n">
        <v>4.57</v>
      </c>
      <c r="I249" s="4" t="n">
        <v>45.64</v>
      </c>
      <c r="J249" s="4" t="n">
        <v>45.64</v>
      </c>
      <c r="K249" s="2" t="n">
        <v>2</v>
      </c>
      <c r="L249" s="2" t="s">
        <v>56</v>
      </c>
      <c r="M249" s="2" t="s">
        <v>57</v>
      </c>
      <c r="N249" s="2" t="s">
        <v>996</v>
      </c>
      <c r="O249" s="2" t="s">
        <v>104</v>
      </c>
      <c r="P249" s="2" t="s">
        <v>1079</v>
      </c>
      <c r="Q249" s="2" t="str">
        <f aca="false">IF(ROUND(ABS(J249-I249),2)&lt;=0.02,"TRUE","FALSE")</f>
        <v>TRUE</v>
      </c>
    </row>
    <row r="250" customFormat="false" ht="15" hidden="false" customHeight="false" outlineLevel="0" collapsed="false">
      <c r="A250" s="2" t="s">
        <v>10</v>
      </c>
      <c r="B250" s="2" t="s">
        <v>998</v>
      </c>
      <c r="C250" s="2" t="s">
        <v>999</v>
      </c>
      <c r="D250" s="2" t="s">
        <v>1080</v>
      </c>
      <c r="E250" s="2" t="s">
        <v>1001</v>
      </c>
      <c r="F250" s="2" t="s">
        <v>1002</v>
      </c>
      <c r="G250" s="4" t="n">
        <v>35.93</v>
      </c>
      <c r="H250" s="4" t="n">
        <v>3.27</v>
      </c>
      <c r="I250" s="4" t="n">
        <v>32.66</v>
      </c>
      <c r="J250" s="4" t="n">
        <v>32.66</v>
      </c>
      <c r="K250" s="2" t="n">
        <v>2</v>
      </c>
      <c r="L250" s="2" t="s">
        <v>56</v>
      </c>
      <c r="M250" s="2" t="s">
        <v>57</v>
      </c>
      <c r="N250" s="2"/>
      <c r="O250" s="2" t="s">
        <v>58</v>
      </c>
      <c r="P250" s="2" t="s">
        <v>1081</v>
      </c>
      <c r="Q250" s="2" t="str">
        <f aca="false">IF(ROUND(ABS(J250-I250),2)&lt;=0.02,"TRUE","FALSE")</f>
        <v>TRUE</v>
      </c>
    </row>
    <row r="251" customFormat="false" ht="15" hidden="false" customHeight="false" outlineLevel="0" collapsed="false">
      <c r="A251" s="2" t="s">
        <v>10</v>
      </c>
      <c r="B251" s="2" t="s">
        <v>1004</v>
      </c>
      <c r="C251" s="2" t="s">
        <v>1005</v>
      </c>
      <c r="D251" s="2" t="s">
        <v>1082</v>
      </c>
      <c r="E251" s="2" t="s">
        <v>1007</v>
      </c>
      <c r="F251" s="2" t="s">
        <v>1008</v>
      </c>
      <c r="G251" s="4" t="n">
        <v>54.39</v>
      </c>
      <c r="H251" s="4" t="n">
        <v>4.95</v>
      </c>
      <c r="I251" s="4" t="n">
        <v>49.44</v>
      </c>
      <c r="J251" s="4" t="n">
        <v>49.44</v>
      </c>
      <c r="K251" s="2" t="n">
        <v>2</v>
      </c>
      <c r="L251" s="2" t="s">
        <v>56</v>
      </c>
      <c r="M251" s="2" t="s">
        <v>57</v>
      </c>
      <c r="N251" s="2" t="s">
        <v>1009</v>
      </c>
      <c r="O251" s="2" t="s">
        <v>66</v>
      </c>
      <c r="P251" s="2" t="s">
        <v>1083</v>
      </c>
      <c r="Q251" s="2" t="str">
        <f aca="false">IF(ROUND(ABS(J251-I251),2)&lt;=0.02,"TRUE","FALSE")</f>
        <v>TRUE</v>
      </c>
    </row>
    <row r="252" customFormat="false" ht="15" hidden="false" customHeight="false" outlineLevel="0" collapsed="false">
      <c r="A252" s="2" t="s">
        <v>10</v>
      </c>
      <c r="B252" s="2" t="s">
        <v>1011</v>
      </c>
      <c r="C252" s="2" t="s">
        <v>1012</v>
      </c>
      <c r="D252" s="2" t="s">
        <v>1084</v>
      </c>
      <c r="E252" s="2" t="s">
        <v>1014</v>
      </c>
      <c r="F252" s="2" t="s">
        <v>1015</v>
      </c>
      <c r="G252" s="4" t="n">
        <v>35.81</v>
      </c>
      <c r="H252" s="4" t="n">
        <v>3.26</v>
      </c>
      <c r="I252" s="4" t="n">
        <v>32.55</v>
      </c>
      <c r="J252" s="4" t="n">
        <v>32.55</v>
      </c>
      <c r="K252" s="2" t="n">
        <v>1</v>
      </c>
      <c r="L252" s="2" t="s">
        <v>56</v>
      </c>
      <c r="M252" s="2" t="s">
        <v>57</v>
      </c>
      <c r="N252" s="2" t="s">
        <v>1016</v>
      </c>
      <c r="O252" s="2" t="s">
        <v>66</v>
      </c>
      <c r="P252" s="2" t="s">
        <v>1085</v>
      </c>
      <c r="Q252" s="2" t="str">
        <f aca="false">IF(ROUND(ABS(J252-I252),2)&lt;=0.02,"TRUE","FALSE")</f>
        <v>TRUE</v>
      </c>
    </row>
    <row r="253" customFormat="false" ht="15" hidden="false" customHeight="false" outlineLevel="0" collapsed="false">
      <c r="A253" s="2" t="s">
        <v>10</v>
      </c>
      <c r="B253" s="2" t="s">
        <v>1018</v>
      </c>
      <c r="C253" s="2" t="s">
        <v>1019</v>
      </c>
      <c r="D253" s="2" t="s">
        <v>1086</v>
      </c>
      <c r="E253" s="2" t="s">
        <v>1021</v>
      </c>
      <c r="F253" s="2" t="s">
        <v>1022</v>
      </c>
      <c r="G253" s="4" t="n">
        <v>65.93</v>
      </c>
      <c r="H253" s="4" t="n">
        <v>6</v>
      </c>
      <c r="I253" s="4" t="n">
        <v>59.93</v>
      </c>
      <c r="J253" s="4" t="n">
        <v>59.93</v>
      </c>
      <c r="K253" s="2" t="n">
        <v>2</v>
      </c>
      <c r="L253" s="2" t="s">
        <v>56</v>
      </c>
      <c r="M253" s="2" t="s">
        <v>57</v>
      </c>
      <c r="N253" s="2" t="s">
        <v>1023</v>
      </c>
      <c r="O253" s="2" t="s">
        <v>66</v>
      </c>
      <c r="P253" s="2" t="s">
        <v>1087</v>
      </c>
      <c r="Q253" s="2" t="str">
        <f aca="false">IF(ROUND(ABS(J253-I253),2)&lt;=0.02,"TRUE","FALSE")</f>
        <v>TRUE</v>
      </c>
    </row>
    <row r="254" customFormat="false" ht="15" hidden="false" customHeight="false" outlineLevel="0" collapsed="false">
      <c r="A254" s="2" t="s">
        <v>10</v>
      </c>
      <c r="B254" s="2" t="s">
        <v>1025</v>
      </c>
      <c r="C254" s="2" t="s">
        <v>1026</v>
      </c>
      <c r="D254" s="2" t="s">
        <v>1088</v>
      </c>
      <c r="E254" s="2" t="s">
        <v>1028</v>
      </c>
      <c r="F254" s="2" t="s">
        <v>1029</v>
      </c>
      <c r="G254" s="4" t="n">
        <v>53.68</v>
      </c>
      <c r="H254" s="4" t="n">
        <v>4.88</v>
      </c>
      <c r="I254" s="4" t="n">
        <v>48.8</v>
      </c>
      <c r="J254" s="4" t="n">
        <v>48.8</v>
      </c>
      <c r="K254" s="2" t="n">
        <v>2</v>
      </c>
      <c r="L254" s="2" t="s">
        <v>56</v>
      </c>
      <c r="M254" s="2" t="s">
        <v>57</v>
      </c>
      <c r="N254" s="2" t="s">
        <v>1030</v>
      </c>
      <c r="O254" s="2" t="s">
        <v>66</v>
      </c>
      <c r="P254" s="2" t="s">
        <v>1089</v>
      </c>
      <c r="Q254" s="2" t="str">
        <f aca="false">IF(ROUND(ABS(J254-I254),2)&lt;=0.02,"TRUE","FALSE")</f>
        <v>TRUE</v>
      </c>
    </row>
    <row r="255" customFormat="false" ht="15" hidden="false" customHeight="false" outlineLevel="0" collapsed="false">
      <c r="A255" s="2" t="s">
        <v>14</v>
      </c>
      <c r="B255" s="2" t="s">
        <v>944</v>
      </c>
      <c r="C255" s="2" t="s">
        <v>945</v>
      </c>
      <c r="D255" s="2" t="s">
        <v>1090</v>
      </c>
      <c r="E255" s="2" t="s">
        <v>947</v>
      </c>
      <c r="F255" s="2" t="s">
        <v>948</v>
      </c>
      <c r="G255" s="4" t="n">
        <v>37.12</v>
      </c>
      <c r="H255" s="4" t="n">
        <v>3.38</v>
      </c>
      <c r="I255" s="4" t="n">
        <v>33.74</v>
      </c>
      <c r="J255" s="4" t="n">
        <v>33.74</v>
      </c>
      <c r="K255" s="2" t="n">
        <v>2</v>
      </c>
      <c r="L255" s="2" t="s">
        <v>56</v>
      </c>
      <c r="M255" s="2" t="s">
        <v>57</v>
      </c>
      <c r="N255" s="2"/>
      <c r="O255" s="2" t="s">
        <v>58</v>
      </c>
      <c r="P255" s="2" t="s">
        <v>1091</v>
      </c>
      <c r="Q255" s="2" t="str">
        <f aca="false">IF(ROUND(ABS(J255-I255),2)&lt;=0.02,"TRUE","FALSE")</f>
        <v>TRUE</v>
      </c>
    </row>
    <row r="256" customFormat="false" ht="15" hidden="false" customHeight="false" outlineLevel="0" collapsed="false">
      <c r="A256" s="2" t="s">
        <v>14</v>
      </c>
      <c r="B256" s="2" t="s">
        <v>950</v>
      </c>
      <c r="C256" s="2" t="s">
        <v>951</v>
      </c>
      <c r="D256" s="2" t="s">
        <v>1092</v>
      </c>
      <c r="E256" s="2" t="s">
        <v>953</v>
      </c>
      <c r="F256" s="2" t="s">
        <v>954</v>
      </c>
      <c r="G256" s="4" t="n">
        <v>35.81</v>
      </c>
      <c r="H256" s="4" t="n">
        <v>3.26</v>
      </c>
      <c r="I256" s="4" t="n">
        <v>32.55</v>
      </c>
      <c r="J256" s="4" t="n">
        <v>32.55</v>
      </c>
      <c r="K256" s="2" t="n">
        <v>1</v>
      </c>
      <c r="L256" s="2" t="s">
        <v>56</v>
      </c>
      <c r="M256" s="2" t="s">
        <v>57</v>
      </c>
      <c r="N256" s="2" t="s">
        <v>955</v>
      </c>
      <c r="O256" s="2" t="s">
        <v>66</v>
      </c>
      <c r="P256" s="2" t="s">
        <v>1093</v>
      </c>
      <c r="Q256" s="2" t="str">
        <f aca="false">IF(ROUND(ABS(J256-I256),2)&lt;=0.02,"TRUE","FALSE")</f>
        <v>TRUE</v>
      </c>
    </row>
    <row r="257" customFormat="false" ht="15" hidden="false" customHeight="false" outlineLevel="0" collapsed="false">
      <c r="A257" s="2" t="s">
        <v>14</v>
      </c>
      <c r="B257" s="2" t="s">
        <v>957</v>
      </c>
      <c r="C257" s="2" t="s">
        <v>958</v>
      </c>
      <c r="D257" s="2" t="s">
        <v>1094</v>
      </c>
      <c r="E257" s="2" t="s">
        <v>960</v>
      </c>
      <c r="F257" s="2" t="s">
        <v>961</v>
      </c>
      <c r="G257" s="4" t="n">
        <v>45.95</v>
      </c>
      <c r="H257" s="4" t="n">
        <v>4.18</v>
      </c>
      <c r="I257" s="4" t="n">
        <v>41.77</v>
      </c>
      <c r="J257" s="4" t="n">
        <v>41.77</v>
      </c>
      <c r="K257" s="2" t="n">
        <v>2</v>
      </c>
      <c r="L257" s="2" t="s">
        <v>56</v>
      </c>
      <c r="M257" s="2" t="s">
        <v>57</v>
      </c>
      <c r="N257" s="2" t="s">
        <v>962</v>
      </c>
      <c r="O257" s="2" t="s">
        <v>441</v>
      </c>
      <c r="P257" s="2" t="s">
        <v>1095</v>
      </c>
      <c r="Q257" s="2" t="str">
        <f aca="false">IF(ROUND(ABS(J257-I257),2)&lt;=0.02,"TRUE","FALSE")</f>
        <v>TRUE</v>
      </c>
    </row>
    <row r="258" customFormat="false" ht="15" hidden="false" customHeight="false" outlineLevel="0" collapsed="false">
      <c r="A258" s="2" t="s">
        <v>14</v>
      </c>
      <c r="B258" s="2" t="s">
        <v>964</v>
      </c>
      <c r="C258" s="2" t="s">
        <v>965</v>
      </c>
      <c r="D258" s="2" t="s">
        <v>1096</v>
      </c>
      <c r="E258" s="2" t="s">
        <v>967</v>
      </c>
      <c r="F258" s="2" t="s">
        <v>968</v>
      </c>
      <c r="G258" s="4" t="n">
        <v>35.81</v>
      </c>
      <c r="H258" s="4" t="n">
        <v>3.26</v>
      </c>
      <c r="I258" s="4" t="n">
        <v>32.55</v>
      </c>
      <c r="J258" s="4" t="n">
        <v>32.55</v>
      </c>
      <c r="K258" s="2" t="n">
        <v>1</v>
      </c>
      <c r="L258" s="2" t="s">
        <v>56</v>
      </c>
      <c r="M258" s="2" t="s">
        <v>57</v>
      </c>
      <c r="N258" s="2" t="s">
        <v>935</v>
      </c>
      <c r="O258" s="2" t="s">
        <v>441</v>
      </c>
      <c r="P258" s="2" t="s">
        <v>1097</v>
      </c>
      <c r="Q258" s="2" t="str">
        <f aca="false">IF(ROUND(ABS(J258-I258),2)&lt;=0.02,"TRUE","FALSE")</f>
        <v>TRUE</v>
      </c>
    </row>
    <row r="259" customFormat="false" ht="15" hidden="false" customHeight="false" outlineLevel="0" collapsed="false">
      <c r="A259" s="2" t="s">
        <v>14</v>
      </c>
      <c r="B259" s="2" t="s">
        <v>970</v>
      </c>
      <c r="C259" s="2" t="s">
        <v>971</v>
      </c>
      <c r="D259" s="2" t="s">
        <v>1098</v>
      </c>
      <c r="E259" s="2" t="s">
        <v>973</v>
      </c>
      <c r="F259" s="2" t="s">
        <v>974</v>
      </c>
      <c r="G259" s="4" t="n">
        <v>36.64</v>
      </c>
      <c r="H259" s="4" t="n">
        <v>3.34</v>
      </c>
      <c r="I259" s="4" t="n">
        <v>33.3</v>
      </c>
      <c r="J259" s="4" t="n">
        <v>33.3</v>
      </c>
      <c r="K259" s="2" t="n">
        <v>2</v>
      </c>
      <c r="L259" s="2" t="s">
        <v>56</v>
      </c>
      <c r="M259" s="2" t="s">
        <v>57</v>
      </c>
      <c r="N259" s="2" t="s">
        <v>975</v>
      </c>
      <c r="O259" s="2" t="s">
        <v>66</v>
      </c>
      <c r="P259" s="2" t="s">
        <v>1099</v>
      </c>
      <c r="Q259" s="2" t="str">
        <f aca="false">IF(ROUND(ABS(J259-I259),2)&lt;=0.02,"TRUE","FALSE")</f>
        <v>TRUE</v>
      </c>
    </row>
    <row r="260" customFormat="false" ht="15" hidden="false" customHeight="false" outlineLevel="0" collapsed="false">
      <c r="A260" s="2" t="s">
        <v>14</v>
      </c>
      <c r="B260" s="2" t="s">
        <v>930</v>
      </c>
      <c r="C260" s="2" t="s">
        <v>931</v>
      </c>
      <c r="D260" s="2" t="s">
        <v>1100</v>
      </c>
      <c r="E260" s="2" t="s">
        <v>933</v>
      </c>
      <c r="F260" s="2" t="s">
        <v>934</v>
      </c>
      <c r="G260" s="4" t="n">
        <v>39.52</v>
      </c>
      <c r="H260" s="4" t="n">
        <v>3.6</v>
      </c>
      <c r="I260" s="4" t="n">
        <v>35.92</v>
      </c>
      <c r="J260" s="4" t="n">
        <v>35.92</v>
      </c>
      <c r="K260" s="2" t="n">
        <v>2</v>
      </c>
      <c r="L260" s="2" t="s">
        <v>56</v>
      </c>
      <c r="M260" s="2" t="s">
        <v>57</v>
      </c>
      <c r="N260" s="2" t="s">
        <v>935</v>
      </c>
      <c r="O260" s="2" t="s">
        <v>66</v>
      </c>
      <c r="P260" s="2" t="s">
        <v>1101</v>
      </c>
      <c r="Q260" s="2" t="str">
        <f aca="false">IF(ROUND(ABS(J260-I260),2)&lt;=0.02,"TRUE","FALSE")</f>
        <v>TRUE</v>
      </c>
    </row>
    <row r="261" customFormat="false" ht="15" hidden="false" customHeight="false" outlineLevel="0" collapsed="false">
      <c r="A261" s="2" t="s">
        <v>14</v>
      </c>
      <c r="B261" s="2" t="s">
        <v>977</v>
      </c>
      <c r="C261" s="2" t="s">
        <v>978</v>
      </c>
      <c r="D261" s="2" t="s">
        <v>1102</v>
      </c>
      <c r="E261" s="2" t="s">
        <v>980</v>
      </c>
      <c r="F261" s="2" t="s">
        <v>981</v>
      </c>
      <c r="G261" s="4" t="n">
        <v>35.81</v>
      </c>
      <c r="H261" s="4" t="n">
        <v>3.26</v>
      </c>
      <c r="I261" s="4" t="n">
        <v>32.55</v>
      </c>
      <c r="J261" s="4" t="n">
        <v>32.55</v>
      </c>
      <c r="K261" s="2" t="n">
        <v>1</v>
      </c>
      <c r="L261" s="2" t="s">
        <v>56</v>
      </c>
      <c r="M261" s="2" t="s">
        <v>57</v>
      </c>
      <c r="N261" s="2"/>
      <c r="O261" s="2" t="s">
        <v>58</v>
      </c>
      <c r="P261" s="2" t="s">
        <v>1103</v>
      </c>
      <c r="Q261" s="2" t="str">
        <f aca="false">IF(ROUND(ABS(J261-I261),2)&lt;=0.02,"TRUE","FALSE")</f>
        <v>TRUE</v>
      </c>
    </row>
    <row r="262" customFormat="false" ht="15" hidden="false" customHeight="false" outlineLevel="0" collapsed="false">
      <c r="A262" s="2" t="s">
        <v>14</v>
      </c>
      <c r="B262" s="2" t="s">
        <v>983</v>
      </c>
      <c r="C262" s="2" t="s">
        <v>984</v>
      </c>
      <c r="D262" s="2" t="s">
        <v>1104</v>
      </c>
      <c r="E262" s="2" t="s">
        <v>986</v>
      </c>
      <c r="F262" s="2" t="s">
        <v>987</v>
      </c>
      <c r="G262" s="4" t="n">
        <v>36.1</v>
      </c>
      <c r="H262" s="4" t="n">
        <v>3.29</v>
      </c>
      <c r="I262" s="4" t="n">
        <v>32.81</v>
      </c>
      <c r="J262" s="4" t="n">
        <v>32.81</v>
      </c>
      <c r="K262" s="2" t="n">
        <v>2</v>
      </c>
      <c r="L262" s="2" t="s">
        <v>56</v>
      </c>
      <c r="M262" s="2" t="s">
        <v>57</v>
      </c>
      <c r="N262" s="2" t="s">
        <v>988</v>
      </c>
      <c r="O262" s="2" t="s">
        <v>66</v>
      </c>
      <c r="P262" s="2" t="s">
        <v>1105</v>
      </c>
      <c r="Q262" s="2" t="str">
        <f aca="false">IF(ROUND(ABS(J262-I262),2)&lt;=0.02,"TRUE","FALSE")</f>
        <v>TRUE</v>
      </c>
    </row>
    <row r="263" customFormat="false" ht="15" hidden="false" customHeight="false" outlineLevel="0" collapsed="false">
      <c r="A263" s="2" t="s">
        <v>14</v>
      </c>
      <c r="B263" s="2" t="s">
        <v>937</v>
      </c>
      <c r="C263" s="2" t="s">
        <v>938</v>
      </c>
      <c r="D263" s="2" t="s">
        <v>1106</v>
      </c>
      <c r="E263" s="2" t="s">
        <v>940</v>
      </c>
      <c r="F263" s="2" t="s">
        <v>941</v>
      </c>
      <c r="G263" s="4" t="n">
        <v>57.13</v>
      </c>
      <c r="H263" s="4" t="n">
        <v>5.2</v>
      </c>
      <c r="I263" s="4" t="n">
        <v>51.93</v>
      </c>
      <c r="J263" s="4" t="n">
        <v>51.93</v>
      </c>
      <c r="K263" s="2" t="n">
        <v>2</v>
      </c>
      <c r="L263" s="2" t="s">
        <v>56</v>
      </c>
      <c r="M263" s="2" t="s">
        <v>57</v>
      </c>
      <c r="N263" s="2" t="s">
        <v>942</v>
      </c>
      <c r="O263" s="2" t="s">
        <v>217</v>
      </c>
      <c r="P263" s="2" t="s">
        <v>1107</v>
      </c>
      <c r="Q263" s="2" t="str">
        <f aca="false">IF(ROUND(ABS(J263-I263),2)&lt;=0.02,"TRUE","FALSE")</f>
        <v>TRUE</v>
      </c>
    </row>
    <row r="264" customFormat="false" ht="15" hidden="false" customHeight="false" outlineLevel="0" collapsed="false">
      <c r="A264" s="2" t="s">
        <v>14</v>
      </c>
      <c r="B264" s="2" t="s">
        <v>992</v>
      </c>
      <c r="C264" s="2" t="s">
        <v>993</v>
      </c>
      <c r="D264" s="2" t="s">
        <v>1108</v>
      </c>
      <c r="E264" s="2" t="s">
        <v>995</v>
      </c>
      <c r="F264" s="2" t="s">
        <v>995</v>
      </c>
      <c r="G264" s="4" t="n">
        <v>49.47</v>
      </c>
      <c r="H264" s="4" t="n">
        <v>4.5</v>
      </c>
      <c r="I264" s="4" t="n">
        <v>44.97</v>
      </c>
      <c r="J264" s="4" t="n">
        <v>44.97</v>
      </c>
      <c r="K264" s="2" t="n">
        <v>2</v>
      </c>
      <c r="L264" s="2" t="s">
        <v>56</v>
      </c>
      <c r="M264" s="2" t="s">
        <v>57</v>
      </c>
      <c r="N264" s="2" t="s">
        <v>996</v>
      </c>
      <c r="O264" s="2" t="s">
        <v>104</v>
      </c>
      <c r="P264" s="2" t="s">
        <v>1109</v>
      </c>
      <c r="Q264" s="2" t="str">
        <f aca="false">IF(ROUND(ABS(J264-I264),2)&lt;=0.02,"TRUE","FALSE")</f>
        <v>TRUE</v>
      </c>
    </row>
    <row r="265" customFormat="false" ht="15" hidden="false" customHeight="false" outlineLevel="0" collapsed="false">
      <c r="A265" s="2" t="s">
        <v>14</v>
      </c>
      <c r="B265" s="2" t="s">
        <v>998</v>
      </c>
      <c r="C265" s="2" t="s">
        <v>999</v>
      </c>
      <c r="D265" s="2" t="s">
        <v>1110</v>
      </c>
      <c r="E265" s="2" t="s">
        <v>1001</v>
      </c>
      <c r="F265" s="2" t="s">
        <v>1002</v>
      </c>
      <c r="G265" s="4" t="n">
        <v>35.98</v>
      </c>
      <c r="H265" s="4" t="n">
        <v>3.28</v>
      </c>
      <c r="I265" s="4" t="n">
        <v>32.7</v>
      </c>
      <c r="J265" s="4" t="n">
        <v>32.7</v>
      </c>
      <c r="K265" s="2" t="n">
        <v>2</v>
      </c>
      <c r="L265" s="2" t="s">
        <v>56</v>
      </c>
      <c r="M265" s="2" t="s">
        <v>57</v>
      </c>
      <c r="N265" s="2"/>
      <c r="O265" s="2" t="s">
        <v>58</v>
      </c>
      <c r="P265" s="2" t="s">
        <v>1111</v>
      </c>
      <c r="Q265" s="2" t="str">
        <f aca="false">IF(ROUND(ABS(J265-I265),2)&lt;=0.02,"TRUE","FALSE")</f>
        <v>TRUE</v>
      </c>
    </row>
    <row r="266" customFormat="false" ht="15" hidden="false" customHeight="false" outlineLevel="0" collapsed="false">
      <c r="A266" s="2" t="s">
        <v>14</v>
      </c>
      <c r="B266" s="2" t="s">
        <v>1004</v>
      </c>
      <c r="C266" s="2" t="s">
        <v>1005</v>
      </c>
      <c r="D266" s="2" t="s">
        <v>1112</v>
      </c>
      <c r="E266" s="2" t="s">
        <v>1007</v>
      </c>
      <c r="F266" s="2" t="s">
        <v>1008</v>
      </c>
      <c r="G266" s="4" t="n">
        <v>61.34</v>
      </c>
      <c r="H266" s="4" t="n">
        <v>5.58</v>
      </c>
      <c r="I266" s="4" t="n">
        <v>55.76</v>
      </c>
      <c r="J266" s="4" t="n">
        <v>55.76</v>
      </c>
      <c r="K266" s="2" t="n">
        <v>2</v>
      </c>
      <c r="L266" s="2" t="s">
        <v>56</v>
      </c>
      <c r="M266" s="2" t="s">
        <v>57</v>
      </c>
      <c r="N266" s="2" t="s">
        <v>1009</v>
      </c>
      <c r="O266" s="2" t="s">
        <v>66</v>
      </c>
      <c r="P266" s="2" t="s">
        <v>1113</v>
      </c>
      <c r="Q266" s="2" t="str">
        <f aca="false">IF(ROUND(ABS(J266-I266),2)&lt;=0.02,"TRUE","FALSE")</f>
        <v>TRUE</v>
      </c>
    </row>
    <row r="267" customFormat="false" ht="15" hidden="false" customHeight="false" outlineLevel="0" collapsed="false">
      <c r="A267" s="2" t="s">
        <v>14</v>
      </c>
      <c r="B267" s="2" t="s">
        <v>1011</v>
      </c>
      <c r="C267" s="2" t="s">
        <v>1012</v>
      </c>
      <c r="D267" s="2" t="s">
        <v>1114</v>
      </c>
      <c r="E267" s="2" t="s">
        <v>1014</v>
      </c>
      <c r="F267" s="2" t="s">
        <v>1015</v>
      </c>
      <c r="G267" s="4" t="n">
        <v>35.81</v>
      </c>
      <c r="H267" s="4" t="n">
        <v>3.26</v>
      </c>
      <c r="I267" s="4" t="n">
        <v>32.55</v>
      </c>
      <c r="J267" s="4" t="n">
        <v>32.55</v>
      </c>
      <c r="K267" s="2" t="n">
        <v>1</v>
      </c>
      <c r="L267" s="2" t="s">
        <v>56</v>
      </c>
      <c r="M267" s="2" t="s">
        <v>57</v>
      </c>
      <c r="N267" s="2" t="s">
        <v>1016</v>
      </c>
      <c r="O267" s="2" t="s">
        <v>66</v>
      </c>
      <c r="P267" s="2" t="s">
        <v>1115</v>
      </c>
      <c r="Q267" s="2" t="str">
        <f aca="false">IF(ROUND(ABS(J267-I267),2)&lt;=0.02,"TRUE","FALSE")</f>
        <v>TRUE</v>
      </c>
    </row>
    <row r="268" customFormat="false" ht="15" hidden="false" customHeight="false" outlineLevel="0" collapsed="false">
      <c r="A268" s="2" t="s">
        <v>14</v>
      </c>
      <c r="B268" s="2" t="s">
        <v>1018</v>
      </c>
      <c r="C268" s="2" t="s">
        <v>1019</v>
      </c>
      <c r="D268" s="2" t="s">
        <v>1116</v>
      </c>
      <c r="E268" s="2" t="s">
        <v>1021</v>
      </c>
      <c r="F268" s="2" t="s">
        <v>1022</v>
      </c>
      <c r="G268" s="4" t="n">
        <v>67.73</v>
      </c>
      <c r="H268" s="4" t="n">
        <v>6.16</v>
      </c>
      <c r="I268" s="4" t="n">
        <v>61.57</v>
      </c>
      <c r="J268" s="4" t="n">
        <v>61.57</v>
      </c>
      <c r="K268" s="2" t="n">
        <v>2</v>
      </c>
      <c r="L268" s="2" t="s">
        <v>56</v>
      </c>
      <c r="M268" s="2" t="s">
        <v>57</v>
      </c>
      <c r="N268" s="2" t="s">
        <v>1023</v>
      </c>
      <c r="O268" s="2" t="s">
        <v>66</v>
      </c>
      <c r="P268" s="2" t="s">
        <v>1117</v>
      </c>
      <c r="Q268" s="2" t="str">
        <f aca="false">IF(ROUND(ABS(J268-I268),2)&lt;=0.02,"TRUE","FALSE")</f>
        <v>TRUE</v>
      </c>
    </row>
    <row r="269" customFormat="false" ht="15" hidden="false" customHeight="false" outlineLevel="0" collapsed="false">
      <c r="A269" s="2" t="s">
        <v>14</v>
      </c>
      <c r="B269" s="2" t="s">
        <v>1025</v>
      </c>
      <c r="C269" s="2" t="s">
        <v>1026</v>
      </c>
      <c r="D269" s="2" t="s">
        <v>1118</v>
      </c>
      <c r="E269" s="2" t="s">
        <v>1028</v>
      </c>
      <c r="F269" s="2" t="s">
        <v>1029</v>
      </c>
      <c r="G269" s="4" t="n">
        <v>61.27</v>
      </c>
      <c r="H269" s="4" t="n">
        <v>5.57</v>
      </c>
      <c r="I269" s="4" t="n">
        <v>55.7</v>
      </c>
      <c r="J269" s="4" t="n">
        <v>55.7</v>
      </c>
      <c r="K269" s="2" t="n">
        <v>2</v>
      </c>
      <c r="L269" s="2" t="s">
        <v>56</v>
      </c>
      <c r="M269" s="2" t="s">
        <v>57</v>
      </c>
      <c r="N269" s="2" t="s">
        <v>1030</v>
      </c>
      <c r="O269" s="2" t="s">
        <v>66</v>
      </c>
      <c r="P269" s="2" t="s">
        <v>1119</v>
      </c>
      <c r="Q269" s="2" t="str">
        <f aca="false">IF(ROUND(ABS(J269-I269),2)&lt;=0.02,"TRUE","FALSE")</f>
        <v>TRUE</v>
      </c>
    </row>
    <row r="270" customFormat="false" ht="15" hidden="false" customHeight="false" outlineLevel="0" collapsed="false">
      <c r="A270" s="2" t="s">
        <v>22</v>
      </c>
      <c r="B270" s="2" t="s">
        <v>821</v>
      </c>
      <c r="C270" s="2" t="s">
        <v>822</v>
      </c>
      <c r="D270" s="2" t="s">
        <v>1120</v>
      </c>
      <c r="E270" s="2" t="s">
        <v>824</v>
      </c>
      <c r="F270" s="2" t="s">
        <v>825</v>
      </c>
      <c r="G270" s="4" t="n">
        <v>64.88</v>
      </c>
      <c r="H270" s="4" t="n">
        <v>5.9</v>
      </c>
      <c r="I270" s="4" t="n">
        <v>58.98</v>
      </c>
      <c r="J270" s="4" t="n">
        <v>58.98</v>
      </c>
      <c r="K270" s="2" t="n">
        <v>2</v>
      </c>
      <c r="L270" s="2" t="s">
        <v>56</v>
      </c>
      <c r="M270" s="2" t="s">
        <v>57</v>
      </c>
      <c r="N270" s="2" t="s">
        <v>826</v>
      </c>
      <c r="O270" s="2" t="s">
        <v>66</v>
      </c>
      <c r="P270" s="2" t="s">
        <v>1121</v>
      </c>
      <c r="Q270" s="2" t="str">
        <f aca="false">IF(ROUND(ABS(J270-I270),2)&lt;=0.02,"TRUE","FALSE")</f>
        <v>TRUE</v>
      </c>
    </row>
    <row r="271" customFormat="false" ht="15" hidden="false" customHeight="false" outlineLevel="0" collapsed="false">
      <c r="A271" s="2" t="s">
        <v>22</v>
      </c>
      <c r="B271" s="2" t="s">
        <v>944</v>
      </c>
      <c r="C271" s="2" t="s">
        <v>945</v>
      </c>
      <c r="D271" s="2" t="s">
        <v>1122</v>
      </c>
      <c r="E271" s="2" t="s">
        <v>947</v>
      </c>
      <c r="F271" s="2" t="s">
        <v>948</v>
      </c>
      <c r="G271" s="4" t="n">
        <v>35.59</v>
      </c>
      <c r="H271" s="4" t="n">
        <v>3.24</v>
      </c>
      <c r="I271" s="4" t="n">
        <v>32.35</v>
      </c>
      <c r="J271" s="4" t="n">
        <v>32.35</v>
      </c>
      <c r="K271" s="2" t="n">
        <v>2</v>
      </c>
      <c r="L271" s="2" t="s">
        <v>56</v>
      </c>
      <c r="M271" s="2" t="s">
        <v>57</v>
      </c>
      <c r="N271" s="2"/>
      <c r="O271" s="2" t="s">
        <v>58</v>
      </c>
      <c r="P271" s="2" t="s">
        <v>1123</v>
      </c>
      <c r="Q271" s="2" t="str">
        <f aca="false">IF(ROUND(ABS(J271-I271),2)&lt;=0.02,"TRUE","FALSE")</f>
        <v>TRUE</v>
      </c>
    </row>
    <row r="272" customFormat="false" ht="15" hidden="false" customHeight="false" outlineLevel="0" collapsed="false">
      <c r="A272" s="2" t="s">
        <v>22</v>
      </c>
      <c r="B272" s="2" t="s">
        <v>950</v>
      </c>
      <c r="C272" s="2" t="s">
        <v>951</v>
      </c>
      <c r="D272" s="2" t="s">
        <v>1124</v>
      </c>
      <c r="E272" s="2" t="s">
        <v>953</v>
      </c>
      <c r="F272" s="2" t="s">
        <v>954</v>
      </c>
      <c r="G272" s="4" t="n">
        <v>36.7</v>
      </c>
      <c r="H272" s="4" t="n">
        <v>3.34</v>
      </c>
      <c r="I272" s="4" t="n">
        <v>33.36</v>
      </c>
      <c r="J272" s="4" t="n">
        <v>33.36</v>
      </c>
      <c r="K272" s="2" t="n">
        <v>2</v>
      </c>
      <c r="L272" s="2" t="s">
        <v>56</v>
      </c>
      <c r="M272" s="2" t="s">
        <v>57</v>
      </c>
      <c r="N272" s="2" t="s">
        <v>955</v>
      </c>
      <c r="O272" s="2" t="s">
        <v>66</v>
      </c>
      <c r="P272" s="2" t="s">
        <v>1125</v>
      </c>
      <c r="Q272" s="2" t="str">
        <f aca="false">IF(ROUND(ABS(J272-I272),2)&lt;=0.02,"TRUE","FALSE")</f>
        <v>TRUE</v>
      </c>
    </row>
    <row r="273" customFormat="false" ht="15" hidden="false" customHeight="false" outlineLevel="0" collapsed="false">
      <c r="A273" s="2" t="s">
        <v>22</v>
      </c>
      <c r="B273" s="2" t="s">
        <v>532</v>
      </c>
      <c r="C273" s="2" t="s">
        <v>533</v>
      </c>
      <c r="D273" s="2" t="s">
        <v>1126</v>
      </c>
      <c r="E273" s="2" t="s">
        <v>535</v>
      </c>
      <c r="F273" s="2" t="s">
        <v>536</v>
      </c>
      <c r="G273" s="4" t="n">
        <v>34.65</v>
      </c>
      <c r="H273" s="4" t="n">
        <v>3.15</v>
      </c>
      <c r="I273" s="4" t="n">
        <v>31.5</v>
      </c>
      <c r="J273" s="4" t="n">
        <v>31.5</v>
      </c>
      <c r="K273" s="2" t="n">
        <v>1</v>
      </c>
      <c r="L273" s="2" t="s">
        <v>56</v>
      </c>
      <c r="M273" s="2" t="s">
        <v>57</v>
      </c>
      <c r="N273" s="2" t="s">
        <v>537</v>
      </c>
      <c r="O273" s="2" t="s">
        <v>66</v>
      </c>
      <c r="P273" s="2" t="s">
        <v>1127</v>
      </c>
      <c r="Q273" s="2" t="str">
        <f aca="false">IF(ROUND(ABS(J273-I273),2)&lt;=0.02,"TRUE","FALSE")</f>
        <v>TRUE</v>
      </c>
    </row>
    <row r="274" customFormat="false" ht="15" hidden="false" customHeight="false" outlineLevel="0" collapsed="false">
      <c r="A274" s="2" t="s">
        <v>22</v>
      </c>
      <c r="B274" s="2" t="s">
        <v>957</v>
      </c>
      <c r="C274" s="2" t="s">
        <v>958</v>
      </c>
      <c r="D274" s="2" t="s">
        <v>1128</v>
      </c>
      <c r="E274" s="2" t="s">
        <v>960</v>
      </c>
      <c r="F274" s="2" t="s">
        <v>961</v>
      </c>
      <c r="G274" s="4" t="n">
        <v>39.6</v>
      </c>
      <c r="H274" s="4" t="n">
        <v>3.6</v>
      </c>
      <c r="I274" s="4" t="n">
        <v>36</v>
      </c>
      <c r="J274" s="4" t="n">
        <v>36</v>
      </c>
      <c r="K274" s="2" t="n">
        <v>2</v>
      </c>
      <c r="L274" s="2" t="s">
        <v>56</v>
      </c>
      <c r="M274" s="2" t="s">
        <v>57</v>
      </c>
      <c r="N274" s="2" t="s">
        <v>962</v>
      </c>
      <c r="O274" s="2" t="s">
        <v>441</v>
      </c>
      <c r="P274" s="2" t="s">
        <v>1129</v>
      </c>
      <c r="Q274" s="2" t="str">
        <f aca="false">IF(ROUND(ABS(J274-I274),2)&lt;=0.02,"TRUE","FALSE")</f>
        <v>TRUE</v>
      </c>
    </row>
    <row r="275" customFormat="false" ht="15" hidden="false" customHeight="false" outlineLevel="0" collapsed="false">
      <c r="A275" s="2" t="s">
        <v>22</v>
      </c>
      <c r="B275" s="2" t="s">
        <v>815</v>
      </c>
      <c r="C275" s="2" t="s">
        <v>816</v>
      </c>
      <c r="D275" s="2" t="s">
        <v>1130</v>
      </c>
      <c r="E275" s="2" t="s">
        <v>818</v>
      </c>
      <c r="F275" s="2" t="s">
        <v>819</v>
      </c>
      <c r="G275" s="4" t="n">
        <v>68.51</v>
      </c>
      <c r="H275" s="4" t="n">
        <v>6.23</v>
      </c>
      <c r="I275" s="4" t="n">
        <v>62.28</v>
      </c>
      <c r="J275" s="4" t="n">
        <v>62.28</v>
      </c>
      <c r="K275" s="2" t="n">
        <v>2</v>
      </c>
      <c r="L275" s="2" t="s">
        <v>56</v>
      </c>
      <c r="M275" s="2" t="s">
        <v>57</v>
      </c>
      <c r="N275" s="2"/>
      <c r="O275" s="2" t="s">
        <v>58</v>
      </c>
      <c r="P275" s="2" t="s">
        <v>1131</v>
      </c>
      <c r="Q275" s="2" t="str">
        <f aca="false">IF(ROUND(ABS(J275-I275),2)&lt;=0.02,"TRUE","FALSE")</f>
        <v>TRUE</v>
      </c>
    </row>
    <row r="276" customFormat="false" ht="15" hidden="false" customHeight="false" outlineLevel="0" collapsed="false">
      <c r="A276" s="2" t="s">
        <v>22</v>
      </c>
      <c r="B276" s="2" t="s">
        <v>964</v>
      </c>
      <c r="C276" s="2" t="s">
        <v>965</v>
      </c>
      <c r="D276" s="2" t="s">
        <v>1132</v>
      </c>
      <c r="E276" s="2" t="s">
        <v>967</v>
      </c>
      <c r="F276" s="2" t="s">
        <v>968</v>
      </c>
      <c r="G276" s="4" t="n">
        <v>34.65</v>
      </c>
      <c r="H276" s="4" t="n">
        <v>3.15</v>
      </c>
      <c r="I276" s="4" t="n">
        <v>31.5</v>
      </c>
      <c r="J276" s="4" t="n">
        <v>31.5</v>
      </c>
      <c r="K276" s="2" t="n">
        <v>1</v>
      </c>
      <c r="L276" s="2" t="s">
        <v>56</v>
      </c>
      <c r="M276" s="2" t="s">
        <v>57</v>
      </c>
      <c r="N276" s="2" t="s">
        <v>935</v>
      </c>
      <c r="O276" s="2" t="s">
        <v>441</v>
      </c>
      <c r="P276" s="2" t="s">
        <v>1133</v>
      </c>
      <c r="Q276" s="2" t="str">
        <f aca="false">IF(ROUND(ABS(J276-I276),2)&lt;=0.02,"TRUE","FALSE")</f>
        <v>TRUE</v>
      </c>
    </row>
    <row r="277" customFormat="false" ht="15" hidden="false" customHeight="false" outlineLevel="0" collapsed="false">
      <c r="A277" s="2" t="s">
        <v>22</v>
      </c>
      <c r="B277" s="2" t="s">
        <v>970</v>
      </c>
      <c r="C277" s="2" t="s">
        <v>971</v>
      </c>
      <c r="D277" s="2" t="s">
        <v>1134</v>
      </c>
      <c r="E277" s="2" t="s">
        <v>973</v>
      </c>
      <c r="F277" s="2" t="s">
        <v>974</v>
      </c>
      <c r="G277" s="4" t="n">
        <v>35.38</v>
      </c>
      <c r="H277" s="4" t="n">
        <v>3.22</v>
      </c>
      <c r="I277" s="4" t="n">
        <v>32.16</v>
      </c>
      <c r="J277" s="4" t="n">
        <v>32.16</v>
      </c>
      <c r="K277" s="2" t="n">
        <v>2</v>
      </c>
      <c r="L277" s="2" t="s">
        <v>56</v>
      </c>
      <c r="M277" s="2" t="s">
        <v>57</v>
      </c>
      <c r="N277" s="2" t="s">
        <v>975</v>
      </c>
      <c r="O277" s="2" t="s">
        <v>66</v>
      </c>
      <c r="P277" s="2" t="s">
        <v>1135</v>
      </c>
      <c r="Q277" s="2" t="str">
        <f aca="false">IF(ROUND(ABS(J277-I277),2)&lt;=0.02,"TRUE","FALSE")</f>
        <v>TRUE</v>
      </c>
    </row>
    <row r="278" customFormat="false" ht="15" hidden="false" customHeight="false" outlineLevel="0" collapsed="false">
      <c r="A278" s="2" t="s">
        <v>22</v>
      </c>
      <c r="B278" s="2" t="s">
        <v>977</v>
      </c>
      <c r="C278" s="2" t="s">
        <v>978</v>
      </c>
      <c r="D278" s="2" t="s">
        <v>1136</v>
      </c>
      <c r="E278" s="2" t="s">
        <v>980</v>
      </c>
      <c r="F278" s="2" t="s">
        <v>981</v>
      </c>
      <c r="G278" s="4" t="n">
        <v>34.65</v>
      </c>
      <c r="H278" s="4" t="n">
        <v>3.15</v>
      </c>
      <c r="I278" s="4" t="n">
        <v>31.5</v>
      </c>
      <c r="J278" s="4" t="n">
        <v>31.5</v>
      </c>
      <c r="K278" s="2" t="n">
        <v>1</v>
      </c>
      <c r="L278" s="2" t="s">
        <v>56</v>
      </c>
      <c r="M278" s="2" t="s">
        <v>57</v>
      </c>
      <c r="N278" s="2"/>
      <c r="O278" s="2" t="s">
        <v>58</v>
      </c>
      <c r="P278" s="2" t="s">
        <v>1137</v>
      </c>
      <c r="Q278" s="2" t="str">
        <f aca="false">IF(ROUND(ABS(J278-I278),2)&lt;=0.02,"TRUE","FALSE")</f>
        <v>TRUE</v>
      </c>
    </row>
    <row r="279" customFormat="false" ht="15" hidden="false" customHeight="false" outlineLevel="0" collapsed="false">
      <c r="A279" s="2" t="s">
        <v>22</v>
      </c>
      <c r="B279" s="2" t="s">
        <v>998</v>
      </c>
      <c r="C279" s="2" t="s">
        <v>999</v>
      </c>
      <c r="D279" s="2" t="s">
        <v>1138</v>
      </c>
      <c r="E279" s="2" t="s">
        <v>1001</v>
      </c>
      <c r="F279" s="2" t="s">
        <v>1002</v>
      </c>
      <c r="G279" s="4" t="n">
        <v>34.94</v>
      </c>
      <c r="H279" s="4" t="n">
        <v>3.18</v>
      </c>
      <c r="I279" s="4" t="n">
        <v>31.76</v>
      </c>
      <c r="J279" s="4" t="n">
        <v>31.76</v>
      </c>
      <c r="K279" s="2" t="n">
        <v>2</v>
      </c>
      <c r="L279" s="2" t="s">
        <v>56</v>
      </c>
      <c r="M279" s="2" t="s">
        <v>57</v>
      </c>
      <c r="N279" s="2"/>
      <c r="O279" s="2" t="s">
        <v>58</v>
      </c>
      <c r="P279" s="2" t="s">
        <v>1139</v>
      </c>
      <c r="Q279" s="2" t="str">
        <f aca="false">IF(ROUND(ABS(J279-I279),2)&lt;=0.02,"TRUE","FALSE")</f>
        <v>TRUE</v>
      </c>
    </row>
    <row r="280" customFormat="false" ht="15" hidden="false" customHeight="false" outlineLevel="0" collapsed="false">
      <c r="A280" s="2" t="s">
        <v>22</v>
      </c>
      <c r="B280" s="2" t="s">
        <v>1004</v>
      </c>
      <c r="C280" s="2" t="s">
        <v>1005</v>
      </c>
      <c r="D280" s="2" t="s">
        <v>1140</v>
      </c>
      <c r="E280" s="2" t="s">
        <v>1007</v>
      </c>
      <c r="F280" s="2" t="s">
        <v>1008</v>
      </c>
      <c r="G280" s="4" t="n">
        <v>51.63</v>
      </c>
      <c r="H280" s="4" t="n">
        <v>4.69</v>
      </c>
      <c r="I280" s="4" t="n">
        <v>46.94</v>
      </c>
      <c r="J280" s="4" t="n">
        <v>46.94</v>
      </c>
      <c r="K280" s="2" t="n">
        <v>2</v>
      </c>
      <c r="L280" s="2" t="s">
        <v>56</v>
      </c>
      <c r="M280" s="2" t="s">
        <v>57</v>
      </c>
      <c r="N280" s="2" t="s">
        <v>1009</v>
      </c>
      <c r="O280" s="2" t="s">
        <v>66</v>
      </c>
      <c r="P280" s="2" t="s">
        <v>1141</v>
      </c>
      <c r="Q280" s="2" t="str">
        <f aca="false">IF(ROUND(ABS(J280-I280),2)&lt;=0.02,"TRUE","FALSE")</f>
        <v>TRUE</v>
      </c>
    </row>
    <row r="281" customFormat="false" ht="15" hidden="false" customHeight="false" outlineLevel="0" collapsed="false">
      <c r="A281" s="2" t="s">
        <v>22</v>
      </c>
      <c r="B281" s="2" t="s">
        <v>1011</v>
      </c>
      <c r="C281" s="2" t="s">
        <v>1012</v>
      </c>
      <c r="D281" s="2" t="s">
        <v>1142</v>
      </c>
      <c r="E281" s="2" t="s">
        <v>1014</v>
      </c>
      <c r="F281" s="2" t="s">
        <v>1015</v>
      </c>
      <c r="G281" s="4" t="n">
        <v>34.65</v>
      </c>
      <c r="H281" s="4" t="n">
        <v>3.15</v>
      </c>
      <c r="I281" s="4" t="n">
        <v>31.5</v>
      </c>
      <c r="J281" s="4" t="n">
        <v>31.5</v>
      </c>
      <c r="K281" s="2" t="n">
        <v>1</v>
      </c>
      <c r="L281" s="2" t="s">
        <v>56</v>
      </c>
      <c r="M281" s="2" t="s">
        <v>57</v>
      </c>
      <c r="N281" s="2" t="s">
        <v>1016</v>
      </c>
      <c r="O281" s="2" t="s">
        <v>66</v>
      </c>
      <c r="P281" s="2" t="s">
        <v>1143</v>
      </c>
      <c r="Q281" s="2" t="str">
        <f aca="false">IF(ROUND(ABS(J281-I281),2)&lt;=0.02,"TRUE","FALSE")</f>
        <v>TRUE</v>
      </c>
    </row>
    <row r="282" customFormat="false" ht="15" hidden="false" customHeight="false" outlineLevel="0" collapsed="false">
      <c r="A282" s="2" t="s">
        <v>22</v>
      </c>
      <c r="B282" s="2" t="s">
        <v>1018</v>
      </c>
      <c r="C282" s="2" t="s">
        <v>1019</v>
      </c>
      <c r="D282" s="2" t="s">
        <v>1144</v>
      </c>
      <c r="E282" s="2" t="s">
        <v>1021</v>
      </c>
      <c r="F282" s="2" t="s">
        <v>1022</v>
      </c>
      <c r="G282" s="4" t="n">
        <v>63.02</v>
      </c>
      <c r="H282" s="4" t="n">
        <v>5.73</v>
      </c>
      <c r="I282" s="4" t="n">
        <v>57.29</v>
      </c>
      <c r="J282" s="4" t="n">
        <v>57.29</v>
      </c>
      <c r="K282" s="2" t="n">
        <v>2</v>
      </c>
      <c r="L282" s="2" t="s">
        <v>56</v>
      </c>
      <c r="M282" s="2" t="s">
        <v>57</v>
      </c>
      <c r="N282" s="2" t="s">
        <v>1023</v>
      </c>
      <c r="O282" s="2" t="s">
        <v>66</v>
      </c>
      <c r="P282" s="2" t="s">
        <v>1145</v>
      </c>
      <c r="Q282" s="2" t="str">
        <f aca="false">IF(ROUND(ABS(J282-I282),2)&lt;=0.02,"TRUE","FALSE")</f>
        <v>TRUE</v>
      </c>
    </row>
    <row r="283" customFormat="false" ht="15" hidden="false" customHeight="false" outlineLevel="0" collapsed="false">
      <c r="A283" s="2" t="s">
        <v>22</v>
      </c>
      <c r="B283" s="2" t="s">
        <v>1025</v>
      </c>
      <c r="C283" s="2" t="s">
        <v>1026</v>
      </c>
      <c r="D283" s="2" t="s">
        <v>1146</v>
      </c>
      <c r="E283" s="2" t="s">
        <v>1028</v>
      </c>
      <c r="F283" s="2" t="s">
        <v>1029</v>
      </c>
      <c r="G283" s="4" t="n">
        <v>64.1</v>
      </c>
      <c r="H283" s="4" t="n">
        <v>5.83</v>
      </c>
      <c r="I283" s="4" t="n">
        <v>58.27</v>
      </c>
      <c r="J283" s="4" t="n">
        <v>58.27</v>
      </c>
      <c r="K283" s="2" t="n">
        <v>2</v>
      </c>
      <c r="L283" s="2" t="s">
        <v>56</v>
      </c>
      <c r="M283" s="2" t="s">
        <v>57</v>
      </c>
      <c r="N283" s="2" t="s">
        <v>1030</v>
      </c>
      <c r="O283" s="2" t="s">
        <v>66</v>
      </c>
      <c r="P283" s="2" t="s">
        <v>1147</v>
      </c>
      <c r="Q283" s="2" t="str">
        <f aca="false">IF(ROUND(ABS(J283-I283),2)&lt;=0.02,"TRUE","FALSE")</f>
        <v>TRUE</v>
      </c>
    </row>
    <row r="284" customFormat="false" ht="15" hidden="false" customHeight="false" outlineLevel="0" collapsed="false">
      <c r="A284" s="2" t="s">
        <v>26</v>
      </c>
      <c r="B284" s="2" t="s">
        <v>930</v>
      </c>
      <c r="C284" s="2" t="s">
        <v>931</v>
      </c>
      <c r="D284" s="2" t="s">
        <v>1148</v>
      </c>
      <c r="E284" s="2" t="s">
        <v>933</v>
      </c>
      <c r="F284" s="2" t="s">
        <v>934</v>
      </c>
      <c r="G284" s="4" t="n">
        <v>35.81</v>
      </c>
      <c r="H284" s="4" t="n">
        <v>3.26</v>
      </c>
      <c r="I284" s="4" t="n">
        <v>32.55</v>
      </c>
      <c r="J284" s="4" t="n">
        <v>32.55</v>
      </c>
      <c r="K284" s="2" t="n">
        <v>2</v>
      </c>
      <c r="L284" s="2" t="s">
        <v>56</v>
      </c>
      <c r="M284" s="2" t="s">
        <v>57</v>
      </c>
      <c r="N284" s="2" t="s">
        <v>935</v>
      </c>
      <c r="O284" s="2" t="s">
        <v>66</v>
      </c>
      <c r="P284" s="2" t="s">
        <v>1149</v>
      </c>
      <c r="Q284" s="2" t="str">
        <f aca="false">IF(ROUND(ABS(J284-I284),2)&lt;=0.02,"TRUE","FALSE")</f>
        <v>TRUE</v>
      </c>
    </row>
    <row r="285" customFormat="false" ht="15" hidden="false" customHeight="false" outlineLevel="0" collapsed="false">
      <c r="A285" s="2" t="s">
        <v>26</v>
      </c>
      <c r="B285" s="2" t="s">
        <v>983</v>
      </c>
      <c r="C285" s="2" t="s">
        <v>984</v>
      </c>
      <c r="D285" s="2" t="s">
        <v>1150</v>
      </c>
      <c r="E285" s="2" t="s">
        <v>986</v>
      </c>
      <c r="F285" s="2" t="s">
        <v>987</v>
      </c>
      <c r="G285" s="4" t="n">
        <v>35.52</v>
      </c>
      <c r="H285" s="4" t="n">
        <v>3.23</v>
      </c>
      <c r="I285" s="4" t="n">
        <v>32.29</v>
      </c>
      <c r="J285" s="4" t="n">
        <v>32.29</v>
      </c>
      <c r="K285" s="2" t="n">
        <v>2</v>
      </c>
      <c r="L285" s="2" t="s">
        <v>56</v>
      </c>
      <c r="M285" s="2" t="s">
        <v>57</v>
      </c>
      <c r="N285" s="2" t="s">
        <v>988</v>
      </c>
      <c r="O285" s="2" t="s">
        <v>66</v>
      </c>
      <c r="P285" s="2" t="s">
        <v>1151</v>
      </c>
      <c r="Q285" s="2" t="str">
        <f aca="false">IF(ROUND(ABS(J285-I285),2)&lt;=0.02,"TRUE","FALSE")</f>
        <v>TRUE</v>
      </c>
    </row>
    <row r="286" customFormat="false" ht="15" hidden="false" customHeight="false" outlineLevel="0" collapsed="false">
      <c r="A286" s="2" t="s">
        <v>26</v>
      </c>
      <c r="B286" s="2" t="s">
        <v>937</v>
      </c>
      <c r="C286" s="2" t="s">
        <v>938</v>
      </c>
      <c r="D286" s="2" t="s">
        <v>1152</v>
      </c>
      <c r="E286" s="2" t="s">
        <v>940</v>
      </c>
      <c r="F286" s="2" t="s">
        <v>941</v>
      </c>
      <c r="G286" s="4" t="n">
        <v>54.58</v>
      </c>
      <c r="H286" s="4" t="n">
        <v>4.96</v>
      </c>
      <c r="I286" s="4" t="n">
        <v>49.62</v>
      </c>
      <c r="J286" s="4" t="n">
        <v>49.62</v>
      </c>
      <c r="K286" s="2" t="n">
        <v>2</v>
      </c>
      <c r="L286" s="2" t="s">
        <v>56</v>
      </c>
      <c r="M286" s="2" t="s">
        <v>57</v>
      </c>
      <c r="N286" s="2" t="s">
        <v>942</v>
      </c>
      <c r="O286" s="2" t="s">
        <v>217</v>
      </c>
      <c r="P286" s="2" t="s">
        <v>1153</v>
      </c>
      <c r="Q286" s="2" t="str">
        <f aca="false">IF(ROUND(ABS(J286-I286),2)&lt;=0.02,"TRUE","FALSE")</f>
        <v>TRUE</v>
      </c>
    </row>
    <row r="287" customFormat="false" ht="15" hidden="false" customHeight="false" outlineLevel="0" collapsed="false">
      <c r="A287" s="2" t="s">
        <v>26</v>
      </c>
      <c r="B287" s="2" t="s">
        <v>992</v>
      </c>
      <c r="C287" s="2" t="s">
        <v>993</v>
      </c>
      <c r="D287" s="2" t="s">
        <v>1154</v>
      </c>
      <c r="E287" s="2" t="s">
        <v>995</v>
      </c>
      <c r="F287" s="2" t="s">
        <v>995</v>
      </c>
      <c r="G287" s="4" t="n">
        <v>45.26</v>
      </c>
      <c r="H287" s="4" t="n">
        <v>4.11</v>
      </c>
      <c r="I287" s="4" t="n">
        <v>41.15</v>
      </c>
      <c r="J287" s="4" t="n">
        <v>41.15</v>
      </c>
      <c r="K287" s="2" t="n">
        <v>2</v>
      </c>
      <c r="L287" s="2" t="s">
        <v>56</v>
      </c>
      <c r="M287" s="2" t="s">
        <v>57</v>
      </c>
      <c r="N287" s="2" t="s">
        <v>996</v>
      </c>
      <c r="O287" s="2" t="s">
        <v>104</v>
      </c>
      <c r="P287" s="2" t="s">
        <v>1155</v>
      </c>
      <c r="Q287" s="2" t="str">
        <f aca="false">IF(ROUND(ABS(J287-I287),2)&lt;=0.02,"TRUE","FALSE")</f>
        <v>TRUE</v>
      </c>
    </row>
    <row r="288" customFormat="false" ht="15" hidden="false" customHeight="false" outlineLevel="0" collapsed="false">
      <c r="A288" s="2" t="s">
        <v>14</v>
      </c>
      <c r="B288" s="2" t="s">
        <v>910</v>
      </c>
      <c r="C288" s="2" t="s">
        <v>911</v>
      </c>
      <c r="D288" s="2" t="s">
        <v>1156</v>
      </c>
      <c r="E288" s="2" t="s">
        <v>913</v>
      </c>
      <c r="F288" s="2" t="s">
        <v>914</v>
      </c>
      <c r="G288" s="4" t="n">
        <v>63.99</v>
      </c>
      <c r="H288" s="4" t="n">
        <v>5.81</v>
      </c>
      <c r="I288" s="4" t="n">
        <v>58.18</v>
      </c>
      <c r="J288" s="4" t="n">
        <v>58.18</v>
      </c>
      <c r="K288" s="2" t="n">
        <v>3</v>
      </c>
      <c r="L288" s="2" t="s">
        <v>56</v>
      </c>
      <c r="M288" s="2" t="s">
        <v>57</v>
      </c>
      <c r="N288" s="2" t="s">
        <v>915</v>
      </c>
      <c r="O288" s="2" t="s">
        <v>66</v>
      </c>
      <c r="P288" s="2" t="s">
        <v>1157</v>
      </c>
      <c r="Q288" s="2" t="str">
        <f aca="false">IF(ROUND(ABS(J288-I288),2)&lt;=0.02,"TRUE","FALSE")</f>
        <v>TRUE</v>
      </c>
    </row>
    <row r="289" customFormat="false" ht="15" hidden="false" customHeight="false" outlineLevel="0" collapsed="false">
      <c r="A289" s="2" t="s">
        <v>26</v>
      </c>
      <c r="B289" s="2" t="s">
        <v>910</v>
      </c>
      <c r="C289" s="2" t="s">
        <v>911</v>
      </c>
      <c r="D289" s="2" t="s">
        <v>1158</v>
      </c>
      <c r="E289" s="2" t="s">
        <v>913</v>
      </c>
      <c r="F289" s="2" t="s">
        <v>914</v>
      </c>
      <c r="G289" s="4" t="n">
        <v>44.56</v>
      </c>
      <c r="H289" s="4" t="n">
        <v>4.05</v>
      </c>
      <c r="I289" s="4" t="n">
        <v>40.51</v>
      </c>
      <c r="J289" s="4" t="n">
        <v>40.51</v>
      </c>
      <c r="K289" s="2" t="n">
        <v>3</v>
      </c>
      <c r="L289" s="2" t="s">
        <v>56</v>
      </c>
      <c r="M289" s="2" t="s">
        <v>57</v>
      </c>
      <c r="N289" s="2" t="s">
        <v>915</v>
      </c>
      <c r="O289" s="2" t="s">
        <v>66</v>
      </c>
      <c r="P289" s="2" t="s">
        <v>1159</v>
      </c>
      <c r="Q289" s="2" t="str">
        <f aca="false">IF(ROUND(ABS(J289-I289),2)&lt;=0.02,"TRUE","FALSE")</f>
        <v>TRUE</v>
      </c>
    </row>
    <row r="290" customFormat="false" ht="15" hidden="false" customHeight="false" outlineLevel="0" collapsed="false">
      <c r="A290" s="2" t="s">
        <v>10</v>
      </c>
      <c r="B290" s="2" t="s">
        <v>923</v>
      </c>
      <c r="C290" s="2" t="s">
        <v>924</v>
      </c>
      <c r="D290" s="2" t="s">
        <v>1160</v>
      </c>
      <c r="E290" s="2" t="s">
        <v>926</v>
      </c>
      <c r="F290" s="2" t="s">
        <v>927</v>
      </c>
      <c r="G290" s="4" t="n">
        <v>37.17</v>
      </c>
      <c r="H290" s="4" t="n">
        <v>3.38</v>
      </c>
      <c r="I290" s="4" t="n">
        <v>33.79</v>
      </c>
      <c r="J290" s="4" t="n">
        <v>33.79</v>
      </c>
      <c r="K290" s="2" t="n">
        <v>2</v>
      </c>
      <c r="L290" s="2" t="s">
        <v>56</v>
      </c>
      <c r="M290" s="2" t="s">
        <v>57</v>
      </c>
      <c r="N290" s="2" t="s">
        <v>928</v>
      </c>
      <c r="O290" s="2" t="s">
        <v>66</v>
      </c>
      <c r="P290" s="2" t="s">
        <v>1161</v>
      </c>
      <c r="Q290" s="2" t="str">
        <f aca="false">IF(ROUND(ABS(J290-I290),2)&lt;=0.02,"TRUE","FALSE")</f>
        <v>TRUE</v>
      </c>
    </row>
    <row r="291" customFormat="false" ht="15" hidden="false" customHeight="false" outlineLevel="0" collapsed="false">
      <c r="A291" s="2" t="s">
        <v>14</v>
      </c>
      <c r="B291" s="2" t="s">
        <v>923</v>
      </c>
      <c r="C291" s="2" t="s">
        <v>924</v>
      </c>
      <c r="D291" s="2" t="s">
        <v>1162</v>
      </c>
      <c r="E291" s="2" t="s">
        <v>926</v>
      </c>
      <c r="F291" s="2" t="s">
        <v>927</v>
      </c>
      <c r="G291" s="4" t="n">
        <v>34.65</v>
      </c>
      <c r="H291" s="4" t="n">
        <v>3.15</v>
      </c>
      <c r="I291" s="4" t="n">
        <v>31.5</v>
      </c>
      <c r="J291" s="4" t="n">
        <v>31.5</v>
      </c>
      <c r="K291" s="2" t="n">
        <v>2</v>
      </c>
      <c r="L291" s="2" t="s">
        <v>56</v>
      </c>
      <c r="M291" s="2" t="s">
        <v>57</v>
      </c>
      <c r="N291" s="2" t="s">
        <v>928</v>
      </c>
      <c r="O291" s="2" t="s">
        <v>66</v>
      </c>
      <c r="P291" s="2" t="s">
        <v>1163</v>
      </c>
      <c r="Q291" s="2" t="str">
        <f aca="false">IF(ROUND(ABS(J291-I291),2)&lt;=0.02,"TRUE","FALSE")</f>
        <v>TRUE</v>
      </c>
    </row>
    <row r="292" customFormat="false" ht="15" hidden="false" customHeight="false" outlineLevel="0" collapsed="false">
      <c r="A292" s="2" t="s">
        <v>30</v>
      </c>
      <c r="B292" s="2" t="s">
        <v>910</v>
      </c>
      <c r="C292" s="2" t="s">
        <v>911</v>
      </c>
      <c r="D292" s="2" t="s">
        <v>1164</v>
      </c>
      <c r="E292" s="2" t="s">
        <v>913</v>
      </c>
      <c r="F292" s="2" t="s">
        <v>914</v>
      </c>
      <c r="G292" s="4" t="n">
        <v>53</v>
      </c>
      <c r="H292" s="4" t="n">
        <v>4.82</v>
      </c>
      <c r="I292" s="4" t="n">
        <v>48.18</v>
      </c>
      <c r="J292" s="4" t="n">
        <v>48.18</v>
      </c>
      <c r="K292" s="2" t="n">
        <v>6</v>
      </c>
      <c r="L292" s="2" t="s">
        <v>56</v>
      </c>
      <c r="M292" s="2" t="s">
        <v>57</v>
      </c>
      <c r="N292" s="2" t="s">
        <v>915</v>
      </c>
      <c r="O292" s="2" t="s">
        <v>66</v>
      </c>
      <c r="P292" s="2" t="s">
        <v>1165</v>
      </c>
      <c r="Q292" s="2" t="str">
        <f aca="false">IF(ROUND(ABS(J292-I292),2)&lt;=0.02,"TRUE","FALSE")</f>
        <v>TRUE</v>
      </c>
    </row>
    <row r="293" customFormat="false" ht="15" hidden="false" customHeight="false" outlineLevel="0" collapsed="false">
      <c r="A293" s="2" t="s">
        <v>18</v>
      </c>
      <c r="B293" s="2" t="s">
        <v>923</v>
      </c>
      <c r="C293" s="2" t="s">
        <v>924</v>
      </c>
      <c r="D293" s="2" t="s">
        <v>1166</v>
      </c>
      <c r="E293" s="2" t="s">
        <v>926</v>
      </c>
      <c r="F293" s="2" t="s">
        <v>927</v>
      </c>
      <c r="G293" s="4" t="n">
        <v>75.99</v>
      </c>
      <c r="H293" s="4" t="n">
        <v>6.92</v>
      </c>
      <c r="I293" s="4" t="n">
        <v>69.07</v>
      </c>
      <c r="J293" s="4" t="n">
        <v>69.07</v>
      </c>
      <c r="K293" s="2" t="n">
        <v>6</v>
      </c>
      <c r="L293" s="2" t="s">
        <v>56</v>
      </c>
      <c r="M293" s="2" t="s">
        <v>57</v>
      </c>
      <c r="N293" s="2" t="s">
        <v>928</v>
      </c>
      <c r="O293" s="2" t="s">
        <v>66</v>
      </c>
      <c r="P293" s="2" t="s">
        <v>1167</v>
      </c>
      <c r="Q293" s="2" t="str">
        <f aca="false">IF(ROUND(ABS(J293-I293),2)&lt;=0.02,"TRUE","FALSE")</f>
        <v>TRUE</v>
      </c>
    </row>
    <row r="294" customFormat="false" ht="15" hidden="false" customHeight="false" outlineLevel="0" collapsed="false">
      <c r="A294" s="2" t="s">
        <v>30</v>
      </c>
      <c r="B294" s="2" t="s">
        <v>815</v>
      </c>
      <c r="C294" s="2" t="s">
        <v>816</v>
      </c>
      <c r="D294" s="2" t="s">
        <v>1168</v>
      </c>
      <c r="E294" s="2" t="s">
        <v>818</v>
      </c>
      <c r="F294" s="2" t="s">
        <v>819</v>
      </c>
      <c r="G294" s="4" t="n">
        <v>63.27</v>
      </c>
      <c r="H294" s="4" t="n">
        <v>5.76</v>
      </c>
      <c r="I294" s="4" t="n">
        <v>57.51</v>
      </c>
      <c r="J294" s="4" t="n">
        <v>57.51</v>
      </c>
      <c r="K294" s="2" t="n">
        <v>2</v>
      </c>
      <c r="L294" s="2" t="s">
        <v>56</v>
      </c>
      <c r="M294" s="2" t="s">
        <v>57</v>
      </c>
      <c r="N294" s="2"/>
      <c r="O294" s="2" t="s">
        <v>58</v>
      </c>
      <c r="P294" s="2" t="s">
        <v>1169</v>
      </c>
      <c r="Q294" s="2" t="str">
        <f aca="false">IF(ROUND(ABS(J294-I294),2)&lt;=0.02,"TRUE","FALSE")</f>
        <v>TRUE</v>
      </c>
    </row>
    <row r="295" customFormat="false" ht="15" hidden="false" customHeight="false" outlineLevel="0" collapsed="false">
      <c r="A295" s="2" t="s">
        <v>26</v>
      </c>
      <c r="B295" s="2" t="s">
        <v>874</v>
      </c>
      <c r="C295" s="2" t="s">
        <v>875</v>
      </c>
      <c r="D295" s="2" t="s">
        <v>1170</v>
      </c>
      <c r="E295" s="2" t="s">
        <v>877</v>
      </c>
      <c r="F295" s="2" t="s">
        <v>878</v>
      </c>
      <c r="G295" s="4" t="n">
        <v>59.66</v>
      </c>
      <c r="H295" s="4" t="n">
        <v>5.43</v>
      </c>
      <c r="I295" s="4" t="n">
        <v>54.23</v>
      </c>
      <c r="J295" s="4" t="n">
        <v>54.23</v>
      </c>
      <c r="K295" s="2" t="n">
        <v>2</v>
      </c>
      <c r="L295" s="2" t="s">
        <v>56</v>
      </c>
      <c r="M295" s="2" t="s">
        <v>57</v>
      </c>
      <c r="N295" s="2" t="s">
        <v>879</v>
      </c>
      <c r="O295" s="2" t="s">
        <v>66</v>
      </c>
      <c r="P295" s="2" t="s">
        <v>1171</v>
      </c>
      <c r="Q295" s="2" t="str">
        <f aca="false">IF(ROUND(ABS(J295-I295),2)&lt;=0.02,"TRUE","FALSE")</f>
        <v>TRUE</v>
      </c>
    </row>
    <row r="296" customFormat="false" ht="15" hidden="false" customHeight="false" outlineLevel="0" collapsed="false">
      <c r="A296" s="2" t="s">
        <v>30</v>
      </c>
      <c r="B296" s="2" t="s">
        <v>518</v>
      </c>
      <c r="C296" s="2" t="s">
        <v>519</v>
      </c>
      <c r="D296" s="2" t="s">
        <v>1172</v>
      </c>
      <c r="E296" s="2" t="s">
        <v>521</v>
      </c>
      <c r="F296" s="2" t="s">
        <v>522</v>
      </c>
      <c r="G296" s="4" t="n">
        <v>88.3</v>
      </c>
      <c r="H296" s="4" t="n">
        <v>8.03</v>
      </c>
      <c r="I296" s="4" t="n">
        <v>80.27</v>
      </c>
      <c r="J296" s="4" t="n">
        <v>80.27</v>
      </c>
      <c r="K296" s="2" t="n">
        <v>4</v>
      </c>
      <c r="L296" s="2" t="s">
        <v>56</v>
      </c>
      <c r="M296" s="2" t="s">
        <v>57</v>
      </c>
      <c r="N296" s="2" t="s">
        <v>523</v>
      </c>
      <c r="O296" s="2" t="s">
        <v>66</v>
      </c>
      <c r="P296" s="2" t="s">
        <v>1173</v>
      </c>
      <c r="Q296" s="2" t="str">
        <f aca="false">IF(ROUND(ABS(J296-I296),2)&lt;=0.02,"TRUE","FALSE")</f>
        <v>TRUE</v>
      </c>
    </row>
    <row r="297" customFormat="false" ht="15" hidden="false" customHeight="false" outlineLevel="0" collapsed="false">
      <c r="A297" s="2" t="s">
        <v>30</v>
      </c>
      <c r="B297" s="2" t="s">
        <v>821</v>
      </c>
      <c r="C297" s="2" t="s">
        <v>822</v>
      </c>
      <c r="D297" s="2" t="s">
        <v>1174</v>
      </c>
      <c r="E297" s="2" t="s">
        <v>824</v>
      </c>
      <c r="F297" s="2" t="s">
        <v>825</v>
      </c>
      <c r="G297" s="4" t="n">
        <v>54.35</v>
      </c>
      <c r="H297" s="4" t="n">
        <v>4.95</v>
      </c>
      <c r="I297" s="4" t="n">
        <v>49.4</v>
      </c>
      <c r="J297" s="4" t="n">
        <v>49.4</v>
      </c>
      <c r="K297" s="2" t="n">
        <v>2</v>
      </c>
      <c r="L297" s="2" t="s">
        <v>56</v>
      </c>
      <c r="M297" s="2" t="s">
        <v>57</v>
      </c>
      <c r="N297" s="2" t="s">
        <v>826</v>
      </c>
      <c r="O297" s="2" t="s">
        <v>66</v>
      </c>
      <c r="P297" s="2" t="s">
        <v>1175</v>
      </c>
      <c r="Q297" s="2" t="str">
        <f aca="false">IF(ROUND(ABS(J297-I297),2)&lt;=0.02,"TRUE","FALSE")</f>
        <v>TRUE</v>
      </c>
    </row>
    <row r="298" customFormat="false" ht="15" hidden="false" customHeight="false" outlineLevel="0" collapsed="false">
      <c r="A298" s="2" t="s">
        <v>30</v>
      </c>
      <c r="B298" s="2" t="s">
        <v>944</v>
      </c>
      <c r="C298" s="2" t="s">
        <v>945</v>
      </c>
      <c r="D298" s="2" t="s">
        <v>1176</v>
      </c>
      <c r="E298" s="2" t="s">
        <v>947</v>
      </c>
      <c r="F298" s="2" t="s">
        <v>948</v>
      </c>
      <c r="G298" s="4" t="n">
        <v>32.11</v>
      </c>
      <c r="H298" s="4" t="n">
        <v>2.92</v>
      </c>
      <c r="I298" s="4" t="n">
        <v>29.19</v>
      </c>
      <c r="J298" s="4" t="n">
        <v>29.19</v>
      </c>
      <c r="K298" s="2" t="n">
        <v>2</v>
      </c>
      <c r="L298" s="2" t="s">
        <v>56</v>
      </c>
      <c r="M298" s="2" t="s">
        <v>57</v>
      </c>
      <c r="N298" s="2"/>
      <c r="O298" s="2" t="s">
        <v>58</v>
      </c>
      <c r="P298" s="2" t="s">
        <v>1177</v>
      </c>
      <c r="Q298" s="2" t="str">
        <f aca="false">IF(ROUND(ABS(J298-I298),2)&lt;=0.02,"TRUE","FALSE")</f>
        <v>TRUE</v>
      </c>
    </row>
    <row r="299" customFormat="false" ht="15" hidden="false" customHeight="false" outlineLevel="0" collapsed="false">
      <c r="A299" s="2" t="s">
        <v>30</v>
      </c>
      <c r="B299" s="2" t="s">
        <v>950</v>
      </c>
      <c r="C299" s="2" t="s">
        <v>951</v>
      </c>
      <c r="D299" s="2" t="s">
        <v>1178</v>
      </c>
      <c r="E299" s="2" t="s">
        <v>953</v>
      </c>
      <c r="F299" s="2" t="s">
        <v>954</v>
      </c>
      <c r="G299" s="4" t="n">
        <v>32.86</v>
      </c>
      <c r="H299" s="4" t="n">
        <v>2.99</v>
      </c>
      <c r="I299" s="4" t="n">
        <v>29.87</v>
      </c>
      <c r="J299" s="4" t="n">
        <v>29.87</v>
      </c>
      <c r="K299" s="2" t="n">
        <v>2</v>
      </c>
      <c r="L299" s="2" t="s">
        <v>56</v>
      </c>
      <c r="M299" s="2" t="s">
        <v>57</v>
      </c>
      <c r="N299" s="2" t="s">
        <v>955</v>
      </c>
      <c r="O299" s="2" t="s">
        <v>66</v>
      </c>
      <c r="P299" s="2" t="s">
        <v>1179</v>
      </c>
      <c r="Q299" s="2" t="str">
        <f aca="false">IF(ROUND(ABS(J299-I299),2)&lt;=0.02,"TRUE","FALSE")</f>
        <v>TRUE</v>
      </c>
    </row>
    <row r="300" customFormat="false" ht="15" hidden="false" customHeight="false" outlineLevel="0" collapsed="false">
      <c r="A300" s="2" t="s">
        <v>30</v>
      </c>
      <c r="B300" s="2" t="s">
        <v>532</v>
      </c>
      <c r="C300" s="2" t="s">
        <v>533</v>
      </c>
      <c r="D300" s="2" t="s">
        <v>1180</v>
      </c>
      <c r="E300" s="2" t="s">
        <v>535</v>
      </c>
      <c r="F300" s="2" t="s">
        <v>536</v>
      </c>
      <c r="G300" s="4" t="n">
        <v>49.4</v>
      </c>
      <c r="H300" s="4" t="n">
        <v>4.5</v>
      </c>
      <c r="I300" s="4" t="n">
        <v>44.9</v>
      </c>
      <c r="J300" s="4" t="n">
        <v>44.9</v>
      </c>
      <c r="K300" s="2" t="n">
        <v>2</v>
      </c>
      <c r="L300" s="2" t="s">
        <v>56</v>
      </c>
      <c r="M300" s="2" t="s">
        <v>57</v>
      </c>
      <c r="N300" s="2" t="s">
        <v>537</v>
      </c>
      <c r="O300" s="2" t="s">
        <v>66</v>
      </c>
      <c r="P300" s="2" t="s">
        <v>1181</v>
      </c>
      <c r="Q300" s="2" t="str">
        <f aca="false">IF(ROUND(ABS(J300-I300),2)&lt;=0.02,"TRUE","FALSE")</f>
        <v>TRUE</v>
      </c>
    </row>
    <row r="301" customFormat="false" ht="15" hidden="false" customHeight="false" outlineLevel="0" collapsed="false">
      <c r="A301" s="2" t="s">
        <v>30</v>
      </c>
      <c r="B301" s="2" t="s">
        <v>957</v>
      </c>
      <c r="C301" s="2" t="s">
        <v>958</v>
      </c>
      <c r="D301" s="2" t="s">
        <v>1182</v>
      </c>
      <c r="E301" s="2" t="s">
        <v>960</v>
      </c>
      <c r="F301" s="2" t="s">
        <v>961</v>
      </c>
      <c r="G301" s="4" t="n">
        <v>31.36</v>
      </c>
      <c r="H301" s="4" t="n">
        <v>2.86</v>
      </c>
      <c r="I301" s="4" t="n">
        <v>28.5</v>
      </c>
      <c r="J301" s="4" t="n">
        <v>28.5</v>
      </c>
      <c r="K301" s="2" t="n">
        <v>2</v>
      </c>
      <c r="L301" s="2" t="s">
        <v>56</v>
      </c>
      <c r="M301" s="2" t="s">
        <v>57</v>
      </c>
      <c r="N301" s="2" t="s">
        <v>962</v>
      </c>
      <c r="O301" s="2" t="s">
        <v>441</v>
      </c>
      <c r="P301" s="2" t="s">
        <v>1183</v>
      </c>
      <c r="Q301" s="2" t="str">
        <f aca="false">IF(ROUND(ABS(J301-I301),2)&lt;=0.02,"TRUE","FALSE")</f>
        <v>TRUE</v>
      </c>
    </row>
    <row r="302" customFormat="false" ht="15" hidden="false" customHeight="false" outlineLevel="0" collapsed="false">
      <c r="A302" s="2" t="s">
        <v>30</v>
      </c>
      <c r="B302" s="2" t="s">
        <v>964</v>
      </c>
      <c r="C302" s="2" t="s">
        <v>965</v>
      </c>
      <c r="D302" s="2" t="s">
        <v>1184</v>
      </c>
      <c r="E302" s="2" t="s">
        <v>967</v>
      </c>
      <c r="F302" s="2" t="s">
        <v>968</v>
      </c>
      <c r="G302" s="4" t="n">
        <v>31.19</v>
      </c>
      <c r="H302" s="4" t="n">
        <v>2.84</v>
      </c>
      <c r="I302" s="4" t="n">
        <v>28.35</v>
      </c>
      <c r="J302" s="4" t="n">
        <v>28.35</v>
      </c>
      <c r="K302" s="2" t="n">
        <v>1</v>
      </c>
      <c r="L302" s="2" t="s">
        <v>56</v>
      </c>
      <c r="M302" s="2" t="s">
        <v>57</v>
      </c>
      <c r="N302" s="2" t="s">
        <v>935</v>
      </c>
      <c r="O302" s="2" t="s">
        <v>441</v>
      </c>
      <c r="P302" s="2" t="s">
        <v>1185</v>
      </c>
      <c r="Q302" s="2" t="str">
        <f aca="false">IF(ROUND(ABS(J302-I302),2)&lt;=0.02,"TRUE","FALSE")</f>
        <v>TRUE</v>
      </c>
    </row>
    <row r="303" customFormat="false" ht="15" hidden="false" customHeight="false" outlineLevel="0" collapsed="false">
      <c r="A303" s="2" t="s">
        <v>30</v>
      </c>
      <c r="B303" s="2" t="s">
        <v>970</v>
      </c>
      <c r="C303" s="2" t="s">
        <v>971</v>
      </c>
      <c r="D303" s="2" t="s">
        <v>1186</v>
      </c>
      <c r="E303" s="2" t="s">
        <v>973</v>
      </c>
      <c r="F303" s="2" t="s">
        <v>974</v>
      </c>
      <c r="G303" s="4" t="n">
        <v>31.89</v>
      </c>
      <c r="H303" s="4" t="n">
        <v>2.9</v>
      </c>
      <c r="I303" s="4" t="n">
        <v>28.99</v>
      </c>
      <c r="J303" s="4" t="n">
        <v>28.99</v>
      </c>
      <c r="K303" s="2" t="n">
        <v>2</v>
      </c>
      <c r="L303" s="2" t="s">
        <v>56</v>
      </c>
      <c r="M303" s="2" t="s">
        <v>57</v>
      </c>
      <c r="N303" s="2" t="s">
        <v>975</v>
      </c>
      <c r="O303" s="2" t="s">
        <v>66</v>
      </c>
      <c r="P303" s="2" t="s">
        <v>1187</v>
      </c>
      <c r="Q303" s="2" t="str">
        <f aca="false">IF(ROUND(ABS(J303-I303),2)&lt;=0.02,"TRUE","FALSE")</f>
        <v>TRUE</v>
      </c>
    </row>
    <row r="304" customFormat="false" ht="15" hidden="false" customHeight="false" outlineLevel="0" collapsed="false">
      <c r="A304" s="2" t="s">
        <v>30</v>
      </c>
      <c r="B304" s="2" t="s">
        <v>977</v>
      </c>
      <c r="C304" s="2" t="s">
        <v>978</v>
      </c>
      <c r="D304" s="2" t="s">
        <v>1188</v>
      </c>
      <c r="E304" s="2" t="s">
        <v>980</v>
      </c>
      <c r="F304" s="2" t="s">
        <v>981</v>
      </c>
      <c r="G304" s="4" t="n">
        <v>31.19</v>
      </c>
      <c r="H304" s="4" t="n">
        <v>2.84</v>
      </c>
      <c r="I304" s="4" t="n">
        <v>28.35</v>
      </c>
      <c r="J304" s="4" t="n">
        <v>28.35</v>
      </c>
      <c r="K304" s="2" t="n">
        <v>1</v>
      </c>
      <c r="L304" s="2" t="s">
        <v>56</v>
      </c>
      <c r="M304" s="2" t="s">
        <v>57</v>
      </c>
      <c r="N304" s="2"/>
      <c r="O304" s="2" t="s">
        <v>58</v>
      </c>
      <c r="P304" s="2" t="s">
        <v>1189</v>
      </c>
      <c r="Q304" s="2" t="str">
        <f aca="false">IF(ROUND(ABS(J304-I304),2)&lt;=0.02,"TRUE","FALSE")</f>
        <v>TRUE</v>
      </c>
    </row>
    <row r="305" customFormat="false" ht="15" hidden="false" customHeight="false" outlineLevel="0" collapsed="false">
      <c r="A305" s="2" t="s">
        <v>30</v>
      </c>
      <c r="B305" s="2" t="s">
        <v>998</v>
      </c>
      <c r="C305" s="2" t="s">
        <v>999</v>
      </c>
      <c r="D305" s="2" t="s">
        <v>1190</v>
      </c>
      <c r="E305" s="2" t="s">
        <v>1001</v>
      </c>
      <c r="F305" s="2" t="s">
        <v>1002</v>
      </c>
      <c r="G305" s="4" t="n">
        <v>31.19</v>
      </c>
      <c r="H305" s="4" t="n">
        <v>2.84</v>
      </c>
      <c r="I305" s="4" t="n">
        <v>28.35</v>
      </c>
      <c r="J305" s="4" t="n">
        <v>28.35</v>
      </c>
      <c r="K305" s="2" t="n">
        <v>1</v>
      </c>
      <c r="L305" s="2" t="s">
        <v>56</v>
      </c>
      <c r="M305" s="2" t="s">
        <v>57</v>
      </c>
      <c r="N305" s="2"/>
      <c r="O305" s="2" t="s">
        <v>58</v>
      </c>
      <c r="P305" s="2" t="s">
        <v>1191</v>
      </c>
      <c r="Q305" s="2" t="str">
        <f aca="false">IF(ROUND(ABS(J305-I305),2)&lt;=0.02,"TRUE","FALSE")</f>
        <v>TRUE</v>
      </c>
    </row>
    <row r="306" customFormat="false" ht="15" hidden="false" customHeight="false" outlineLevel="0" collapsed="false">
      <c r="A306" s="2" t="s">
        <v>30</v>
      </c>
      <c r="B306" s="2" t="s">
        <v>1004</v>
      </c>
      <c r="C306" s="2" t="s">
        <v>1005</v>
      </c>
      <c r="D306" s="2" t="s">
        <v>1192</v>
      </c>
      <c r="E306" s="2" t="s">
        <v>1007</v>
      </c>
      <c r="F306" s="2" t="s">
        <v>1008</v>
      </c>
      <c r="G306" s="4" t="n">
        <v>47.15</v>
      </c>
      <c r="H306" s="4" t="n">
        <v>4.29</v>
      </c>
      <c r="I306" s="4" t="n">
        <v>42.86</v>
      </c>
      <c r="J306" s="4" t="n">
        <v>42.86</v>
      </c>
      <c r="K306" s="2" t="n">
        <v>2</v>
      </c>
      <c r="L306" s="2" t="s">
        <v>56</v>
      </c>
      <c r="M306" s="2" t="s">
        <v>57</v>
      </c>
      <c r="N306" s="2" t="s">
        <v>1009</v>
      </c>
      <c r="O306" s="2" t="s">
        <v>66</v>
      </c>
      <c r="P306" s="2" t="s">
        <v>1193</v>
      </c>
      <c r="Q306" s="2" t="str">
        <f aca="false">IF(ROUND(ABS(J306-I306),2)&lt;=0.02,"TRUE","FALSE")</f>
        <v>TRUE</v>
      </c>
    </row>
    <row r="307" customFormat="false" ht="15" hidden="false" customHeight="false" outlineLevel="0" collapsed="false">
      <c r="A307" s="2" t="s">
        <v>30</v>
      </c>
      <c r="B307" s="2" t="s">
        <v>1011</v>
      </c>
      <c r="C307" s="2" t="s">
        <v>1012</v>
      </c>
      <c r="D307" s="2" t="s">
        <v>1194</v>
      </c>
      <c r="E307" s="2" t="s">
        <v>1014</v>
      </c>
      <c r="F307" s="2" t="s">
        <v>1015</v>
      </c>
      <c r="G307" s="4" t="n">
        <v>31.19</v>
      </c>
      <c r="H307" s="4" t="n">
        <v>2.84</v>
      </c>
      <c r="I307" s="4" t="n">
        <v>28.35</v>
      </c>
      <c r="J307" s="4" t="n">
        <v>28.35</v>
      </c>
      <c r="K307" s="2" t="n">
        <v>1</v>
      </c>
      <c r="L307" s="2" t="s">
        <v>56</v>
      </c>
      <c r="M307" s="2" t="s">
        <v>57</v>
      </c>
      <c r="N307" s="2" t="s">
        <v>1016</v>
      </c>
      <c r="O307" s="2" t="s">
        <v>66</v>
      </c>
      <c r="P307" s="2" t="s">
        <v>1195</v>
      </c>
      <c r="Q307" s="2" t="str">
        <f aca="false">IF(ROUND(ABS(J307-I307),2)&lt;=0.02,"TRUE","FALSE")</f>
        <v>TRUE</v>
      </c>
    </row>
    <row r="308" customFormat="false" ht="15" hidden="false" customHeight="false" outlineLevel="0" collapsed="false">
      <c r="A308" s="2" t="s">
        <v>30</v>
      </c>
      <c r="B308" s="2" t="s">
        <v>1018</v>
      </c>
      <c r="C308" s="2" t="s">
        <v>1019</v>
      </c>
      <c r="D308" s="2" t="s">
        <v>1196</v>
      </c>
      <c r="E308" s="2" t="s">
        <v>1021</v>
      </c>
      <c r="F308" s="2" t="s">
        <v>1022</v>
      </c>
      <c r="G308" s="4" t="n">
        <v>56.07</v>
      </c>
      <c r="H308" s="4" t="n">
        <v>5.1</v>
      </c>
      <c r="I308" s="4" t="n">
        <v>50.97</v>
      </c>
      <c r="J308" s="4" t="n">
        <v>50.97</v>
      </c>
      <c r="K308" s="2" t="n">
        <v>2</v>
      </c>
      <c r="L308" s="2" t="s">
        <v>56</v>
      </c>
      <c r="M308" s="2" t="s">
        <v>57</v>
      </c>
      <c r="N308" s="2" t="s">
        <v>1023</v>
      </c>
      <c r="O308" s="2" t="s">
        <v>66</v>
      </c>
      <c r="P308" s="2" t="s">
        <v>1197</v>
      </c>
      <c r="Q308" s="2" t="str">
        <f aca="false">IF(ROUND(ABS(J308-I308),2)&lt;=0.02,"TRUE","FALSE")</f>
        <v>TRUE</v>
      </c>
    </row>
    <row r="309" customFormat="false" ht="15" hidden="false" customHeight="false" outlineLevel="0" collapsed="false">
      <c r="A309" s="2" t="s">
        <v>30</v>
      </c>
      <c r="B309" s="2" t="s">
        <v>1025</v>
      </c>
      <c r="C309" s="2" t="s">
        <v>1026</v>
      </c>
      <c r="D309" s="2" t="s">
        <v>1198</v>
      </c>
      <c r="E309" s="2" t="s">
        <v>1028</v>
      </c>
      <c r="F309" s="2" t="s">
        <v>1029</v>
      </c>
      <c r="G309" s="4" t="n">
        <v>58.62</v>
      </c>
      <c r="H309" s="4" t="n">
        <v>5.33</v>
      </c>
      <c r="I309" s="4" t="n">
        <v>53.29</v>
      </c>
      <c r="J309" s="4" t="n">
        <v>53.29</v>
      </c>
      <c r="K309" s="2" t="n">
        <v>2</v>
      </c>
      <c r="L309" s="2" t="s">
        <v>56</v>
      </c>
      <c r="M309" s="2" t="s">
        <v>57</v>
      </c>
      <c r="N309" s="2" t="s">
        <v>1030</v>
      </c>
      <c r="O309" s="2" t="s">
        <v>66</v>
      </c>
      <c r="P309" s="2" t="s">
        <v>1199</v>
      </c>
      <c r="Q309" s="2" t="str">
        <f aca="false">IF(ROUND(ABS(J309-I309),2)&lt;=0.02,"TRUE","FALSE")</f>
        <v>TRUE</v>
      </c>
    </row>
    <row r="310" customFormat="false" ht="15" hidden="false" customHeight="false" outlineLevel="0" collapsed="false">
      <c r="A310" s="2" t="s">
        <v>30</v>
      </c>
      <c r="B310" s="2" t="s">
        <v>992</v>
      </c>
      <c r="C310" s="2" t="s">
        <v>993</v>
      </c>
      <c r="D310" s="2" t="s">
        <v>1200</v>
      </c>
      <c r="E310" s="2" t="s">
        <v>995</v>
      </c>
      <c r="F310" s="2" t="s">
        <v>995</v>
      </c>
      <c r="G310" s="4" t="n">
        <v>77.84</v>
      </c>
      <c r="H310" s="4" t="n">
        <v>7.09</v>
      </c>
      <c r="I310" s="4" t="n">
        <v>70.75</v>
      </c>
      <c r="J310" s="4" t="n">
        <v>70.75</v>
      </c>
      <c r="K310" s="2" t="n">
        <v>6</v>
      </c>
      <c r="L310" s="2" t="s">
        <v>56</v>
      </c>
      <c r="M310" s="2" t="s">
        <v>57</v>
      </c>
      <c r="N310" s="2" t="s">
        <v>996</v>
      </c>
      <c r="O310" s="2" t="s">
        <v>104</v>
      </c>
      <c r="P310" s="2" t="s">
        <v>1201</v>
      </c>
      <c r="Q310" s="2" t="str">
        <f aca="false">IF(ROUND(ABS(J310-I310),2)&lt;=0.02,"TRUE","FALSE")</f>
        <v>TRUE</v>
      </c>
    </row>
    <row r="311" customFormat="false" ht="15" hidden="false" customHeight="false" outlineLevel="0" collapsed="false">
      <c r="A311" s="2" t="s">
        <v>22</v>
      </c>
      <c r="B311" s="2" t="s">
        <v>895</v>
      </c>
      <c r="C311" s="2" t="s">
        <v>896</v>
      </c>
      <c r="D311" s="2" t="s">
        <v>1202</v>
      </c>
      <c r="E311" s="2" t="s">
        <v>898</v>
      </c>
      <c r="F311" s="2" t="s">
        <v>899</v>
      </c>
      <c r="G311" s="4" t="n">
        <v>56.63</v>
      </c>
      <c r="H311" s="4" t="n">
        <v>5.15</v>
      </c>
      <c r="I311" s="4" t="n">
        <v>51.48</v>
      </c>
      <c r="J311" s="4" t="n">
        <v>51.48</v>
      </c>
      <c r="K311" s="2" t="n">
        <v>2</v>
      </c>
      <c r="L311" s="2" t="s">
        <v>56</v>
      </c>
      <c r="M311" s="2" t="s">
        <v>57</v>
      </c>
      <c r="N311" s="2" t="s">
        <v>900</v>
      </c>
      <c r="O311" s="2" t="s">
        <v>104</v>
      </c>
      <c r="P311" s="2" t="s">
        <v>1203</v>
      </c>
      <c r="Q311" s="2" t="str">
        <f aca="false">IF(ROUND(ABS(J311-I311),2)&lt;=0.02,"TRUE","FALSE")</f>
        <v>TRUE</v>
      </c>
    </row>
    <row r="312" customFormat="false" ht="15" hidden="false" customHeight="false" outlineLevel="0" collapsed="false">
      <c r="A312" s="2" t="s">
        <v>10</v>
      </c>
      <c r="B312" s="2" t="s">
        <v>1204</v>
      </c>
      <c r="C312" s="2" t="s">
        <v>1205</v>
      </c>
      <c r="D312" s="2" t="s">
        <v>1206</v>
      </c>
      <c r="E312" s="2" t="s">
        <v>1207</v>
      </c>
      <c r="F312" s="2" t="s">
        <v>1208</v>
      </c>
      <c r="G312" s="4" t="n">
        <v>57.01</v>
      </c>
      <c r="H312" s="4" t="n">
        <v>5.19</v>
      </c>
      <c r="I312" s="4" t="n">
        <v>51.82</v>
      </c>
      <c r="J312" s="4" t="n">
        <v>51.82</v>
      </c>
      <c r="K312" s="2" t="n">
        <v>2</v>
      </c>
      <c r="L312" s="2" t="s">
        <v>56</v>
      </c>
      <c r="M312" s="2" t="s">
        <v>57</v>
      </c>
      <c r="N312" s="2"/>
      <c r="O312" s="2" t="s">
        <v>58</v>
      </c>
      <c r="P312" s="2" t="s">
        <v>1209</v>
      </c>
      <c r="Q312" s="2" t="str">
        <f aca="false">IF(ROUND(ABS(J312-I312),2)&lt;=0.02,"TRUE","FALSE")</f>
        <v>TRUE</v>
      </c>
    </row>
    <row r="313" customFormat="false" ht="15" hidden="false" customHeight="false" outlineLevel="0" collapsed="false">
      <c r="A313" s="2" t="s">
        <v>26</v>
      </c>
      <c r="B313" s="2" t="s">
        <v>895</v>
      </c>
      <c r="C313" s="2" t="s">
        <v>896</v>
      </c>
      <c r="D313" s="2" t="s">
        <v>1210</v>
      </c>
      <c r="E313" s="2" t="s">
        <v>898</v>
      </c>
      <c r="F313" s="2" t="s">
        <v>899</v>
      </c>
      <c r="G313" s="4" t="n">
        <v>56.92</v>
      </c>
      <c r="H313" s="4" t="n">
        <v>5.18</v>
      </c>
      <c r="I313" s="4" t="n">
        <v>51.74</v>
      </c>
      <c r="J313" s="4" t="n">
        <v>51.74</v>
      </c>
      <c r="K313" s="2" t="n">
        <v>2</v>
      </c>
      <c r="L313" s="2" t="s">
        <v>56</v>
      </c>
      <c r="M313" s="2" t="s">
        <v>57</v>
      </c>
      <c r="N313" s="2" t="s">
        <v>900</v>
      </c>
      <c r="O313" s="2" t="s">
        <v>104</v>
      </c>
      <c r="P313" s="2" t="s">
        <v>1211</v>
      </c>
      <c r="Q313" s="2" t="str">
        <f aca="false">IF(ROUND(ABS(J313-I313),2)&lt;=0.02,"TRUE","FALSE")</f>
        <v>TRUE</v>
      </c>
    </row>
    <row r="314" customFormat="false" ht="15" hidden="false" customHeight="false" outlineLevel="0" collapsed="false">
      <c r="A314" s="2" t="s">
        <v>14</v>
      </c>
      <c r="B314" s="2" t="s">
        <v>1204</v>
      </c>
      <c r="C314" s="2" t="s">
        <v>1205</v>
      </c>
      <c r="D314" s="2" t="s">
        <v>1212</v>
      </c>
      <c r="E314" s="2" t="s">
        <v>1207</v>
      </c>
      <c r="F314" s="2" t="s">
        <v>1208</v>
      </c>
      <c r="G314" s="4" t="n">
        <v>56.75</v>
      </c>
      <c r="H314" s="4" t="n">
        <v>5.16</v>
      </c>
      <c r="I314" s="4" t="n">
        <v>51.59</v>
      </c>
      <c r="J314" s="4" t="n">
        <v>51.59</v>
      </c>
      <c r="K314" s="2" t="n">
        <v>2</v>
      </c>
      <c r="L314" s="2" t="s">
        <v>56</v>
      </c>
      <c r="M314" s="2" t="s">
        <v>57</v>
      </c>
      <c r="N314" s="2"/>
      <c r="O314" s="2" t="s">
        <v>58</v>
      </c>
      <c r="P314" s="2" t="s">
        <v>1213</v>
      </c>
      <c r="Q314" s="2" t="str">
        <f aca="false">IF(ROUND(ABS(J314-I314),2)&lt;=0.02,"TRUE","FALSE")</f>
        <v>TRUE</v>
      </c>
    </row>
    <row r="315" customFormat="false" ht="15" hidden="false" customHeight="false" outlineLevel="0" collapsed="false">
      <c r="A315" s="2" t="s">
        <v>22</v>
      </c>
      <c r="B315" s="2" t="s">
        <v>874</v>
      </c>
      <c r="C315" s="2" t="s">
        <v>875</v>
      </c>
      <c r="D315" s="2" t="s">
        <v>1214</v>
      </c>
      <c r="E315" s="2" t="s">
        <v>877</v>
      </c>
      <c r="F315" s="2" t="s">
        <v>878</v>
      </c>
      <c r="G315" s="4" t="n">
        <v>55</v>
      </c>
      <c r="H315" s="4" t="n">
        <v>5</v>
      </c>
      <c r="I315" s="4" t="n">
        <v>50</v>
      </c>
      <c r="J315" s="4" t="n">
        <v>50</v>
      </c>
      <c r="K315" s="2" t="n">
        <v>2</v>
      </c>
      <c r="L315" s="2" t="s">
        <v>56</v>
      </c>
      <c r="M315" s="2" t="s">
        <v>57</v>
      </c>
      <c r="N315" s="2" t="s">
        <v>879</v>
      </c>
      <c r="O315" s="2" t="s">
        <v>66</v>
      </c>
      <c r="P315" s="2" t="s">
        <v>1215</v>
      </c>
      <c r="Q315" s="2" t="str">
        <f aca="false">IF(ROUND(ABS(J315-I315),2)&lt;=0.02,"TRUE","FALSE")</f>
        <v>TRUE</v>
      </c>
    </row>
    <row r="316" customFormat="false" ht="15" hidden="false" customHeight="false" outlineLevel="0" collapsed="false">
      <c r="A316" s="2" t="s">
        <v>22</v>
      </c>
      <c r="B316" s="2" t="s">
        <v>1216</v>
      </c>
      <c r="C316" s="2" t="s">
        <v>1217</v>
      </c>
      <c r="D316" s="2" t="s">
        <v>1218</v>
      </c>
      <c r="E316" s="2" t="s">
        <v>1219</v>
      </c>
      <c r="F316" s="2" t="s">
        <v>1220</v>
      </c>
      <c r="G316" s="4" t="n">
        <v>27.79</v>
      </c>
      <c r="H316" s="4" t="n">
        <v>2.53</v>
      </c>
      <c r="I316" s="4" t="n">
        <v>25.26</v>
      </c>
      <c r="J316" s="4" t="n">
        <v>25.26</v>
      </c>
      <c r="K316" s="2" t="n">
        <v>1</v>
      </c>
      <c r="L316" s="2" t="s">
        <v>56</v>
      </c>
      <c r="M316" s="2" t="s">
        <v>57</v>
      </c>
      <c r="N316" s="2" t="s">
        <v>1221</v>
      </c>
      <c r="O316" s="2" t="s">
        <v>66</v>
      </c>
      <c r="P316" s="2" t="s">
        <v>1222</v>
      </c>
      <c r="Q316" s="2" t="str">
        <f aca="false">IF(ROUND(ABS(J316-I316),2)&lt;=0.02,"TRUE","FALSE")</f>
        <v>TRUE</v>
      </c>
    </row>
    <row r="317" customFormat="false" ht="15" hidden="false" customHeight="false" outlineLevel="0" collapsed="false">
      <c r="A317" s="2" t="s">
        <v>22</v>
      </c>
      <c r="B317" s="2" t="s">
        <v>1223</v>
      </c>
      <c r="C317" s="2" t="s">
        <v>1224</v>
      </c>
      <c r="D317" s="2" t="s">
        <v>1225</v>
      </c>
      <c r="E317" s="2" t="s">
        <v>1226</v>
      </c>
      <c r="F317" s="2" t="s">
        <v>1227</v>
      </c>
      <c r="G317" s="4" t="n">
        <v>30.71</v>
      </c>
      <c r="H317" s="4" t="n">
        <v>2.8</v>
      </c>
      <c r="I317" s="4" t="n">
        <v>27.91</v>
      </c>
      <c r="J317" s="4" t="n">
        <v>27.91</v>
      </c>
      <c r="K317" s="2" t="n">
        <v>2</v>
      </c>
      <c r="L317" s="2" t="s">
        <v>56</v>
      </c>
      <c r="M317" s="2" t="s">
        <v>57</v>
      </c>
      <c r="N317" s="2" t="s">
        <v>1228</v>
      </c>
      <c r="O317" s="2" t="s">
        <v>66</v>
      </c>
      <c r="P317" s="2" t="s">
        <v>1229</v>
      </c>
      <c r="Q317" s="2" t="str">
        <f aca="false">IF(ROUND(ABS(J317-I317),2)&lt;=0.02,"TRUE","FALSE")</f>
        <v>TRUE</v>
      </c>
    </row>
    <row r="318" customFormat="false" ht="15" hidden="false" customHeight="false" outlineLevel="0" collapsed="false">
      <c r="A318" s="2" t="s">
        <v>22</v>
      </c>
      <c r="B318" s="2" t="s">
        <v>1230</v>
      </c>
      <c r="C318" s="2" t="s">
        <v>1231</v>
      </c>
      <c r="D318" s="2" t="s">
        <v>1232</v>
      </c>
      <c r="E318" s="2" t="s">
        <v>1233</v>
      </c>
      <c r="F318" s="2" t="s">
        <v>1234</v>
      </c>
      <c r="G318" s="4" t="n">
        <v>39.03</v>
      </c>
      <c r="H318" s="4" t="n">
        <v>3.55</v>
      </c>
      <c r="I318" s="4" t="n">
        <v>35.48</v>
      </c>
      <c r="J318" s="4" t="n">
        <v>35.48</v>
      </c>
      <c r="K318" s="2" t="n">
        <v>2</v>
      </c>
      <c r="L318" s="2" t="s">
        <v>56</v>
      </c>
      <c r="M318" s="2" t="s">
        <v>57</v>
      </c>
      <c r="N318" s="2"/>
      <c r="O318" s="2" t="s">
        <v>58</v>
      </c>
      <c r="P318" s="2" t="s">
        <v>1235</v>
      </c>
      <c r="Q318" s="2" t="str">
        <f aca="false">IF(ROUND(ABS(J318-I318),2)&lt;=0.02,"TRUE","FALSE")</f>
        <v>TRUE</v>
      </c>
    </row>
    <row r="319" customFormat="false" ht="15" hidden="false" customHeight="false" outlineLevel="0" collapsed="false">
      <c r="A319" s="2" t="s">
        <v>22</v>
      </c>
      <c r="B319" s="2" t="s">
        <v>1236</v>
      </c>
      <c r="C319" s="2" t="s">
        <v>1237</v>
      </c>
      <c r="D319" s="2" t="s">
        <v>1238</v>
      </c>
      <c r="E319" s="2" t="s">
        <v>1239</v>
      </c>
      <c r="F319" s="2" t="s">
        <v>1240</v>
      </c>
      <c r="G319" s="4" t="n">
        <v>37.57</v>
      </c>
      <c r="H319" s="4" t="n">
        <v>3.42</v>
      </c>
      <c r="I319" s="4" t="n">
        <v>34.15</v>
      </c>
      <c r="J319" s="4" t="n">
        <v>34.15</v>
      </c>
      <c r="K319" s="2" t="n">
        <v>2</v>
      </c>
      <c r="L319" s="2" t="s">
        <v>56</v>
      </c>
      <c r="M319" s="2" t="s">
        <v>57</v>
      </c>
      <c r="N319" s="2"/>
      <c r="O319" s="2" t="s">
        <v>58</v>
      </c>
      <c r="P319" s="2" t="s">
        <v>1241</v>
      </c>
      <c r="Q319" s="2" t="str">
        <f aca="false">IF(ROUND(ABS(J319-I319),2)&lt;=0.02,"TRUE","FALSE")</f>
        <v>TRUE</v>
      </c>
    </row>
    <row r="320" customFormat="false" ht="15" hidden="false" customHeight="false" outlineLevel="0" collapsed="false">
      <c r="A320" s="2" t="s">
        <v>22</v>
      </c>
      <c r="B320" s="2" t="s">
        <v>1242</v>
      </c>
      <c r="C320" s="2" t="s">
        <v>1243</v>
      </c>
      <c r="D320" s="2" t="s">
        <v>1244</v>
      </c>
      <c r="E320" s="2" t="s">
        <v>1245</v>
      </c>
      <c r="F320" s="2" t="s">
        <v>1246</v>
      </c>
      <c r="G320" s="4" t="n">
        <v>27.79</v>
      </c>
      <c r="H320" s="4" t="n">
        <v>2.53</v>
      </c>
      <c r="I320" s="4" t="n">
        <v>25.26</v>
      </c>
      <c r="J320" s="4" t="n">
        <v>25.26</v>
      </c>
      <c r="K320" s="2" t="n">
        <v>1</v>
      </c>
      <c r="L320" s="2" t="s">
        <v>56</v>
      </c>
      <c r="M320" s="2" t="s">
        <v>57</v>
      </c>
      <c r="N320" s="2" t="s">
        <v>1247</v>
      </c>
      <c r="O320" s="2" t="s">
        <v>66</v>
      </c>
      <c r="P320" s="2" t="s">
        <v>1248</v>
      </c>
      <c r="Q320" s="2" t="str">
        <f aca="false">IF(ROUND(ABS(J320-I320),2)&lt;=0.02,"TRUE","FALSE")</f>
        <v>TRUE</v>
      </c>
    </row>
    <row r="321" customFormat="false" ht="15" hidden="false" customHeight="false" outlineLevel="0" collapsed="false">
      <c r="A321" s="2" t="s">
        <v>18</v>
      </c>
      <c r="B321" s="2" t="s">
        <v>1249</v>
      </c>
      <c r="C321" s="2" t="s">
        <v>1250</v>
      </c>
      <c r="D321" s="2" t="s">
        <v>1251</v>
      </c>
      <c r="E321" s="2" t="s">
        <v>1252</v>
      </c>
      <c r="F321" s="2" t="s">
        <v>1252</v>
      </c>
      <c r="G321" s="4" t="n">
        <v>76.8</v>
      </c>
      <c r="H321" s="4" t="n">
        <v>6.99</v>
      </c>
      <c r="I321" s="4" t="n">
        <v>69.81</v>
      </c>
      <c r="J321" s="4" t="n">
        <v>69.81</v>
      </c>
      <c r="K321" s="2" t="n">
        <v>4</v>
      </c>
      <c r="L321" s="2" t="s">
        <v>56</v>
      </c>
      <c r="M321" s="2" t="s">
        <v>57</v>
      </c>
      <c r="N321" s="2" t="s">
        <v>1253</v>
      </c>
      <c r="O321" s="2" t="s">
        <v>148</v>
      </c>
      <c r="P321" s="2" t="s">
        <v>1254</v>
      </c>
      <c r="Q321" s="2" t="str">
        <f aca="false">IF(ROUND(ABS(J321-I321),2)&lt;=0.02,"TRUE","FALSE")</f>
        <v>TRUE</v>
      </c>
    </row>
    <row r="322" customFormat="false" ht="15" hidden="false" customHeight="false" outlineLevel="0" collapsed="false">
      <c r="A322" s="2" t="s">
        <v>18</v>
      </c>
      <c r="B322" s="2" t="s">
        <v>1255</v>
      </c>
      <c r="C322" s="2" t="s">
        <v>1256</v>
      </c>
      <c r="D322" s="2" t="s">
        <v>1257</v>
      </c>
      <c r="E322" s="2" t="s">
        <v>1258</v>
      </c>
      <c r="F322" s="2" t="s">
        <v>1259</v>
      </c>
      <c r="G322" s="4" t="n">
        <v>54.69</v>
      </c>
      <c r="H322" s="4" t="n">
        <v>4.98</v>
      </c>
      <c r="I322" s="4" t="n">
        <v>49.71</v>
      </c>
      <c r="J322" s="4" t="n">
        <v>49.71</v>
      </c>
      <c r="K322" s="2" t="n">
        <v>2</v>
      </c>
      <c r="L322" s="2" t="s">
        <v>56</v>
      </c>
      <c r="M322" s="2" t="s">
        <v>57</v>
      </c>
      <c r="N322" s="2" t="s">
        <v>1260</v>
      </c>
      <c r="O322" s="2" t="s">
        <v>66</v>
      </c>
      <c r="P322" s="2" t="s">
        <v>1261</v>
      </c>
      <c r="Q322" s="2" t="str">
        <f aca="false">IF(ROUND(ABS(J322-I322),2)&lt;=0.02,"TRUE","FALSE")</f>
        <v>TRUE</v>
      </c>
    </row>
    <row r="323" customFormat="false" ht="15" hidden="false" customHeight="false" outlineLevel="0" collapsed="false">
      <c r="A323" s="2" t="s">
        <v>18</v>
      </c>
      <c r="B323" s="2" t="s">
        <v>1204</v>
      </c>
      <c r="C323" s="2" t="s">
        <v>1205</v>
      </c>
      <c r="D323" s="2" t="s">
        <v>1262</v>
      </c>
      <c r="E323" s="2" t="s">
        <v>1207</v>
      </c>
      <c r="F323" s="2" t="s">
        <v>1208</v>
      </c>
      <c r="G323" s="4" t="n">
        <v>106.27</v>
      </c>
      <c r="H323" s="4" t="n">
        <v>9.67</v>
      </c>
      <c r="I323" s="4" t="n">
        <v>96.6</v>
      </c>
      <c r="J323" s="4" t="n">
        <v>96.6</v>
      </c>
      <c r="K323" s="2" t="n">
        <v>4</v>
      </c>
      <c r="L323" s="2" t="s">
        <v>56</v>
      </c>
      <c r="M323" s="2" t="s">
        <v>57</v>
      </c>
      <c r="N323" s="2"/>
      <c r="O323" s="2" t="s">
        <v>58</v>
      </c>
      <c r="P323" s="2" t="s">
        <v>1263</v>
      </c>
      <c r="Q323" s="2" t="str">
        <f aca="false">IF(ROUND(ABS(J323-I323),2)&lt;=0.02,"TRUE","FALSE")</f>
        <v>TRUE</v>
      </c>
    </row>
    <row r="324" customFormat="false" ht="15" hidden="false" customHeight="false" outlineLevel="0" collapsed="false">
      <c r="A324" s="2" t="s">
        <v>18</v>
      </c>
      <c r="B324" s="2" t="s">
        <v>1264</v>
      </c>
      <c r="C324" s="2" t="s">
        <v>1265</v>
      </c>
      <c r="D324" s="2" t="s">
        <v>1266</v>
      </c>
      <c r="E324" s="2" t="s">
        <v>1267</v>
      </c>
      <c r="F324" s="2" t="s">
        <v>1268</v>
      </c>
      <c r="G324" s="4" t="n">
        <v>62.21</v>
      </c>
      <c r="H324" s="4" t="n">
        <v>5.66</v>
      </c>
      <c r="I324" s="4" t="n">
        <v>56.55</v>
      </c>
      <c r="J324" s="4" t="n">
        <v>56.55</v>
      </c>
      <c r="K324" s="2" t="n">
        <v>4</v>
      </c>
      <c r="L324" s="2" t="s">
        <v>56</v>
      </c>
      <c r="M324" s="2" t="s">
        <v>57</v>
      </c>
      <c r="N324" s="2"/>
      <c r="O324" s="2" t="s">
        <v>58</v>
      </c>
      <c r="P324" s="2" t="s">
        <v>1269</v>
      </c>
      <c r="Q324" s="2" t="str">
        <f aca="false">IF(ROUND(ABS(J324-I324),2)&lt;=0.02,"TRUE","FALSE")</f>
        <v>TRUE</v>
      </c>
    </row>
    <row r="325" customFormat="false" ht="15" hidden="false" customHeight="false" outlineLevel="0" collapsed="false">
      <c r="A325" s="2" t="s">
        <v>26</v>
      </c>
      <c r="B325" s="2" t="s">
        <v>1249</v>
      </c>
      <c r="C325" s="2" t="s">
        <v>1250</v>
      </c>
      <c r="D325" s="2" t="s">
        <v>1270</v>
      </c>
      <c r="E325" s="2" t="s">
        <v>1252</v>
      </c>
      <c r="F325" s="2" t="s">
        <v>1252</v>
      </c>
      <c r="G325" s="4" t="n">
        <v>38.76</v>
      </c>
      <c r="H325" s="4" t="n">
        <v>3.53</v>
      </c>
      <c r="I325" s="4" t="n">
        <v>35.23</v>
      </c>
      <c r="J325" s="4" t="n">
        <v>35.23</v>
      </c>
      <c r="K325" s="2" t="n">
        <v>2</v>
      </c>
      <c r="L325" s="2" t="s">
        <v>56</v>
      </c>
      <c r="M325" s="2" t="s">
        <v>57</v>
      </c>
      <c r="N325" s="2" t="s">
        <v>1253</v>
      </c>
      <c r="O325" s="2" t="s">
        <v>148</v>
      </c>
      <c r="P325" s="2" t="s">
        <v>1271</v>
      </c>
      <c r="Q325" s="2" t="str">
        <f aca="false">IF(ROUND(ABS(J325-I325),2)&lt;=0.02,"TRUE","FALSE")</f>
        <v>TRUE</v>
      </c>
    </row>
    <row r="326" customFormat="false" ht="15" hidden="false" customHeight="false" outlineLevel="0" collapsed="false">
      <c r="A326" s="2" t="s">
        <v>26</v>
      </c>
      <c r="B326" s="2" t="s">
        <v>1255</v>
      </c>
      <c r="C326" s="2" t="s">
        <v>1256</v>
      </c>
      <c r="D326" s="2" t="s">
        <v>1272</v>
      </c>
      <c r="E326" s="2" t="s">
        <v>1258</v>
      </c>
      <c r="F326" s="2" t="s">
        <v>1259</v>
      </c>
      <c r="G326" s="4" t="n">
        <v>30.2</v>
      </c>
      <c r="H326" s="4" t="n">
        <v>2.75</v>
      </c>
      <c r="I326" s="4" t="n">
        <v>27.45</v>
      </c>
      <c r="J326" s="4" t="n">
        <v>27.45</v>
      </c>
      <c r="K326" s="2" t="n">
        <v>2</v>
      </c>
      <c r="L326" s="2" t="s">
        <v>56</v>
      </c>
      <c r="M326" s="2" t="s">
        <v>57</v>
      </c>
      <c r="N326" s="2" t="s">
        <v>1260</v>
      </c>
      <c r="O326" s="2" t="s">
        <v>66</v>
      </c>
      <c r="P326" s="2" t="s">
        <v>1273</v>
      </c>
      <c r="Q326" s="2" t="str">
        <f aca="false">IF(ROUND(ABS(J326-I326),2)&lt;=0.02,"TRUE","FALSE")</f>
        <v>TRUE</v>
      </c>
    </row>
    <row r="327" customFormat="false" ht="15" hidden="false" customHeight="false" outlineLevel="0" collapsed="false">
      <c r="A327" s="2" t="s">
        <v>26</v>
      </c>
      <c r="B327" s="2" t="s">
        <v>1204</v>
      </c>
      <c r="C327" s="2" t="s">
        <v>1205</v>
      </c>
      <c r="D327" s="2" t="s">
        <v>1274</v>
      </c>
      <c r="E327" s="2" t="s">
        <v>1207</v>
      </c>
      <c r="F327" s="2" t="s">
        <v>1208</v>
      </c>
      <c r="G327" s="4" t="n">
        <v>50.91</v>
      </c>
      <c r="H327" s="4" t="n">
        <v>4.63</v>
      </c>
      <c r="I327" s="4" t="n">
        <v>46.28</v>
      </c>
      <c r="J327" s="4" t="n">
        <v>46.28</v>
      </c>
      <c r="K327" s="2" t="n">
        <v>2</v>
      </c>
      <c r="L327" s="2" t="s">
        <v>56</v>
      </c>
      <c r="M327" s="2" t="s">
        <v>57</v>
      </c>
      <c r="N327" s="2"/>
      <c r="O327" s="2" t="s">
        <v>58</v>
      </c>
      <c r="P327" s="2" t="s">
        <v>1275</v>
      </c>
      <c r="Q327" s="2" t="str">
        <f aca="false">IF(ROUND(ABS(J327-I327),2)&lt;=0.02,"TRUE","FALSE")</f>
        <v>TRUE</v>
      </c>
    </row>
    <row r="328" customFormat="false" ht="15" hidden="false" customHeight="false" outlineLevel="0" collapsed="false">
      <c r="A328" s="2" t="s">
        <v>26</v>
      </c>
      <c r="B328" s="2" t="s">
        <v>1264</v>
      </c>
      <c r="C328" s="2" t="s">
        <v>1265</v>
      </c>
      <c r="D328" s="2" t="s">
        <v>1276</v>
      </c>
      <c r="E328" s="2" t="s">
        <v>1267</v>
      </c>
      <c r="F328" s="2" t="s">
        <v>1268</v>
      </c>
      <c r="G328" s="4" t="n">
        <v>31.1</v>
      </c>
      <c r="H328" s="4" t="n">
        <v>2.83</v>
      </c>
      <c r="I328" s="4" t="n">
        <v>28.27</v>
      </c>
      <c r="J328" s="4" t="n">
        <v>28.27</v>
      </c>
      <c r="K328" s="2" t="n">
        <v>2</v>
      </c>
      <c r="L328" s="2" t="s">
        <v>56</v>
      </c>
      <c r="M328" s="2" t="s">
        <v>57</v>
      </c>
      <c r="N328" s="2"/>
      <c r="O328" s="2" t="s">
        <v>58</v>
      </c>
      <c r="P328" s="2" t="s">
        <v>1277</v>
      </c>
      <c r="Q328" s="2" t="str">
        <f aca="false">IF(ROUND(ABS(J328-I328),2)&lt;=0.02,"TRUE","FALSE")</f>
        <v>TRUE</v>
      </c>
    </row>
    <row r="329" customFormat="false" ht="15" hidden="false" customHeight="false" outlineLevel="0" collapsed="false">
      <c r="A329" s="2" t="s">
        <v>26</v>
      </c>
      <c r="B329" s="2" t="s">
        <v>184</v>
      </c>
      <c r="C329" s="2" t="s">
        <v>185</v>
      </c>
      <c r="D329" s="2" t="s">
        <v>1278</v>
      </c>
      <c r="E329" s="2" t="s">
        <v>187</v>
      </c>
      <c r="F329" s="2" t="s">
        <v>188</v>
      </c>
      <c r="G329" s="4" t="n">
        <v>28.59</v>
      </c>
      <c r="H329" s="4" t="n">
        <v>2.6</v>
      </c>
      <c r="I329" s="4" t="n">
        <v>25.99</v>
      </c>
      <c r="J329" s="4" t="n">
        <v>25.99</v>
      </c>
      <c r="K329" s="2" t="n">
        <v>2</v>
      </c>
      <c r="L329" s="2" t="s">
        <v>56</v>
      </c>
      <c r="M329" s="2" t="s">
        <v>57</v>
      </c>
      <c r="N329" s="2" t="s">
        <v>189</v>
      </c>
      <c r="O329" s="2" t="s">
        <v>148</v>
      </c>
      <c r="P329" s="2" t="s">
        <v>1279</v>
      </c>
      <c r="Q329" s="2" t="str">
        <f aca="false">IF(ROUND(ABS(J329-I329),2)&lt;=0.02,"TRUE","FALSE")</f>
        <v>TRUE</v>
      </c>
    </row>
    <row r="330" customFormat="false" ht="15" hidden="false" customHeight="false" outlineLevel="0" collapsed="false">
      <c r="A330" s="2" t="s">
        <v>10</v>
      </c>
      <c r="B330" s="2" t="s">
        <v>1249</v>
      </c>
      <c r="C330" s="2" t="s">
        <v>1250</v>
      </c>
      <c r="D330" s="2" t="s">
        <v>1280</v>
      </c>
      <c r="E330" s="2" t="s">
        <v>1252</v>
      </c>
      <c r="F330" s="2" t="s">
        <v>1252</v>
      </c>
      <c r="G330" s="4" t="n">
        <v>39.49</v>
      </c>
      <c r="H330" s="4" t="n">
        <v>3.59</v>
      </c>
      <c r="I330" s="4" t="n">
        <v>35.9</v>
      </c>
      <c r="J330" s="4" t="n">
        <v>35.9</v>
      </c>
      <c r="K330" s="2" t="n">
        <v>2</v>
      </c>
      <c r="L330" s="2" t="s">
        <v>56</v>
      </c>
      <c r="M330" s="2" t="s">
        <v>57</v>
      </c>
      <c r="N330" s="2" t="s">
        <v>1253</v>
      </c>
      <c r="O330" s="2" t="s">
        <v>148</v>
      </c>
      <c r="P330" s="2" t="s">
        <v>1281</v>
      </c>
      <c r="Q330" s="2" t="str">
        <f aca="false">IF(ROUND(ABS(J330-I330),2)&lt;=0.02,"TRUE","FALSE")</f>
        <v>TRUE</v>
      </c>
    </row>
    <row r="331" customFormat="false" ht="15" hidden="false" customHeight="false" outlineLevel="0" collapsed="false">
      <c r="A331" s="2" t="s">
        <v>10</v>
      </c>
      <c r="B331" s="2" t="s">
        <v>1216</v>
      </c>
      <c r="C331" s="2" t="s">
        <v>1217</v>
      </c>
      <c r="D331" s="2" t="s">
        <v>1282</v>
      </c>
      <c r="E331" s="2" t="s">
        <v>1219</v>
      </c>
      <c r="F331" s="2" t="s">
        <v>1220</v>
      </c>
      <c r="G331" s="4" t="n">
        <v>27.79</v>
      </c>
      <c r="H331" s="4" t="n">
        <v>2.53</v>
      </c>
      <c r="I331" s="4" t="n">
        <v>25.26</v>
      </c>
      <c r="J331" s="4" t="n">
        <v>25.26</v>
      </c>
      <c r="K331" s="2" t="n">
        <v>1</v>
      </c>
      <c r="L331" s="2" t="s">
        <v>56</v>
      </c>
      <c r="M331" s="2" t="s">
        <v>57</v>
      </c>
      <c r="N331" s="2" t="s">
        <v>1221</v>
      </c>
      <c r="O331" s="2" t="s">
        <v>66</v>
      </c>
      <c r="P331" s="2" t="s">
        <v>1283</v>
      </c>
      <c r="Q331" s="2" t="str">
        <f aca="false">IF(ROUND(ABS(J331-I331),2)&lt;=0.02,"TRUE","FALSE")</f>
        <v>TRUE</v>
      </c>
    </row>
    <row r="332" customFormat="false" ht="15" hidden="false" customHeight="false" outlineLevel="0" collapsed="false">
      <c r="A332" s="2" t="s">
        <v>10</v>
      </c>
      <c r="B332" s="2" t="s">
        <v>1255</v>
      </c>
      <c r="C332" s="2" t="s">
        <v>1256</v>
      </c>
      <c r="D332" s="2" t="s">
        <v>1284</v>
      </c>
      <c r="E332" s="2" t="s">
        <v>1258</v>
      </c>
      <c r="F332" s="2" t="s">
        <v>1259</v>
      </c>
      <c r="G332" s="4" t="n">
        <v>27.79</v>
      </c>
      <c r="H332" s="4" t="n">
        <v>2.53</v>
      </c>
      <c r="I332" s="4" t="n">
        <v>25.26</v>
      </c>
      <c r="J332" s="4" t="n">
        <v>25.26</v>
      </c>
      <c r="K332" s="2" t="n">
        <v>1</v>
      </c>
      <c r="L332" s="2" t="s">
        <v>56</v>
      </c>
      <c r="M332" s="2" t="s">
        <v>57</v>
      </c>
      <c r="N332" s="2" t="s">
        <v>1260</v>
      </c>
      <c r="O332" s="2" t="s">
        <v>66</v>
      </c>
      <c r="P332" s="2" t="s">
        <v>1285</v>
      </c>
      <c r="Q332" s="2" t="str">
        <f aca="false">IF(ROUND(ABS(J332-I332),2)&lt;=0.02,"TRUE","FALSE")</f>
        <v>TRUE</v>
      </c>
    </row>
    <row r="333" customFormat="false" ht="15" hidden="false" customHeight="false" outlineLevel="0" collapsed="false">
      <c r="A333" s="2" t="s">
        <v>10</v>
      </c>
      <c r="B333" s="2" t="s">
        <v>1264</v>
      </c>
      <c r="C333" s="2" t="s">
        <v>1265</v>
      </c>
      <c r="D333" s="2" t="s">
        <v>1286</v>
      </c>
      <c r="E333" s="2" t="s">
        <v>1267</v>
      </c>
      <c r="F333" s="2" t="s">
        <v>1268</v>
      </c>
      <c r="G333" s="4" t="n">
        <v>32.26</v>
      </c>
      <c r="H333" s="4" t="n">
        <v>2.94</v>
      </c>
      <c r="I333" s="4" t="n">
        <v>29.32</v>
      </c>
      <c r="J333" s="4" t="n">
        <v>29.32</v>
      </c>
      <c r="K333" s="2" t="n">
        <v>2</v>
      </c>
      <c r="L333" s="2" t="s">
        <v>56</v>
      </c>
      <c r="M333" s="2" t="s">
        <v>57</v>
      </c>
      <c r="N333" s="2"/>
      <c r="O333" s="2" t="s">
        <v>58</v>
      </c>
      <c r="P333" s="2" t="s">
        <v>1287</v>
      </c>
      <c r="Q333" s="2" t="str">
        <f aca="false">IF(ROUND(ABS(J333-I333),2)&lt;=0.02,"TRUE","FALSE")</f>
        <v>TRUE</v>
      </c>
    </row>
    <row r="334" customFormat="false" ht="15" hidden="false" customHeight="false" outlineLevel="0" collapsed="false">
      <c r="A334" s="2" t="s">
        <v>10</v>
      </c>
      <c r="B334" s="2" t="s">
        <v>1223</v>
      </c>
      <c r="C334" s="2" t="s">
        <v>1224</v>
      </c>
      <c r="D334" s="2" t="s">
        <v>1288</v>
      </c>
      <c r="E334" s="2" t="s">
        <v>1226</v>
      </c>
      <c r="F334" s="2" t="s">
        <v>1227</v>
      </c>
      <c r="G334" s="4" t="n">
        <v>30.52</v>
      </c>
      <c r="H334" s="4" t="n">
        <v>2.78</v>
      </c>
      <c r="I334" s="4" t="n">
        <v>27.74</v>
      </c>
      <c r="J334" s="4" t="n">
        <v>27.74</v>
      </c>
      <c r="K334" s="2" t="n">
        <v>2</v>
      </c>
      <c r="L334" s="2" t="s">
        <v>56</v>
      </c>
      <c r="M334" s="2" t="s">
        <v>57</v>
      </c>
      <c r="N334" s="2" t="s">
        <v>1228</v>
      </c>
      <c r="O334" s="2" t="s">
        <v>66</v>
      </c>
      <c r="P334" s="2" t="s">
        <v>1289</v>
      </c>
      <c r="Q334" s="2" t="str">
        <f aca="false">IF(ROUND(ABS(J334-I334),2)&lt;=0.02,"TRUE","FALSE")</f>
        <v>TRUE</v>
      </c>
    </row>
    <row r="335" customFormat="false" ht="15" hidden="false" customHeight="false" outlineLevel="0" collapsed="false">
      <c r="A335" s="2" t="s">
        <v>10</v>
      </c>
      <c r="B335" s="2" t="s">
        <v>184</v>
      </c>
      <c r="C335" s="2" t="s">
        <v>185</v>
      </c>
      <c r="D335" s="2" t="s">
        <v>1290</v>
      </c>
      <c r="E335" s="2" t="s">
        <v>187</v>
      </c>
      <c r="F335" s="2" t="s">
        <v>188</v>
      </c>
      <c r="G335" s="4" t="n">
        <v>27.96</v>
      </c>
      <c r="H335" s="4" t="n">
        <v>2.55</v>
      </c>
      <c r="I335" s="4" t="n">
        <v>25.41</v>
      </c>
      <c r="J335" s="4" t="n">
        <v>25.41</v>
      </c>
      <c r="K335" s="2" t="n">
        <v>2</v>
      </c>
      <c r="L335" s="2" t="s">
        <v>56</v>
      </c>
      <c r="M335" s="2" t="s">
        <v>57</v>
      </c>
      <c r="N335" s="2" t="s">
        <v>189</v>
      </c>
      <c r="O335" s="2" t="s">
        <v>148</v>
      </c>
      <c r="P335" s="2" t="s">
        <v>1291</v>
      </c>
      <c r="Q335" s="2" t="str">
        <f aca="false">IF(ROUND(ABS(J335-I335),2)&lt;=0.02,"TRUE","FALSE")</f>
        <v>TRUE</v>
      </c>
    </row>
    <row r="336" customFormat="false" ht="15" hidden="false" customHeight="false" outlineLevel="0" collapsed="false">
      <c r="A336" s="2" t="s">
        <v>10</v>
      </c>
      <c r="B336" s="2" t="s">
        <v>1242</v>
      </c>
      <c r="C336" s="2" t="s">
        <v>1243</v>
      </c>
      <c r="D336" s="2" t="s">
        <v>1292</v>
      </c>
      <c r="E336" s="2" t="s">
        <v>1245</v>
      </c>
      <c r="F336" s="2" t="s">
        <v>1246</v>
      </c>
      <c r="G336" s="4" t="n">
        <v>27.79</v>
      </c>
      <c r="H336" s="4" t="n">
        <v>2.53</v>
      </c>
      <c r="I336" s="4" t="n">
        <v>25.26</v>
      </c>
      <c r="J336" s="4" t="n">
        <v>25.26</v>
      </c>
      <c r="K336" s="2" t="n">
        <v>1</v>
      </c>
      <c r="L336" s="2" t="s">
        <v>56</v>
      </c>
      <c r="M336" s="2" t="s">
        <v>57</v>
      </c>
      <c r="N336" s="2" t="s">
        <v>1247</v>
      </c>
      <c r="O336" s="2" t="s">
        <v>66</v>
      </c>
      <c r="P336" s="2" t="s">
        <v>1293</v>
      </c>
      <c r="Q336" s="2" t="str">
        <f aca="false">IF(ROUND(ABS(J336-I336),2)&lt;=0.02,"TRUE","FALSE")</f>
        <v>TRUE</v>
      </c>
    </row>
    <row r="337" customFormat="false" ht="15" hidden="false" customHeight="false" outlineLevel="0" collapsed="false">
      <c r="A337" s="2" t="s">
        <v>14</v>
      </c>
      <c r="B337" s="2" t="s">
        <v>1249</v>
      </c>
      <c r="C337" s="2" t="s">
        <v>1250</v>
      </c>
      <c r="D337" s="2" t="s">
        <v>1294</v>
      </c>
      <c r="E337" s="2" t="s">
        <v>1252</v>
      </c>
      <c r="F337" s="2" t="s">
        <v>1252</v>
      </c>
      <c r="G337" s="4" t="n">
        <v>38.85</v>
      </c>
      <c r="H337" s="4" t="n">
        <v>3.54</v>
      </c>
      <c r="I337" s="4" t="n">
        <v>35.31</v>
      </c>
      <c r="J337" s="4" t="n">
        <v>35.31</v>
      </c>
      <c r="K337" s="2" t="n">
        <v>2</v>
      </c>
      <c r="L337" s="2" t="s">
        <v>56</v>
      </c>
      <c r="M337" s="2" t="s">
        <v>57</v>
      </c>
      <c r="N337" s="2" t="s">
        <v>1253</v>
      </c>
      <c r="O337" s="2" t="s">
        <v>148</v>
      </c>
      <c r="P337" s="2" t="s">
        <v>1295</v>
      </c>
      <c r="Q337" s="2" t="str">
        <f aca="false">IF(ROUND(ABS(J337-I337),2)&lt;=0.02,"TRUE","FALSE")</f>
        <v>TRUE</v>
      </c>
    </row>
    <row r="338" customFormat="false" ht="15" hidden="false" customHeight="false" outlineLevel="0" collapsed="false">
      <c r="A338" s="2" t="s">
        <v>14</v>
      </c>
      <c r="B338" s="2" t="s">
        <v>1216</v>
      </c>
      <c r="C338" s="2" t="s">
        <v>1217</v>
      </c>
      <c r="D338" s="2" t="s">
        <v>1296</v>
      </c>
      <c r="E338" s="2" t="s">
        <v>1219</v>
      </c>
      <c r="F338" s="2" t="s">
        <v>1220</v>
      </c>
      <c r="G338" s="4" t="n">
        <v>27.79</v>
      </c>
      <c r="H338" s="4" t="n">
        <v>2.53</v>
      </c>
      <c r="I338" s="4" t="n">
        <v>25.26</v>
      </c>
      <c r="J338" s="4" t="n">
        <v>25.26</v>
      </c>
      <c r="K338" s="2" t="n">
        <v>1</v>
      </c>
      <c r="L338" s="2" t="s">
        <v>56</v>
      </c>
      <c r="M338" s="2" t="s">
        <v>57</v>
      </c>
      <c r="N338" s="2" t="s">
        <v>1221</v>
      </c>
      <c r="O338" s="2" t="s">
        <v>66</v>
      </c>
      <c r="P338" s="2" t="s">
        <v>1297</v>
      </c>
      <c r="Q338" s="2" t="str">
        <f aca="false">IF(ROUND(ABS(J338-I338),2)&lt;=0.02,"TRUE","FALSE")</f>
        <v>TRUE</v>
      </c>
    </row>
    <row r="339" customFormat="false" ht="15" hidden="false" customHeight="false" outlineLevel="0" collapsed="false">
      <c r="A339" s="2" t="s">
        <v>14</v>
      </c>
      <c r="B339" s="2" t="s">
        <v>1255</v>
      </c>
      <c r="C339" s="2" t="s">
        <v>1256</v>
      </c>
      <c r="D339" s="2" t="s">
        <v>1298</v>
      </c>
      <c r="E339" s="2" t="s">
        <v>1258</v>
      </c>
      <c r="F339" s="2" t="s">
        <v>1259</v>
      </c>
      <c r="G339" s="4" t="n">
        <v>27.79</v>
      </c>
      <c r="H339" s="4" t="n">
        <v>2.53</v>
      </c>
      <c r="I339" s="4" t="n">
        <v>25.26</v>
      </c>
      <c r="J339" s="4" t="n">
        <v>25.26</v>
      </c>
      <c r="K339" s="2" t="n">
        <v>1</v>
      </c>
      <c r="L339" s="2" t="s">
        <v>56</v>
      </c>
      <c r="M339" s="2" t="s">
        <v>57</v>
      </c>
      <c r="N339" s="2" t="s">
        <v>1260</v>
      </c>
      <c r="O339" s="2" t="s">
        <v>66</v>
      </c>
      <c r="P339" s="2" t="s">
        <v>1299</v>
      </c>
      <c r="Q339" s="2" t="str">
        <f aca="false">IF(ROUND(ABS(J339-I339),2)&lt;=0.02,"TRUE","FALSE")</f>
        <v>TRUE</v>
      </c>
    </row>
    <row r="340" customFormat="false" ht="15" hidden="false" customHeight="false" outlineLevel="0" collapsed="false">
      <c r="A340" s="2" t="s">
        <v>14</v>
      </c>
      <c r="B340" s="2" t="s">
        <v>1264</v>
      </c>
      <c r="C340" s="2" t="s">
        <v>1265</v>
      </c>
      <c r="D340" s="2" t="s">
        <v>1300</v>
      </c>
      <c r="E340" s="2" t="s">
        <v>1267</v>
      </c>
      <c r="F340" s="2" t="s">
        <v>1268</v>
      </c>
      <c r="G340" s="4" t="n">
        <v>32.06</v>
      </c>
      <c r="H340" s="4" t="n">
        <v>2.92</v>
      </c>
      <c r="I340" s="4" t="n">
        <v>29.14</v>
      </c>
      <c r="J340" s="4" t="n">
        <v>29.14</v>
      </c>
      <c r="K340" s="2" t="n">
        <v>2</v>
      </c>
      <c r="L340" s="2" t="s">
        <v>56</v>
      </c>
      <c r="M340" s="2" t="s">
        <v>57</v>
      </c>
      <c r="N340" s="2"/>
      <c r="O340" s="2" t="s">
        <v>58</v>
      </c>
      <c r="P340" s="2" t="s">
        <v>1301</v>
      </c>
      <c r="Q340" s="2" t="str">
        <f aca="false">IF(ROUND(ABS(J340-I340),2)&lt;=0.02,"TRUE","FALSE")</f>
        <v>TRUE</v>
      </c>
    </row>
    <row r="341" customFormat="false" ht="15" hidden="false" customHeight="false" outlineLevel="0" collapsed="false">
      <c r="A341" s="2" t="s">
        <v>14</v>
      </c>
      <c r="B341" s="2" t="s">
        <v>1223</v>
      </c>
      <c r="C341" s="2" t="s">
        <v>1224</v>
      </c>
      <c r="D341" s="2" t="s">
        <v>1302</v>
      </c>
      <c r="E341" s="2" t="s">
        <v>1226</v>
      </c>
      <c r="F341" s="2" t="s">
        <v>1227</v>
      </c>
      <c r="G341" s="4" t="n">
        <v>30.67</v>
      </c>
      <c r="H341" s="4" t="n">
        <v>2.79</v>
      </c>
      <c r="I341" s="4" t="n">
        <v>27.88</v>
      </c>
      <c r="J341" s="4" t="n">
        <v>27.88</v>
      </c>
      <c r="K341" s="2" t="n">
        <v>2</v>
      </c>
      <c r="L341" s="2" t="s">
        <v>56</v>
      </c>
      <c r="M341" s="2" t="s">
        <v>57</v>
      </c>
      <c r="N341" s="2" t="s">
        <v>1228</v>
      </c>
      <c r="O341" s="2" t="s">
        <v>66</v>
      </c>
      <c r="P341" s="2" t="s">
        <v>1303</v>
      </c>
      <c r="Q341" s="2" t="str">
        <f aca="false">IF(ROUND(ABS(J341-I341),2)&lt;=0.02,"TRUE","FALSE")</f>
        <v>TRUE</v>
      </c>
    </row>
    <row r="342" customFormat="false" ht="15" hidden="false" customHeight="false" outlineLevel="0" collapsed="false">
      <c r="A342" s="2" t="s">
        <v>14</v>
      </c>
      <c r="B342" s="2" t="s">
        <v>184</v>
      </c>
      <c r="C342" s="2" t="s">
        <v>185</v>
      </c>
      <c r="D342" s="2" t="s">
        <v>1304</v>
      </c>
      <c r="E342" s="2" t="s">
        <v>187</v>
      </c>
      <c r="F342" s="2" t="s">
        <v>188</v>
      </c>
      <c r="G342" s="4" t="n">
        <v>29.1</v>
      </c>
      <c r="H342" s="4" t="n">
        <v>2.65</v>
      </c>
      <c r="I342" s="4" t="n">
        <v>26.45</v>
      </c>
      <c r="J342" s="4" t="n">
        <v>26.45</v>
      </c>
      <c r="K342" s="2" t="n">
        <v>2</v>
      </c>
      <c r="L342" s="2" t="s">
        <v>56</v>
      </c>
      <c r="M342" s="2" t="s">
        <v>57</v>
      </c>
      <c r="N342" s="2" t="s">
        <v>189</v>
      </c>
      <c r="O342" s="2" t="s">
        <v>148</v>
      </c>
      <c r="P342" s="2" t="s">
        <v>1305</v>
      </c>
      <c r="Q342" s="2" t="str">
        <f aca="false">IF(ROUND(ABS(J342-I342),2)&lt;=0.02,"TRUE","FALSE")</f>
        <v>TRUE</v>
      </c>
    </row>
    <row r="343" customFormat="false" ht="15" hidden="false" customHeight="false" outlineLevel="0" collapsed="false">
      <c r="A343" s="2" t="s">
        <v>14</v>
      </c>
      <c r="B343" s="2" t="s">
        <v>1242</v>
      </c>
      <c r="C343" s="2" t="s">
        <v>1243</v>
      </c>
      <c r="D343" s="2" t="s">
        <v>1306</v>
      </c>
      <c r="E343" s="2" t="s">
        <v>1245</v>
      </c>
      <c r="F343" s="2" t="s">
        <v>1246</v>
      </c>
      <c r="G343" s="4" t="n">
        <v>27.79</v>
      </c>
      <c r="H343" s="4" t="n">
        <v>2.53</v>
      </c>
      <c r="I343" s="4" t="n">
        <v>25.26</v>
      </c>
      <c r="J343" s="4" t="n">
        <v>25.26</v>
      </c>
      <c r="K343" s="2" t="n">
        <v>1</v>
      </c>
      <c r="L343" s="2" t="s">
        <v>56</v>
      </c>
      <c r="M343" s="2" t="s">
        <v>57</v>
      </c>
      <c r="N343" s="2" t="s">
        <v>1247</v>
      </c>
      <c r="O343" s="2" t="s">
        <v>66</v>
      </c>
      <c r="P343" s="2" t="s">
        <v>1307</v>
      </c>
      <c r="Q343" s="2" t="str">
        <f aca="false">IF(ROUND(ABS(J343-I343),2)&lt;=0.02,"TRUE","FALSE")</f>
        <v>TRUE</v>
      </c>
    </row>
    <row r="344" customFormat="false" ht="15" hidden="false" customHeight="false" outlineLevel="0" collapsed="false">
      <c r="A344" s="2" t="s">
        <v>22</v>
      </c>
      <c r="B344" s="2" t="s">
        <v>1249</v>
      </c>
      <c r="C344" s="2" t="s">
        <v>1250</v>
      </c>
      <c r="D344" s="2" t="s">
        <v>1308</v>
      </c>
      <c r="E344" s="2" t="s">
        <v>1252</v>
      </c>
      <c r="F344" s="2" t="s">
        <v>1252</v>
      </c>
      <c r="G344" s="4" t="n">
        <v>37.4</v>
      </c>
      <c r="H344" s="4" t="n">
        <v>3.4</v>
      </c>
      <c r="I344" s="4" t="n">
        <v>34</v>
      </c>
      <c r="J344" s="4" t="n">
        <v>34</v>
      </c>
      <c r="K344" s="2" t="n">
        <v>2</v>
      </c>
      <c r="L344" s="2" t="s">
        <v>56</v>
      </c>
      <c r="M344" s="2" t="s">
        <v>57</v>
      </c>
      <c r="N344" s="2" t="s">
        <v>1253</v>
      </c>
      <c r="O344" s="2" t="s">
        <v>148</v>
      </c>
      <c r="P344" s="2" t="s">
        <v>1309</v>
      </c>
      <c r="Q344" s="2" t="str">
        <f aca="false">IF(ROUND(ABS(J344-I344),2)&lt;=0.02,"TRUE","FALSE")</f>
        <v>TRUE</v>
      </c>
    </row>
    <row r="345" customFormat="false" ht="15" hidden="false" customHeight="false" outlineLevel="0" collapsed="false">
      <c r="A345" s="2" t="s">
        <v>22</v>
      </c>
      <c r="B345" s="2" t="s">
        <v>1255</v>
      </c>
      <c r="C345" s="2" t="s">
        <v>1256</v>
      </c>
      <c r="D345" s="2" t="s">
        <v>1310</v>
      </c>
      <c r="E345" s="2" t="s">
        <v>1258</v>
      </c>
      <c r="F345" s="2" t="s">
        <v>1259</v>
      </c>
      <c r="G345" s="4" t="n">
        <v>27.01</v>
      </c>
      <c r="H345" s="4" t="n">
        <v>2.46</v>
      </c>
      <c r="I345" s="4" t="n">
        <v>24.55</v>
      </c>
      <c r="J345" s="4" t="n">
        <v>24.55</v>
      </c>
      <c r="K345" s="2" t="n">
        <v>2</v>
      </c>
      <c r="L345" s="2" t="s">
        <v>56</v>
      </c>
      <c r="M345" s="2" t="s">
        <v>57</v>
      </c>
      <c r="N345" s="2" t="s">
        <v>1260</v>
      </c>
      <c r="O345" s="2" t="s">
        <v>66</v>
      </c>
      <c r="P345" s="2" t="s">
        <v>1311</v>
      </c>
      <c r="Q345" s="2" t="str">
        <f aca="false">IF(ROUND(ABS(J345-I345),2)&lt;=0.02,"TRUE","FALSE")</f>
        <v>TRUE</v>
      </c>
    </row>
    <row r="346" customFormat="false" ht="15" hidden="false" customHeight="false" outlineLevel="0" collapsed="false">
      <c r="A346" s="2" t="s">
        <v>22</v>
      </c>
      <c r="B346" s="2" t="s">
        <v>1204</v>
      </c>
      <c r="C346" s="2" t="s">
        <v>1205</v>
      </c>
      <c r="D346" s="2" t="s">
        <v>1312</v>
      </c>
      <c r="E346" s="2" t="s">
        <v>1207</v>
      </c>
      <c r="F346" s="2" t="s">
        <v>1208</v>
      </c>
      <c r="G346" s="4" t="n">
        <v>50.74</v>
      </c>
      <c r="H346" s="4" t="n">
        <v>4.62</v>
      </c>
      <c r="I346" s="4" t="n">
        <v>46.12</v>
      </c>
      <c r="J346" s="4" t="n">
        <v>46.12</v>
      </c>
      <c r="K346" s="2" t="n">
        <v>2</v>
      </c>
      <c r="L346" s="2" t="s">
        <v>56</v>
      </c>
      <c r="M346" s="2" t="s">
        <v>57</v>
      </c>
      <c r="N346" s="2"/>
      <c r="O346" s="2" t="s">
        <v>58</v>
      </c>
      <c r="P346" s="2" t="s">
        <v>1313</v>
      </c>
      <c r="Q346" s="2" t="str">
        <f aca="false">IF(ROUND(ABS(J346-I346),2)&lt;=0.02,"TRUE","FALSE")</f>
        <v>TRUE</v>
      </c>
    </row>
    <row r="347" customFormat="false" ht="15" hidden="false" customHeight="false" outlineLevel="0" collapsed="false">
      <c r="A347" s="2" t="s">
        <v>22</v>
      </c>
      <c r="B347" s="2" t="s">
        <v>1264</v>
      </c>
      <c r="C347" s="2" t="s">
        <v>1265</v>
      </c>
      <c r="D347" s="2" t="s">
        <v>1314</v>
      </c>
      <c r="E347" s="2" t="s">
        <v>1267</v>
      </c>
      <c r="F347" s="2" t="s">
        <v>1268</v>
      </c>
      <c r="G347" s="4" t="n">
        <v>30.28</v>
      </c>
      <c r="H347" s="4" t="n">
        <v>2.76</v>
      </c>
      <c r="I347" s="4" t="n">
        <v>27.52</v>
      </c>
      <c r="J347" s="4" t="n">
        <v>27.52</v>
      </c>
      <c r="K347" s="2" t="n">
        <v>2</v>
      </c>
      <c r="L347" s="2" t="s">
        <v>56</v>
      </c>
      <c r="M347" s="2" t="s">
        <v>57</v>
      </c>
      <c r="N347" s="2"/>
      <c r="O347" s="2" t="s">
        <v>58</v>
      </c>
      <c r="P347" s="2" t="s">
        <v>1315</v>
      </c>
      <c r="Q347" s="2" t="str">
        <f aca="false">IF(ROUND(ABS(J347-I347),2)&lt;=0.02,"TRUE","FALSE")</f>
        <v>TRUE</v>
      </c>
    </row>
    <row r="348" customFormat="false" ht="15" hidden="false" customHeight="false" outlineLevel="0" collapsed="false">
      <c r="A348" s="2" t="s">
        <v>22</v>
      </c>
      <c r="B348" s="2" t="s">
        <v>184</v>
      </c>
      <c r="C348" s="2" t="s">
        <v>185</v>
      </c>
      <c r="D348" s="2" t="s">
        <v>1316</v>
      </c>
      <c r="E348" s="2" t="s">
        <v>187</v>
      </c>
      <c r="F348" s="2" t="s">
        <v>188</v>
      </c>
      <c r="G348" s="4" t="n">
        <v>27.06</v>
      </c>
      <c r="H348" s="4" t="n">
        <v>2.46</v>
      </c>
      <c r="I348" s="4" t="n">
        <v>24.6</v>
      </c>
      <c r="J348" s="4" t="n">
        <v>24.6</v>
      </c>
      <c r="K348" s="2" t="n">
        <v>2</v>
      </c>
      <c r="L348" s="2" t="s">
        <v>56</v>
      </c>
      <c r="M348" s="2" t="s">
        <v>57</v>
      </c>
      <c r="N348" s="2" t="s">
        <v>189</v>
      </c>
      <c r="O348" s="2" t="s">
        <v>148</v>
      </c>
      <c r="P348" s="2" t="s">
        <v>1317</v>
      </c>
      <c r="Q348" s="2" t="str">
        <f aca="false">IF(ROUND(ABS(J348-I348),2)&lt;=0.02,"TRUE","FALSE")</f>
        <v>TRUE</v>
      </c>
    </row>
    <row r="349" customFormat="false" ht="15" hidden="false" customHeight="false" outlineLevel="0" collapsed="false">
      <c r="A349" s="2" t="s">
        <v>26</v>
      </c>
      <c r="B349" s="2" t="s">
        <v>1216</v>
      </c>
      <c r="C349" s="2" t="s">
        <v>1217</v>
      </c>
      <c r="D349" s="2" t="s">
        <v>1318</v>
      </c>
      <c r="E349" s="2" t="s">
        <v>1219</v>
      </c>
      <c r="F349" s="2" t="s">
        <v>1220</v>
      </c>
      <c r="G349" s="4" t="n">
        <v>26.9</v>
      </c>
      <c r="H349" s="4" t="n">
        <v>2.45</v>
      </c>
      <c r="I349" s="4" t="n">
        <v>24.45</v>
      </c>
      <c r="J349" s="4" t="n">
        <v>24.45</v>
      </c>
      <c r="K349" s="2" t="n">
        <v>1</v>
      </c>
      <c r="L349" s="2" t="s">
        <v>56</v>
      </c>
      <c r="M349" s="2" t="s">
        <v>57</v>
      </c>
      <c r="N349" s="2" t="s">
        <v>1221</v>
      </c>
      <c r="O349" s="2" t="s">
        <v>66</v>
      </c>
      <c r="P349" s="2" t="s">
        <v>1319</v>
      </c>
      <c r="Q349" s="2" t="str">
        <f aca="false">IF(ROUND(ABS(J349-I349),2)&lt;=0.02,"TRUE","FALSE")</f>
        <v>TRUE</v>
      </c>
    </row>
    <row r="350" customFormat="false" ht="15" hidden="false" customHeight="false" outlineLevel="0" collapsed="false">
      <c r="A350" s="2" t="s">
        <v>26</v>
      </c>
      <c r="B350" s="2" t="s">
        <v>1223</v>
      </c>
      <c r="C350" s="2" t="s">
        <v>1224</v>
      </c>
      <c r="D350" s="2" t="s">
        <v>1320</v>
      </c>
      <c r="E350" s="2" t="s">
        <v>1226</v>
      </c>
      <c r="F350" s="2" t="s">
        <v>1227</v>
      </c>
      <c r="G350" s="4" t="n">
        <v>30.13</v>
      </c>
      <c r="H350" s="4" t="n">
        <v>2.74</v>
      </c>
      <c r="I350" s="4" t="n">
        <v>27.39</v>
      </c>
      <c r="J350" s="4" t="n">
        <v>27.39</v>
      </c>
      <c r="K350" s="2" t="n">
        <v>2</v>
      </c>
      <c r="L350" s="2" t="s">
        <v>56</v>
      </c>
      <c r="M350" s="2" t="s">
        <v>57</v>
      </c>
      <c r="N350" s="2" t="s">
        <v>1228</v>
      </c>
      <c r="O350" s="2" t="s">
        <v>66</v>
      </c>
      <c r="P350" s="2" t="s">
        <v>1321</v>
      </c>
      <c r="Q350" s="2" t="str">
        <f aca="false">IF(ROUND(ABS(J350-I350),2)&lt;=0.02,"TRUE","FALSE")</f>
        <v>TRUE</v>
      </c>
    </row>
    <row r="351" customFormat="false" ht="15" hidden="false" customHeight="false" outlineLevel="0" collapsed="false">
      <c r="A351" s="2" t="s">
        <v>26</v>
      </c>
      <c r="B351" s="2" t="s">
        <v>1230</v>
      </c>
      <c r="C351" s="2" t="s">
        <v>1231</v>
      </c>
      <c r="D351" s="2" t="s">
        <v>1322</v>
      </c>
      <c r="E351" s="2" t="s">
        <v>1233</v>
      </c>
      <c r="F351" s="2" t="s">
        <v>1234</v>
      </c>
      <c r="G351" s="4" t="n">
        <v>36.85</v>
      </c>
      <c r="H351" s="4" t="n">
        <v>3.35</v>
      </c>
      <c r="I351" s="4" t="n">
        <v>33.5</v>
      </c>
      <c r="J351" s="4" t="n">
        <v>33.5</v>
      </c>
      <c r="K351" s="2" t="n">
        <v>2</v>
      </c>
      <c r="L351" s="2" t="s">
        <v>56</v>
      </c>
      <c r="M351" s="2" t="s">
        <v>57</v>
      </c>
      <c r="N351" s="2"/>
      <c r="O351" s="2" t="s">
        <v>58</v>
      </c>
      <c r="P351" s="2" t="s">
        <v>1323</v>
      </c>
      <c r="Q351" s="2" t="str">
        <f aca="false">IF(ROUND(ABS(J351-I351),2)&lt;=0.02,"TRUE","FALSE")</f>
        <v>TRUE</v>
      </c>
    </row>
    <row r="352" customFormat="false" ht="15" hidden="false" customHeight="false" outlineLevel="0" collapsed="false">
      <c r="A352" s="2" t="s">
        <v>26</v>
      </c>
      <c r="B352" s="2" t="s">
        <v>1236</v>
      </c>
      <c r="C352" s="2" t="s">
        <v>1237</v>
      </c>
      <c r="D352" s="2" t="s">
        <v>1324</v>
      </c>
      <c r="E352" s="2" t="s">
        <v>1239</v>
      </c>
      <c r="F352" s="2" t="s">
        <v>1240</v>
      </c>
      <c r="G352" s="4" t="n">
        <v>35.33</v>
      </c>
      <c r="H352" s="4" t="n">
        <v>3.22</v>
      </c>
      <c r="I352" s="4" t="n">
        <v>32.11</v>
      </c>
      <c r="J352" s="4" t="n">
        <v>32.11</v>
      </c>
      <c r="K352" s="2" t="n">
        <v>2</v>
      </c>
      <c r="L352" s="2" t="s">
        <v>56</v>
      </c>
      <c r="M352" s="2" t="s">
        <v>57</v>
      </c>
      <c r="N352" s="2"/>
      <c r="O352" s="2" t="s">
        <v>58</v>
      </c>
      <c r="P352" s="2" t="s">
        <v>1325</v>
      </c>
      <c r="Q352" s="2" t="str">
        <f aca="false">IF(ROUND(ABS(J352-I352),2)&lt;=0.02,"TRUE","FALSE")</f>
        <v>TRUE</v>
      </c>
    </row>
    <row r="353" customFormat="false" ht="15" hidden="false" customHeight="false" outlineLevel="0" collapsed="false">
      <c r="A353" s="2" t="s">
        <v>26</v>
      </c>
      <c r="B353" s="2" t="s">
        <v>1242</v>
      </c>
      <c r="C353" s="2" t="s">
        <v>1243</v>
      </c>
      <c r="D353" s="2" t="s">
        <v>1326</v>
      </c>
      <c r="E353" s="2" t="s">
        <v>1245</v>
      </c>
      <c r="F353" s="2" t="s">
        <v>1246</v>
      </c>
      <c r="G353" s="4" t="n">
        <v>26.9</v>
      </c>
      <c r="H353" s="4" t="n">
        <v>2.45</v>
      </c>
      <c r="I353" s="4" t="n">
        <v>24.45</v>
      </c>
      <c r="J353" s="4" t="n">
        <v>24.45</v>
      </c>
      <c r="K353" s="2" t="n">
        <v>1</v>
      </c>
      <c r="L353" s="2" t="s">
        <v>56</v>
      </c>
      <c r="M353" s="2" t="s">
        <v>57</v>
      </c>
      <c r="N353" s="2" t="s">
        <v>1247</v>
      </c>
      <c r="O353" s="2" t="s">
        <v>66</v>
      </c>
      <c r="P353" s="2" t="s">
        <v>1327</v>
      </c>
      <c r="Q353" s="2" t="str">
        <f aca="false">IF(ROUND(ABS(J353-I353),2)&lt;=0.02,"TRUE","FALSE")</f>
        <v>TRUE</v>
      </c>
    </row>
    <row r="354" customFormat="false" ht="15" hidden="false" customHeight="false" outlineLevel="0" collapsed="false">
      <c r="A354" s="2" t="s">
        <v>30</v>
      </c>
      <c r="B354" s="2" t="s">
        <v>923</v>
      </c>
      <c r="C354" s="2" t="s">
        <v>924</v>
      </c>
      <c r="D354" s="2" t="s">
        <v>1328</v>
      </c>
      <c r="E354" s="2" t="s">
        <v>926</v>
      </c>
      <c r="F354" s="2" t="s">
        <v>927</v>
      </c>
      <c r="G354" s="4" t="n">
        <v>40.18</v>
      </c>
      <c r="H354" s="4" t="n">
        <v>3.67</v>
      </c>
      <c r="I354" s="4" t="n">
        <v>36.51</v>
      </c>
      <c r="J354" s="4" t="n">
        <v>36.51</v>
      </c>
      <c r="K354" s="2" t="n">
        <v>4</v>
      </c>
      <c r="L354" s="2" t="s">
        <v>56</v>
      </c>
      <c r="M354" s="2" t="s">
        <v>57</v>
      </c>
      <c r="N354" s="2" t="s">
        <v>928</v>
      </c>
      <c r="O354" s="2" t="s">
        <v>66</v>
      </c>
      <c r="P354" s="2" t="s">
        <v>1329</v>
      </c>
      <c r="Q354" s="2" t="str">
        <f aca="false">IF(ROUND(ABS(J354-I354),2)&lt;=0.02,"TRUE","FALSE")</f>
        <v>TRUE</v>
      </c>
    </row>
    <row r="355" customFormat="false" ht="15" hidden="false" customHeight="false" outlineLevel="0" collapsed="false">
      <c r="A355" s="2" t="s">
        <v>30</v>
      </c>
      <c r="B355" s="2" t="s">
        <v>983</v>
      </c>
      <c r="C355" s="2" t="s">
        <v>984</v>
      </c>
      <c r="D355" s="2" t="s">
        <v>1330</v>
      </c>
      <c r="E355" s="2" t="s">
        <v>986</v>
      </c>
      <c r="F355" s="2" t="s">
        <v>987</v>
      </c>
      <c r="G355" s="4" t="n">
        <v>35.81</v>
      </c>
      <c r="H355" s="4" t="n">
        <v>3.26</v>
      </c>
      <c r="I355" s="4" t="n">
        <v>32.55</v>
      </c>
      <c r="J355" s="4" t="n">
        <v>32.55</v>
      </c>
      <c r="K355" s="2" t="n">
        <v>2</v>
      </c>
      <c r="L355" s="2" t="s">
        <v>56</v>
      </c>
      <c r="M355" s="2" t="s">
        <v>57</v>
      </c>
      <c r="N355" s="2" t="s">
        <v>988</v>
      </c>
      <c r="O355" s="2" t="s">
        <v>66</v>
      </c>
      <c r="P355" s="2" t="s">
        <v>1331</v>
      </c>
      <c r="Q355" s="2" t="str">
        <f aca="false">IF(ROUND(ABS(J355-I355),2)&lt;=0.02,"TRUE","FALSE")</f>
        <v>TRUE</v>
      </c>
    </row>
    <row r="356" customFormat="false" ht="15" hidden="false" customHeight="false" outlineLevel="0" collapsed="false">
      <c r="A356" s="2" t="s">
        <v>30</v>
      </c>
      <c r="B356" s="2" t="s">
        <v>874</v>
      </c>
      <c r="C356" s="2" t="s">
        <v>875</v>
      </c>
      <c r="D356" s="2" t="s">
        <v>1332</v>
      </c>
      <c r="E356" s="2" t="s">
        <v>877</v>
      </c>
      <c r="F356" s="2" t="s">
        <v>878</v>
      </c>
      <c r="G356" s="4" t="n">
        <v>49.28</v>
      </c>
      <c r="H356" s="4" t="n">
        <v>4.48</v>
      </c>
      <c r="I356" s="4" t="n">
        <v>44.8</v>
      </c>
      <c r="J356" s="4" t="n">
        <v>44.8</v>
      </c>
      <c r="K356" s="2" t="n">
        <v>2</v>
      </c>
      <c r="L356" s="2" t="s">
        <v>56</v>
      </c>
      <c r="M356" s="2" t="s">
        <v>57</v>
      </c>
      <c r="N356" s="2" t="s">
        <v>879</v>
      </c>
      <c r="O356" s="2" t="s">
        <v>66</v>
      </c>
      <c r="P356" s="2" t="s">
        <v>1333</v>
      </c>
      <c r="Q356" s="2" t="str">
        <f aca="false">IF(ROUND(ABS(J356-I356),2)&lt;=0.02,"TRUE","FALSE")</f>
        <v>TRUE</v>
      </c>
    </row>
    <row r="357" customFormat="false" ht="15" hidden="false" customHeight="false" outlineLevel="0" collapsed="false">
      <c r="A357" s="2" t="s">
        <v>30</v>
      </c>
      <c r="B357" s="2" t="s">
        <v>895</v>
      </c>
      <c r="C357" s="2" t="s">
        <v>896</v>
      </c>
      <c r="D357" s="2" t="s">
        <v>1334</v>
      </c>
      <c r="E357" s="2" t="s">
        <v>898</v>
      </c>
      <c r="F357" s="2" t="s">
        <v>899</v>
      </c>
      <c r="G357" s="4" t="n">
        <v>48.43</v>
      </c>
      <c r="H357" s="4" t="n">
        <v>4.4</v>
      </c>
      <c r="I357" s="4" t="n">
        <v>44.03</v>
      </c>
      <c r="J357" s="4" t="n">
        <v>44.03</v>
      </c>
      <c r="K357" s="2" t="n">
        <v>2</v>
      </c>
      <c r="L357" s="2" t="s">
        <v>56</v>
      </c>
      <c r="M357" s="2" t="s">
        <v>57</v>
      </c>
      <c r="N357" s="2" t="s">
        <v>900</v>
      </c>
      <c r="O357" s="2" t="s">
        <v>104</v>
      </c>
      <c r="P357" s="2" t="s">
        <v>1335</v>
      </c>
      <c r="Q357" s="2" t="str">
        <f aca="false">IF(ROUND(ABS(J357-I357),2)&lt;=0.02,"TRUE","FALSE")</f>
        <v>TRUE</v>
      </c>
    </row>
    <row r="358" customFormat="false" ht="15" hidden="false" customHeight="false" outlineLevel="0" collapsed="false">
      <c r="A358" s="2" t="s">
        <v>30</v>
      </c>
      <c r="B358" s="2" t="s">
        <v>1249</v>
      </c>
      <c r="C358" s="2" t="s">
        <v>1250</v>
      </c>
      <c r="D358" s="2" t="s">
        <v>1336</v>
      </c>
      <c r="E358" s="2" t="s">
        <v>1252</v>
      </c>
      <c r="F358" s="2" t="s">
        <v>1252</v>
      </c>
      <c r="G358" s="4" t="n">
        <v>33.98</v>
      </c>
      <c r="H358" s="4" t="n">
        <v>3.09</v>
      </c>
      <c r="I358" s="4" t="n">
        <v>30.89</v>
      </c>
      <c r="J358" s="4" t="n">
        <v>30.89</v>
      </c>
      <c r="K358" s="2" t="n">
        <v>2</v>
      </c>
      <c r="L358" s="2" t="s">
        <v>56</v>
      </c>
      <c r="M358" s="2" t="s">
        <v>57</v>
      </c>
      <c r="N358" s="2" t="s">
        <v>1253</v>
      </c>
      <c r="O358" s="2" t="s">
        <v>148</v>
      </c>
      <c r="P358" s="2" t="s">
        <v>1337</v>
      </c>
      <c r="Q358" s="2" t="str">
        <f aca="false">IF(ROUND(ABS(J358-I358),2)&lt;=0.02,"TRUE","FALSE")</f>
        <v>TRUE</v>
      </c>
    </row>
    <row r="359" customFormat="false" ht="15" hidden="false" customHeight="false" outlineLevel="0" collapsed="false">
      <c r="A359" s="2" t="s">
        <v>30</v>
      </c>
      <c r="B359" s="2" t="s">
        <v>1255</v>
      </c>
      <c r="C359" s="2" t="s">
        <v>1256</v>
      </c>
      <c r="D359" s="2" t="s">
        <v>1338</v>
      </c>
      <c r="E359" s="2" t="s">
        <v>1258</v>
      </c>
      <c r="F359" s="2" t="s">
        <v>1259</v>
      </c>
      <c r="G359" s="4" t="n">
        <v>26.18</v>
      </c>
      <c r="H359" s="4" t="n">
        <v>2.38</v>
      </c>
      <c r="I359" s="4" t="n">
        <v>23.8</v>
      </c>
      <c r="J359" s="4" t="n">
        <v>23.8</v>
      </c>
      <c r="K359" s="2" t="n">
        <v>2</v>
      </c>
      <c r="L359" s="2" t="s">
        <v>56</v>
      </c>
      <c r="M359" s="2" t="s">
        <v>57</v>
      </c>
      <c r="N359" s="2" t="s">
        <v>1260</v>
      </c>
      <c r="O359" s="2" t="s">
        <v>66</v>
      </c>
      <c r="P359" s="2" t="s">
        <v>1339</v>
      </c>
      <c r="Q359" s="2" t="str">
        <f aca="false">IF(ROUND(ABS(J359-I359),2)&lt;=0.02,"TRUE","FALSE")</f>
        <v>TRUE</v>
      </c>
    </row>
    <row r="360" customFormat="false" ht="15" hidden="false" customHeight="false" outlineLevel="0" collapsed="false">
      <c r="A360" s="2" t="s">
        <v>30</v>
      </c>
      <c r="B360" s="2" t="s">
        <v>1204</v>
      </c>
      <c r="C360" s="2" t="s">
        <v>1205</v>
      </c>
      <c r="D360" s="2" t="s">
        <v>1340</v>
      </c>
      <c r="E360" s="2" t="s">
        <v>1207</v>
      </c>
      <c r="F360" s="2" t="s">
        <v>1208</v>
      </c>
      <c r="G360" s="4" t="n">
        <v>44.86</v>
      </c>
      <c r="H360" s="4" t="n">
        <v>4.08</v>
      </c>
      <c r="I360" s="4" t="n">
        <v>40.78</v>
      </c>
      <c r="J360" s="4" t="n">
        <v>40.78</v>
      </c>
      <c r="K360" s="2" t="n">
        <v>2</v>
      </c>
      <c r="L360" s="2" t="s">
        <v>56</v>
      </c>
      <c r="M360" s="2" t="s">
        <v>57</v>
      </c>
      <c r="N360" s="2"/>
      <c r="O360" s="2" t="s">
        <v>58</v>
      </c>
      <c r="P360" s="2" t="s">
        <v>1341</v>
      </c>
      <c r="Q360" s="2" t="str">
        <f aca="false">IF(ROUND(ABS(J360-I360),2)&lt;=0.02,"TRUE","FALSE")</f>
        <v>TRUE</v>
      </c>
    </row>
    <row r="361" customFormat="false" ht="15" hidden="false" customHeight="false" outlineLevel="0" collapsed="false">
      <c r="A361" s="2" t="s">
        <v>30</v>
      </c>
      <c r="B361" s="2" t="s">
        <v>1264</v>
      </c>
      <c r="C361" s="2" t="s">
        <v>1265</v>
      </c>
      <c r="D361" s="2" t="s">
        <v>1342</v>
      </c>
      <c r="E361" s="2" t="s">
        <v>1267</v>
      </c>
      <c r="F361" s="2" t="s">
        <v>1268</v>
      </c>
      <c r="G361" s="4" t="n">
        <v>27.14</v>
      </c>
      <c r="H361" s="4" t="n">
        <v>2.47</v>
      </c>
      <c r="I361" s="4" t="n">
        <v>24.67</v>
      </c>
      <c r="J361" s="4" t="n">
        <v>24.67</v>
      </c>
      <c r="K361" s="2" t="n">
        <v>2</v>
      </c>
      <c r="L361" s="2" t="s">
        <v>56</v>
      </c>
      <c r="M361" s="2" t="s">
        <v>57</v>
      </c>
      <c r="N361" s="2"/>
      <c r="O361" s="2" t="s">
        <v>58</v>
      </c>
      <c r="P361" s="2" t="s">
        <v>1343</v>
      </c>
      <c r="Q361" s="2" t="str">
        <f aca="false">IF(ROUND(ABS(J361-I361),2)&lt;=0.02,"TRUE","FALSE")</f>
        <v>TRUE</v>
      </c>
    </row>
    <row r="362" customFormat="false" ht="15" hidden="false" customHeight="false" outlineLevel="0" collapsed="false">
      <c r="A362" s="2" t="s">
        <v>30</v>
      </c>
      <c r="B362" s="2" t="s">
        <v>184</v>
      </c>
      <c r="C362" s="2" t="s">
        <v>185</v>
      </c>
      <c r="D362" s="2" t="s">
        <v>1344</v>
      </c>
      <c r="E362" s="2" t="s">
        <v>187</v>
      </c>
      <c r="F362" s="2" t="s">
        <v>188</v>
      </c>
      <c r="G362" s="4" t="n">
        <v>24.21</v>
      </c>
      <c r="H362" s="4" t="n">
        <v>2.2</v>
      </c>
      <c r="I362" s="4" t="n">
        <v>22.01</v>
      </c>
      <c r="J362" s="4" t="n">
        <v>22.01</v>
      </c>
      <c r="K362" s="2" t="n">
        <v>1</v>
      </c>
      <c r="L362" s="2" t="s">
        <v>56</v>
      </c>
      <c r="M362" s="2" t="s">
        <v>57</v>
      </c>
      <c r="N362" s="2" t="s">
        <v>189</v>
      </c>
      <c r="O362" s="2" t="s">
        <v>148</v>
      </c>
      <c r="P362" s="2" t="s">
        <v>1345</v>
      </c>
      <c r="Q362" s="2" t="str">
        <f aca="false">IF(ROUND(ABS(J362-I362),2)&lt;=0.02,"TRUE","FALSE")</f>
        <v>TRUE</v>
      </c>
    </row>
    <row r="363" customFormat="false" ht="15" hidden="false" customHeight="false" outlineLevel="0" collapsed="false">
      <c r="A363" s="2" t="s">
        <v>30</v>
      </c>
      <c r="B363" s="2" t="s">
        <v>930</v>
      </c>
      <c r="C363" s="2" t="s">
        <v>931</v>
      </c>
      <c r="D363" s="2" t="s">
        <v>1346</v>
      </c>
      <c r="E363" s="2" t="s">
        <v>933</v>
      </c>
      <c r="F363" s="2" t="s">
        <v>934</v>
      </c>
      <c r="G363" s="4" t="n">
        <v>36.86</v>
      </c>
      <c r="H363" s="4" t="n">
        <v>3.35</v>
      </c>
      <c r="I363" s="4" t="n">
        <v>33.51</v>
      </c>
      <c r="J363" s="4" t="n">
        <v>33.51</v>
      </c>
      <c r="K363" s="2" t="n">
        <v>4</v>
      </c>
      <c r="L363" s="2" t="s">
        <v>56</v>
      </c>
      <c r="M363" s="2" t="s">
        <v>57</v>
      </c>
      <c r="N363" s="2" t="s">
        <v>935</v>
      </c>
      <c r="O363" s="2" t="s">
        <v>66</v>
      </c>
      <c r="P363" s="2" t="s">
        <v>1347</v>
      </c>
      <c r="Q363" s="2" t="str">
        <f aca="false">IF(ROUND(ABS(J363-I363),2)&lt;=0.02,"TRUE","FALSE")</f>
        <v>TRUE</v>
      </c>
    </row>
    <row r="364" customFormat="false" ht="15" hidden="false" customHeight="false" outlineLevel="0" collapsed="false">
      <c r="A364" s="2" t="s">
        <v>18</v>
      </c>
      <c r="B364" s="2" t="s">
        <v>930</v>
      </c>
      <c r="C364" s="2" t="s">
        <v>931</v>
      </c>
      <c r="D364" s="2" t="s">
        <v>1348</v>
      </c>
      <c r="E364" s="2" t="s">
        <v>933</v>
      </c>
      <c r="F364" s="2" t="s">
        <v>934</v>
      </c>
      <c r="G364" s="4" t="n">
        <v>35.09</v>
      </c>
      <c r="H364" s="4" t="n">
        <v>3.19</v>
      </c>
      <c r="I364" s="4" t="n">
        <v>31.9</v>
      </c>
      <c r="J364" s="4" t="n">
        <v>31.9</v>
      </c>
      <c r="K364" s="2" t="n">
        <v>4</v>
      </c>
      <c r="L364" s="2" t="s">
        <v>56</v>
      </c>
      <c r="M364" s="2" t="s">
        <v>57</v>
      </c>
      <c r="N364" s="2" t="s">
        <v>935</v>
      </c>
      <c r="O364" s="2" t="s">
        <v>66</v>
      </c>
      <c r="P364" s="2" t="s">
        <v>1349</v>
      </c>
      <c r="Q364" s="2" t="str">
        <f aca="false">IF(ROUND(ABS(J364-I364),2)&lt;=0.02,"TRUE","FALSE")</f>
        <v>TRUE</v>
      </c>
    </row>
    <row r="365" customFormat="false" ht="15" hidden="false" customHeight="false" outlineLevel="0" collapsed="false">
      <c r="A365" s="2" t="s">
        <v>30</v>
      </c>
      <c r="B365" s="2" t="s">
        <v>1216</v>
      </c>
      <c r="C365" s="2" t="s">
        <v>1217</v>
      </c>
      <c r="D365" s="2" t="s">
        <v>1350</v>
      </c>
      <c r="E365" s="2" t="s">
        <v>1219</v>
      </c>
      <c r="F365" s="2" t="s">
        <v>1220</v>
      </c>
      <c r="G365" s="4" t="n">
        <v>27.79</v>
      </c>
      <c r="H365" s="4" t="n">
        <v>2.53</v>
      </c>
      <c r="I365" s="4" t="n">
        <v>25.26</v>
      </c>
      <c r="J365" s="4" t="n">
        <v>25.26</v>
      </c>
      <c r="K365" s="2" t="n">
        <v>2</v>
      </c>
      <c r="L365" s="2" t="s">
        <v>56</v>
      </c>
      <c r="M365" s="2" t="s">
        <v>57</v>
      </c>
      <c r="N365" s="2" t="s">
        <v>1221</v>
      </c>
      <c r="O365" s="2" t="s">
        <v>66</v>
      </c>
      <c r="P365" s="2" t="s">
        <v>1351</v>
      </c>
      <c r="Q365" s="2" t="str">
        <f aca="false">IF(ROUND(ABS(J365-I365),2)&lt;=0.02,"TRUE","FALSE")</f>
        <v>TRUE</v>
      </c>
    </row>
    <row r="366" customFormat="false" ht="15" hidden="false" customHeight="false" outlineLevel="0" collapsed="false">
      <c r="A366" s="2" t="s">
        <v>30</v>
      </c>
      <c r="B366" s="2" t="s">
        <v>1230</v>
      </c>
      <c r="C366" s="2" t="s">
        <v>1231</v>
      </c>
      <c r="D366" s="2" t="s">
        <v>1352</v>
      </c>
      <c r="E366" s="2" t="s">
        <v>1233</v>
      </c>
      <c r="F366" s="2" t="s">
        <v>1234</v>
      </c>
      <c r="G366" s="4" t="n">
        <v>37.9</v>
      </c>
      <c r="H366" s="4" t="n">
        <v>3.45</v>
      </c>
      <c r="I366" s="4" t="n">
        <v>34.45</v>
      </c>
      <c r="J366" s="4" t="n">
        <v>34.45</v>
      </c>
      <c r="K366" s="2" t="n">
        <v>4</v>
      </c>
      <c r="L366" s="2" t="s">
        <v>56</v>
      </c>
      <c r="M366" s="2" t="s">
        <v>57</v>
      </c>
      <c r="N366" s="2"/>
      <c r="O366" s="2" t="s">
        <v>58</v>
      </c>
      <c r="P366" s="2" t="s">
        <v>1353</v>
      </c>
      <c r="Q366" s="2" t="str">
        <f aca="false">IF(ROUND(ABS(J366-I366),2)&lt;=0.02,"TRUE","FALSE")</f>
        <v>TRUE</v>
      </c>
    </row>
    <row r="367" customFormat="false" ht="15" hidden="false" customHeight="false" outlineLevel="0" collapsed="false">
      <c r="A367" s="2" t="s">
        <v>30</v>
      </c>
      <c r="B367" s="2" t="s">
        <v>1236</v>
      </c>
      <c r="C367" s="2" t="s">
        <v>1237</v>
      </c>
      <c r="D367" s="2" t="s">
        <v>1354</v>
      </c>
      <c r="E367" s="2" t="s">
        <v>1239</v>
      </c>
      <c r="F367" s="2" t="s">
        <v>1240</v>
      </c>
      <c r="G367" s="4" t="n">
        <v>34.43</v>
      </c>
      <c r="H367" s="4" t="n">
        <v>3.14</v>
      </c>
      <c r="I367" s="4" t="n">
        <v>31.29</v>
      </c>
      <c r="J367" s="4" t="n">
        <v>31.29</v>
      </c>
      <c r="K367" s="2" t="n">
        <v>4</v>
      </c>
      <c r="L367" s="2" t="s">
        <v>56</v>
      </c>
      <c r="M367" s="2" t="s">
        <v>57</v>
      </c>
      <c r="N367" s="2"/>
      <c r="O367" s="2" t="s">
        <v>58</v>
      </c>
      <c r="P367" s="2" t="s">
        <v>1355</v>
      </c>
      <c r="Q367" s="2" t="str">
        <f aca="false">IF(ROUND(ABS(J367-I367),2)&lt;=0.02,"TRUE","FALSE")</f>
        <v>TRUE</v>
      </c>
    </row>
    <row r="368" customFormat="false" ht="15" hidden="false" customHeight="false" outlineLevel="0" collapsed="false">
      <c r="A368" s="2" t="s">
        <v>30</v>
      </c>
      <c r="B368" s="2" t="s">
        <v>1223</v>
      </c>
      <c r="C368" s="2" t="s">
        <v>1224</v>
      </c>
      <c r="D368" s="2" t="s">
        <v>1356</v>
      </c>
      <c r="E368" s="2" t="s">
        <v>1226</v>
      </c>
      <c r="F368" s="2" t="s">
        <v>1227</v>
      </c>
      <c r="G368" s="4" t="n">
        <v>31.36</v>
      </c>
      <c r="H368" s="4" t="n">
        <v>2.86</v>
      </c>
      <c r="I368" s="4" t="n">
        <v>28.5</v>
      </c>
      <c r="J368" s="4" t="n">
        <v>28.5</v>
      </c>
      <c r="K368" s="2" t="n">
        <v>4</v>
      </c>
      <c r="L368" s="2" t="s">
        <v>56</v>
      </c>
      <c r="M368" s="2" t="s">
        <v>57</v>
      </c>
      <c r="N368" s="2" t="s">
        <v>1228</v>
      </c>
      <c r="O368" s="2" t="s">
        <v>66</v>
      </c>
      <c r="P368" s="2" t="s">
        <v>1357</v>
      </c>
      <c r="Q368" s="2" t="str">
        <f aca="false">IF(ROUND(ABS(J368-I368),2)&lt;=0.02,"TRUE","FALSE")</f>
        <v>TRUE</v>
      </c>
    </row>
    <row r="369" customFormat="false" ht="15" hidden="false" customHeight="false" outlineLevel="0" collapsed="false">
      <c r="A369" s="2" t="s">
        <v>18</v>
      </c>
      <c r="B369" s="2" t="s">
        <v>1216</v>
      </c>
      <c r="C369" s="2" t="s">
        <v>1217</v>
      </c>
      <c r="D369" s="2" t="s">
        <v>1358</v>
      </c>
      <c r="E369" s="2" t="s">
        <v>1219</v>
      </c>
      <c r="F369" s="2" t="s">
        <v>1220</v>
      </c>
      <c r="G369" s="4" t="n">
        <v>26.89</v>
      </c>
      <c r="H369" s="4" t="n">
        <v>2.45</v>
      </c>
      <c r="I369" s="4" t="n">
        <v>24.44</v>
      </c>
      <c r="J369" s="4" t="n">
        <v>24.44</v>
      </c>
      <c r="K369" s="2" t="n">
        <v>2</v>
      </c>
      <c r="L369" s="2" t="s">
        <v>56</v>
      </c>
      <c r="M369" s="2" t="s">
        <v>57</v>
      </c>
      <c r="N369" s="2" t="s">
        <v>1221</v>
      </c>
      <c r="O369" s="2" t="s">
        <v>66</v>
      </c>
      <c r="P369" s="2" t="s">
        <v>1359</v>
      </c>
      <c r="Q369" s="2" t="str">
        <f aca="false">IF(ROUND(ABS(J369-I369),2)&lt;=0.02,"TRUE","FALSE")</f>
        <v>TRUE</v>
      </c>
    </row>
    <row r="370" customFormat="false" ht="15" hidden="false" customHeight="false" outlineLevel="0" collapsed="false">
      <c r="A370" s="2" t="s">
        <v>18</v>
      </c>
      <c r="B370" s="2" t="s">
        <v>1230</v>
      </c>
      <c r="C370" s="2" t="s">
        <v>1231</v>
      </c>
      <c r="D370" s="2" t="s">
        <v>1360</v>
      </c>
      <c r="E370" s="2" t="s">
        <v>1233</v>
      </c>
      <c r="F370" s="2" t="s">
        <v>1234</v>
      </c>
      <c r="G370" s="4" t="n">
        <v>38.63</v>
      </c>
      <c r="H370" s="4" t="n">
        <v>3.52</v>
      </c>
      <c r="I370" s="4" t="n">
        <v>35.11</v>
      </c>
      <c r="J370" s="4" t="n">
        <v>35.11</v>
      </c>
      <c r="K370" s="2" t="n">
        <v>4</v>
      </c>
      <c r="L370" s="2" t="s">
        <v>56</v>
      </c>
      <c r="M370" s="2" t="s">
        <v>57</v>
      </c>
      <c r="N370" s="2"/>
      <c r="O370" s="2" t="s">
        <v>58</v>
      </c>
      <c r="P370" s="2" t="s">
        <v>1361</v>
      </c>
      <c r="Q370" s="2" t="str">
        <f aca="false">IF(ROUND(ABS(J370-I370),2)&lt;=0.02,"TRUE","FALSE")</f>
        <v>TRUE</v>
      </c>
    </row>
    <row r="371" customFormat="false" ht="15" hidden="false" customHeight="false" outlineLevel="0" collapsed="false">
      <c r="A371" s="2" t="s">
        <v>18</v>
      </c>
      <c r="B371" s="2" t="s">
        <v>1236</v>
      </c>
      <c r="C371" s="2" t="s">
        <v>1237</v>
      </c>
      <c r="D371" s="2" t="s">
        <v>1362</v>
      </c>
      <c r="E371" s="2" t="s">
        <v>1239</v>
      </c>
      <c r="F371" s="2" t="s">
        <v>1240</v>
      </c>
      <c r="G371" s="4" t="n">
        <v>35.9</v>
      </c>
      <c r="H371" s="4" t="n">
        <v>3.27</v>
      </c>
      <c r="I371" s="4" t="n">
        <v>32.63</v>
      </c>
      <c r="J371" s="4" t="n">
        <v>32.63</v>
      </c>
      <c r="K371" s="2" t="n">
        <v>4</v>
      </c>
      <c r="L371" s="2" t="s">
        <v>56</v>
      </c>
      <c r="M371" s="2" t="s">
        <v>57</v>
      </c>
      <c r="N371" s="2"/>
      <c r="O371" s="2" t="s">
        <v>58</v>
      </c>
      <c r="P371" s="2" t="s">
        <v>1363</v>
      </c>
      <c r="Q371" s="2" t="str">
        <f aca="false">IF(ROUND(ABS(J371-I371),2)&lt;=0.02,"TRUE","FALSE")</f>
        <v>TRUE</v>
      </c>
    </row>
    <row r="372" customFormat="false" ht="15" hidden="false" customHeight="false" outlineLevel="0" collapsed="false">
      <c r="A372" s="2" t="s">
        <v>18</v>
      </c>
      <c r="B372" s="2" t="s">
        <v>1223</v>
      </c>
      <c r="C372" s="2" t="s">
        <v>1224</v>
      </c>
      <c r="D372" s="2" t="s">
        <v>1364</v>
      </c>
      <c r="E372" s="2" t="s">
        <v>1226</v>
      </c>
      <c r="F372" s="2" t="s">
        <v>1227</v>
      </c>
      <c r="G372" s="4" t="n">
        <v>29.13</v>
      </c>
      <c r="H372" s="4" t="n">
        <v>2.65</v>
      </c>
      <c r="I372" s="4" t="n">
        <v>26.48</v>
      </c>
      <c r="J372" s="4" t="n">
        <v>26.48</v>
      </c>
      <c r="K372" s="2" t="n">
        <v>4</v>
      </c>
      <c r="L372" s="2" t="s">
        <v>56</v>
      </c>
      <c r="M372" s="2" t="s">
        <v>57</v>
      </c>
      <c r="N372" s="2" t="s">
        <v>1228</v>
      </c>
      <c r="O372" s="2" t="s">
        <v>66</v>
      </c>
      <c r="P372" s="2" t="s">
        <v>1365</v>
      </c>
      <c r="Q372" s="2" t="str">
        <f aca="false">IF(ROUND(ABS(J372-I372),2)&lt;=0.02,"TRUE","FALSE")</f>
        <v>TRUE</v>
      </c>
    </row>
    <row r="373" customFormat="false" ht="15" hidden="false" customHeight="false" outlineLevel="0" collapsed="false">
      <c r="A373" s="2" t="s">
        <v>30</v>
      </c>
      <c r="B373" s="2" t="s">
        <v>1242</v>
      </c>
      <c r="C373" s="2" t="s">
        <v>1243</v>
      </c>
      <c r="D373" s="2" t="s">
        <v>1366</v>
      </c>
      <c r="E373" s="2" t="s">
        <v>1245</v>
      </c>
      <c r="F373" s="2" t="s">
        <v>1246</v>
      </c>
      <c r="G373" s="4" t="n">
        <v>27.79</v>
      </c>
      <c r="H373" s="4" t="n">
        <v>2.53</v>
      </c>
      <c r="I373" s="4" t="n">
        <v>25.26</v>
      </c>
      <c r="J373" s="4" t="n">
        <v>25.26</v>
      </c>
      <c r="K373" s="2" t="n">
        <v>2</v>
      </c>
      <c r="L373" s="2" t="s">
        <v>56</v>
      </c>
      <c r="M373" s="2" t="s">
        <v>57</v>
      </c>
      <c r="N373" s="2" t="s">
        <v>1247</v>
      </c>
      <c r="O373" s="2" t="s">
        <v>66</v>
      </c>
      <c r="P373" s="2" t="s">
        <v>1367</v>
      </c>
      <c r="Q373" s="2" t="str">
        <f aca="false">IF(ROUND(ABS(J373-I373),2)&lt;=0.02,"TRUE","FALSE")</f>
        <v>TRUE</v>
      </c>
    </row>
    <row r="374" customFormat="false" ht="15" hidden="false" customHeight="false" outlineLevel="0" collapsed="false">
      <c r="A374" s="2" t="s">
        <v>18</v>
      </c>
      <c r="B374" s="2" t="s">
        <v>1242</v>
      </c>
      <c r="C374" s="2" t="s">
        <v>1243</v>
      </c>
      <c r="D374" s="2" t="s">
        <v>1368</v>
      </c>
      <c r="E374" s="2" t="s">
        <v>1245</v>
      </c>
      <c r="F374" s="2" t="s">
        <v>1246</v>
      </c>
      <c r="G374" s="4" t="n">
        <v>26.89</v>
      </c>
      <c r="H374" s="4" t="n">
        <v>2.45</v>
      </c>
      <c r="I374" s="4" t="n">
        <v>24.44</v>
      </c>
      <c r="J374" s="4" t="n">
        <v>24.44</v>
      </c>
      <c r="K374" s="2" t="n">
        <v>2</v>
      </c>
      <c r="L374" s="2" t="s">
        <v>56</v>
      </c>
      <c r="M374" s="2" t="s">
        <v>57</v>
      </c>
      <c r="N374" s="2" t="s">
        <v>1247</v>
      </c>
      <c r="O374" s="2" t="s">
        <v>66</v>
      </c>
      <c r="P374" s="2" t="s">
        <v>1369</v>
      </c>
      <c r="Q374" s="2" t="str">
        <f aca="false">IF(ROUND(ABS(J374-I374),2)&lt;=0.02,"TRUE","FALSE")</f>
        <v>TRUE</v>
      </c>
    </row>
    <row r="375" customFormat="false" ht="15" hidden="false" customHeight="false" outlineLevel="0" collapsed="false">
      <c r="A375" s="2" t="s">
        <v>10</v>
      </c>
      <c r="B375" s="2" t="s">
        <v>910</v>
      </c>
      <c r="C375" s="2" t="s">
        <v>911</v>
      </c>
      <c r="D375" s="2" t="s">
        <v>1370</v>
      </c>
      <c r="E375" s="2" t="s">
        <v>913</v>
      </c>
      <c r="F375" s="2" t="s">
        <v>914</v>
      </c>
      <c r="G375" s="4" t="n">
        <v>20.31</v>
      </c>
      <c r="H375" s="4" t="n">
        <v>1.86</v>
      </c>
      <c r="I375" s="4" t="n">
        <v>18.45</v>
      </c>
      <c r="J375" s="4" t="n">
        <v>18.45</v>
      </c>
      <c r="K375" s="2" t="n">
        <v>6</v>
      </c>
      <c r="L375" s="2" t="s">
        <v>56</v>
      </c>
      <c r="M375" s="2" t="s">
        <v>57</v>
      </c>
      <c r="N375" s="2" t="s">
        <v>915</v>
      </c>
      <c r="O375" s="2" t="s">
        <v>66</v>
      </c>
      <c r="P375" s="2" t="s">
        <v>1371</v>
      </c>
      <c r="Q375" s="2" t="str">
        <f aca="false">IF(ROUND(ABS(J375-I375),2)&lt;=0.02,"TRUE","FALSE")</f>
        <v>TRUE</v>
      </c>
    </row>
    <row r="376" customFormat="false" ht="15" hidden="false" customHeight="false" outlineLevel="0" collapsed="false">
      <c r="A376" s="2" t="s">
        <v>18</v>
      </c>
      <c r="B376" s="2" t="s">
        <v>477</v>
      </c>
      <c r="C376" s="2" t="s">
        <v>478</v>
      </c>
      <c r="D376" s="2" t="s">
        <v>1372</v>
      </c>
      <c r="E376" s="2" t="s">
        <v>480</v>
      </c>
      <c r="F376" s="2" t="s">
        <v>481</v>
      </c>
      <c r="G376" s="4" t="n">
        <v>12.45</v>
      </c>
      <c r="H376" s="4" t="n">
        <v>1.14</v>
      </c>
      <c r="I376" s="4" t="n">
        <v>11.31</v>
      </c>
      <c r="J376" s="4" t="n">
        <v>11.31</v>
      </c>
      <c r="K376" s="2" t="n">
        <v>2</v>
      </c>
      <c r="L376" s="2" t="s">
        <v>56</v>
      </c>
      <c r="M376" s="2" t="s">
        <v>57</v>
      </c>
      <c r="N376" s="2" t="s">
        <v>482</v>
      </c>
      <c r="O376" s="2" t="s">
        <v>66</v>
      </c>
      <c r="P376" s="2" t="s">
        <v>1373</v>
      </c>
      <c r="Q376" s="2" t="str">
        <f aca="false">IF(ROUND(ABS(J376-I376),2)&lt;=0.02,"TRUE","FALSE")</f>
        <v>TRUE</v>
      </c>
    </row>
    <row r="378" customFormat="false" ht="15" hidden="false" customHeight="false" outlineLevel="0" collapsed="false">
      <c r="A378" s="5" t="s">
        <v>34</v>
      </c>
      <c r="G378" s="5" t="n">
        <f aca="false">SUM(G2:G376)</f>
        <v>46494.06</v>
      </c>
      <c r="H378" s="5" t="n">
        <f aca="false">SUM(H2:H376)</f>
        <v>4228.11</v>
      </c>
      <c r="I378" s="5" t="n">
        <f aca="false">SUM(I2:I376)</f>
        <v>42265.95</v>
      </c>
      <c r="J378" s="5" t="n">
        <f aca="false">SUM(J2:J376)</f>
        <v>42265.95</v>
      </c>
      <c r="K378" s="5" t="n">
        <f aca="false">SUM(K2:K376)</f>
        <v>1191</v>
      </c>
    </row>
    <row r="379" customFormat="false" ht="15" hidden="false" customHeight="false" outlineLevel="0" collapsed="false">
      <c r="A379" s="5" t="s">
        <v>1374</v>
      </c>
      <c r="B379" s="5" t="n">
        <f aca="false">COUNTIF(Q2:Q376,"TRUE")</f>
        <v>375</v>
      </c>
      <c r="C379" s="5" t="str">
        <f aca="false">IF(B379=375,"TRUE","FALSE")</f>
        <v>TRUE</v>
      </c>
    </row>
    <row r="380" customFormat="false" ht="15" hidden="false" customHeight="false" outlineLevel="0" collapsed="false">
      <c r="A380" s="5" t="s">
        <v>1375</v>
      </c>
      <c r="B380" s="5" t="n">
        <v>42265.95</v>
      </c>
      <c r="C380" s="5" t="str">
        <f aca="false">IF(ROUND(B380,2)=ROUND(J378,2),"TRUE","FALSE")</f>
        <v>TRUE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4"/>
    <col collapsed="false" customWidth="true" hidden="false" outlineLevel="0" max="4" min="4" style="0" width="54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2"/>
  </cols>
  <sheetData>
    <row r="1" customFormat="false" ht="23.85" hidden="false" customHeight="false" outlineLevel="0" collapsed="false">
      <c r="A1" s="1" t="s">
        <v>0</v>
      </c>
      <c r="B1" s="1" t="s">
        <v>1376</v>
      </c>
      <c r="C1" s="1" t="s">
        <v>1377</v>
      </c>
      <c r="D1" s="1" t="s">
        <v>1378</v>
      </c>
      <c r="E1" s="1" t="s">
        <v>1379</v>
      </c>
      <c r="F1" s="1" t="s">
        <v>4</v>
      </c>
      <c r="G1" s="1" t="s">
        <v>5</v>
      </c>
      <c r="H1" s="1" t="s">
        <v>1380</v>
      </c>
    </row>
    <row r="2" customFormat="false" ht="15" hidden="false" customHeight="false" outlineLevel="0" collapsed="false">
      <c r="A2" s="2" t="s">
        <v>10</v>
      </c>
      <c r="B2" s="2" t="s">
        <v>609</v>
      </c>
      <c r="C2" s="2" t="s">
        <v>737</v>
      </c>
      <c r="D2" s="2" t="s">
        <v>611</v>
      </c>
      <c r="E2" s="4" t="n">
        <v>93.71</v>
      </c>
      <c r="F2" s="4" t="n">
        <v>8.52</v>
      </c>
      <c r="G2" s="4" t="n">
        <v>85.19</v>
      </c>
      <c r="H2" s="2" t="s">
        <v>1381</v>
      </c>
    </row>
    <row r="3" customFormat="false" ht="15" hidden="false" customHeight="false" outlineLevel="0" collapsed="false">
      <c r="A3" s="2" t="s">
        <v>10</v>
      </c>
      <c r="B3" s="2" t="s">
        <v>1382</v>
      </c>
      <c r="C3" s="2" t="s">
        <v>1383</v>
      </c>
      <c r="D3" s="2" t="s">
        <v>1384</v>
      </c>
      <c r="E3" s="4" t="n">
        <v>175.18</v>
      </c>
      <c r="F3" s="4" t="n">
        <v>15.92</v>
      </c>
      <c r="G3" s="4" t="n">
        <v>159.26</v>
      </c>
      <c r="H3" s="2" t="s">
        <v>1385</v>
      </c>
    </row>
    <row r="4" customFormat="false" ht="15" hidden="false" customHeight="false" outlineLevel="0" collapsed="false">
      <c r="A4" s="2" t="s">
        <v>10</v>
      </c>
      <c r="B4" s="2" t="s">
        <v>1386</v>
      </c>
      <c r="C4" s="2" t="s">
        <v>1387</v>
      </c>
      <c r="D4" s="2" t="s">
        <v>1388</v>
      </c>
      <c r="E4" s="4" t="n">
        <v>582.95</v>
      </c>
      <c r="F4" s="4" t="n">
        <v>53</v>
      </c>
      <c r="G4" s="4" t="n">
        <v>529.95</v>
      </c>
      <c r="H4" s="2" t="s">
        <v>1385</v>
      </c>
    </row>
    <row r="5" customFormat="false" ht="15" hidden="false" customHeight="false" outlineLevel="0" collapsed="false">
      <c r="A5" s="2" t="s">
        <v>10</v>
      </c>
      <c r="B5" s="2" t="s">
        <v>616</v>
      </c>
      <c r="C5" s="2" t="s">
        <v>811</v>
      </c>
      <c r="D5" s="2" t="s">
        <v>618</v>
      </c>
      <c r="E5" s="4" t="n">
        <v>89.1</v>
      </c>
      <c r="F5" s="4" t="n">
        <v>8.1</v>
      </c>
      <c r="G5" s="4" t="n">
        <v>81</v>
      </c>
      <c r="H5" s="2" t="s">
        <v>1381</v>
      </c>
    </row>
    <row r="6" customFormat="false" ht="15" hidden="false" customHeight="false" outlineLevel="0" collapsed="false">
      <c r="A6" s="2" t="s">
        <v>10</v>
      </c>
      <c r="B6" s="2" t="s">
        <v>1389</v>
      </c>
      <c r="C6" s="2" t="s">
        <v>1390</v>
      </c>
      <c r="D6" s="2" t="s">
        <v>1391</v>
      </c>
      <c r="E6" s="4" t="n">
        <v>260.8</v>
      </c>
      <c r="F6" s="4" t="n">
        <v>23.71</v>
      </c>
      <c r="G6" s="4" t="n">
        <v>237.09</v>
      </c>
      <c r="H6" s="2" t="s">
        <v>1385</v>
      </c>
    </row>
    <row r="7" customFormat="false" ht="15" hidden="false" customHeight="false" outlineLevel="0" collapsed="false">
      <c r="A7" s="2" t="s">
        <v>10</v>
      </c>
      <c r="B7" s="2" t="s">
        <v>1392</v>
      </c>
      <c r="C7" s="2" t="s">
        <v>1393</v>
      </c>
      <c r="D7" s="2" t="s">
        <v>1394</v>
      </c>
      <c r="E7" s="4" t="n">
        <v>143.16</v>
      </c>
      <c r="F7" s="4" t="n">
        <v>13.03</v>
      </c>
      <c r="G7" s="4" t="n">
        <v>130.13</v>
      </c>
      <c r="H7" s="2" t="s">
        <v>1385</v>
      </c>
    </row>
    <row r="8" customFormat="false" ht="15" hidden="false" customHeight="false" outlineLevel="0" collapsed="false">
      <c r="A8" s="2" t="s">
        <v>10</v>
      </c>
      <c r="B8" s="2" t="s">
        <v>1395</v>
      </c>
      <c r="C8" s="2" t="s">
        <v>1396</v>
      </c>
      <c r="D8" s="2" t="s">
        <v>1397</v>
      </c>
      <c r="E8" s="4" t="n">
        <v>404.14</v>
      </c>
      <c r="F8" s="4" t="n">
        <v>36.73</v>
      </c>
      <c r="G8" s="4" t="n">
        <v>367.41</v>
      </c>
      <c r="H8" s="2" t="s">
        <v>1385</v>
      </c>
    </row>
    <row r="9" customFormat="false" ht="15" hidden="false" customHeight="false" outlineLevel="0" collapsed="false">
      <c r="A9" s="2" t="s">
        <v>10</v>
      </c>
      <c r="B9" s="2" t="s">
        <v>1398</v>
      </c>
      <c r="C9" s="2" t="s">
        <v>1399</v>
      </c>
      <c r="D9" s="2" t="s">
        <v>1400</v>
      </c>
      <c r="E9" s="4" t="n">
        <v>348.55</v>
      </c>
      <c r="F9" s="4" t="n">
        <v>31.69</v>
      </c>
      <c r="G9" s="4" t="n">
        <v>316.86</v>
      </c>
      <c r="H9" s="2" t="s">
        <v>1385</v>
      </c>
    </row>
    <row r="10" customFormat="false" ht="15" hidden="false" customHeight="false" outlineLevel="0" collapsed="false">
      <c r="A10" s="2" t="s">
        <v>10</v>
      </c>
      <c r="B10" s="2" t="s">
        <v>1401</v>
      </c>
      <c r="C10" s="2" t="s">
        <v>1402</v>
      </c>
      <c r="D10" s="2" t="s">
        <v>1403</v>
      </c>
      <c r="E10" s="4" t="n">
        <v>163.94</v>
      </c>
      <c r="F10" s="4" t="n">
        <v>14.91</v>
      </c>
      <c r="G10" s="4" t="n">
        <v>149.03</v>
      </c>
      <c r="H10" s="2" t="s">
        <v>1385</v>
      </c>
    </row>
    <row r="11" customFormat="false" ht="15" hidden="false" customHeight="false" outlineLevel="0" collapsed="false">
      <c r="A11" s="2" t="s">
        <v>10</v>
      </c>
      <c r="B11" s="2" t="s">
        <v>1404</v>
      </c>
      <c r="C11" s="2" t="s">
        <v>1405</v>
      </c>
      <c r="D11" s="2" t="s">
        <v>1406</v>
      </c>
      <c r="E11" s="4" t="n">
        <v>1024.02</v>
      </c>
      <c r="F11" s="4" t="n">
        <v>93.1</v>
      </c>
      <c r="G11" s="4" t="n">
        <v>930.92</v>
      </c>
      <c r="H11" s="2" t="s">
        <v>1385</v>
      </c>
    </row>
    <row r="12" customFormat="false" ht="15" hidden="false" customHeight="false" outlineLevel="0" collapsed="false">
      <c r="A12" s="2" t="s">
        <v>10</v>
      </c>
      <c r="B12" s="2" t="s">
        <v>634</v>
      </c>
      <c r="C12" s="2" t="s">
        <v>832</v>
      </c>
      <c r="D12" s="2" t="s">
        <v>636</v>
      </c>
      <c r="E12" s="4" t="n">
        <v>114.84</v>
      </c>
      <c r="F12" s="4" t="n">
        <v>10.45</v>
      </c>
      <c r="G12" s="4" t="n">
        <v>104.39</v>
      </c>
      <c r="H12" s="2" t="s">
        <v>1381</v>
      </c>
    </row>
    <row r="13" customFormat="false" ht="15" hidden="false" customHeight="false" outlineLevel="0" collapsed="false">
      <c r="A13" s="2" t="s">
        <v>10</v>
      </c>
      <c r="B13" s="2" t="s">
        <v>1407</v>
      </c>
      <c r="C13" s="2" t="s">
        <v>1408</v>
      </c>
      <c r="D13" s="2" t="s">
        <v>1409</v>
      </c>
      <c r="E13" s="4" t="n">
        <v>514.96</v>
      </c>
      <c r="F13" s="4" t="n">
        <v>46.82</v>
      </c>
      <c r="G13" s="4" t="n">
        <v>468.14</v>
      </c>
      <c r="H13" s="2" t="s">
        <v>1385</v>
      </c>
    </row>
    <row r="14" customFormat="false" ht="15" hidden="false" customHeight="false" outlineLevel="0" collapsed="false">
      <c r="A14" s="2" t="s">
        <v>10</v>
      </c>
      <c r="B14" s="2" t="s">
        <v>1410</v>
      </c>
      <c r="C14" s="2" t="s">
        <v>1411</v>
      </c>
      <c r="D14" s="2" t="s">
        <v>1412</v>
      </c>
      <c r="E14" s="4" t="n">
        <v>372.67</v>
      </c>
      <c r="F14" s="4" t="n">
        <v>33.89</v>
      </c>
      <c r="G14" s="4" t="n">
        <v>338.78</v>
      </c>
      <c r="H14" s="2" t="s">
        <v>1385</v>
      </c>
    </row>
    <row r="15" customFormat="false" ht="15" hidden="false" customHeight="false" outlineLevel="0" collapsed="false">
      <c r="A15" s="2" t="s">
        <v>10</v>
      </c>
      <c r="B15" s="2" t="s">
        <v>1413</v>
      </c>
      <c r="C15" s="2" t="s">
        <v>1414</v>
      </c>
      <c r="D15" s="2" t="s">
        <v>1415</v>
      </c>
      <c r="E15" s="4" t="n">
        <v>239.81</v>
      </c>
      <c r="F15" s="4" t="n">
        <v>21.8</v>
      </c>
      <c r="G15" s="4" t="n">
        <v>218.01</v>
      </c>
      <c r="H15" s="2" t="s">
        <v>1385</v>
      </c>
    </row>
    <row r="16" customFormat="false" ht="15" hidden="false" customHeight="false" outlineLevel="0" collapsed="false">
      <c r="A16" s="2" t="s">
        <v>10</v>
      </c>
      <c r="B16" s="2" t="s">
        <v>654</v>
      </c>
      <c r="C16" s="2" t="s">
        <v>834</v>
      </c>
      <c r="D16" s="2" t="s">
        <v>656</v>
      </c>
      <c r="E16" s="4" t="n">
        <v>92.68</v>
      </c>
      <c r="F16" s="4" t="n">
        <v>8.43</v>
      </c>
      <c r="G16" s="4" t="n">
        <v>84.25</v>
      </c>
      <c r="H16" s="2" t="s">
        <v>1381</v>
      </c>
    </row>
    <row r="17" customFormat="false" ht="15" hidden="false" customHeight="false" outlineLevel="0" collapsed="false">
      <c r="A17" s="2" t="s">
        <v>10</v>
      </c>
      <c r="B17" s="2" t="s">
        <v>1416</v>
      </c>
      <c r="C17" s="2" t="s">
        <v>1417</v>
      </c>
      <c r="D17" s="2" t="s">
        <v>1418</v>
      </c>
      <c r="E17" s="4" t="n">
        <v>103.2</v>
      </c>
      <c r="F17" s="4" t="n">
        <v>9.38</v>
      </c>
      <c r="G17" s="4" t="n">
        <v>93.82</v>
      </c>
      <c r="H17" s="2" t="s">
        <v>1385</v>
      </c>
    </row>
    <row r="18" customFormat="false" ht="15" hidden="false" customHeight="false" outlineLevel="0" collapsed="false">
      <c r="A18" s="2" t="s">
        <v>10</v>
      </c>
      <c r="B18" s="2" t="s">
        <v>1419</v>
      </c>
      <c r="C18" s="2" t="s">
        <v>1420</v>
      </c>
      <c r="D18" s="2" t="s">
        <v>1421</v>
      </c>
      <c r="E18" s="4" t="n">
        <v>683.77</v>
      </c>
      <c r="F18" s="4" t="n">
        <v>62.17</v>
      </c>
      <c r="G18" s="4" t="n">
        <v>621.6</v>
      </c>
      <c r="H18" s="2" t="s">
        <v>1385</v>
      </c>
    </row>
    <row r="19" customFormat="false" ht="15" hidden="false" customHeight="false" outlineLevel="0" collapsed="false">
      <c r="A19" s="2" t="s">
        <v>10</v>
      </c>
      <c r="B19" s="2" t="s">
        <v>1422</v>
      </c>
      <c r="C19" s="2" t="s">
        <v>1423</v>
      </c>
      <c r="D19" s="2" t="s">
        <v>1424</v>
      </c>
      <c r="E19" s="4" t="n">
        <v>684.48</v>
      </c>
      <c r="F19" s="4" t="n">
        <v>62.23</v>
      </c>
      <c r="G19" s="4" t="n">
        <v>622.25</v>
      </c>
      <c r="H19" s="2" t="s">
        <v>1385</v>
      </c>
    </row>
    <row r="20" customFormat="false" ht="15" hidden="false" customHeight="false" outlineLevel="0" collapsed="false">
      <c r="A20" s="2" t="s">
        <v>10</v>
      </c>
      <c r="B20" s="2" t="s">
        <v>690</v>
      </c>
      <c r="C20" s="2" t="s">
        <v>872</v>
      </c>
      <c r="D20" s="2" t="s">
        <v>692</v>
      </c>
      <c r="E20" s="4" t="n">
        <v>108.85</v>
      </c>
      <c r="F20" s="4" t="n">
        <v>9.9</v>
      </c>
      <c r="G20" s="4" t="n">
        <v>98.95</v>
      </c>
      <c r="H20" s="2" t="s">
        <v>1381</v>
      </c>
    </row>
    <row r="21" customFormat="false" ht="15" hidden="false" customHeight="false" outlineLevel="0" collapsed="false">
      <c r="A21" s="2" t="s">
        <v>10</v>
      </c>
      <c r="B21" s="2" t="s">
        <v>670</v>
      </c>
      <c r="C21" s="2" t="s">
        <v>870</v>
      </c>
      <c r="D21" s="2" t="s">
        <v>672</v>
      </c>
      <c r="E21" s="4" t="n">
        <v>89.99</v>
      </c>
      <c r="F21" s="4" t="n">
        <v>8.18</v>
      </c>
      <c r="G21" s="4" t="n">
        <v>81.81</v>
      </c>
      <c r="H21" s="2" t="s">
        <v>1381</v>
      </c>
    </row>
    <row r="22" customFormat="false" ht="15" hidden="false" customHeight="false" outlineLevel="0" collapsed="false">
      <c r="A22" s="2" t="s">
        <v>10</v>
      </c>
      <c r="B22" s="2" t="s">
        <v>1425</v>
      </c>
      <c r="C22" s="2" t="s">
        <v>1426</v>
      </c>
      <c r="D22" s="2" t="s">
        <v>1427</v>
      </c>
      <c r="E22" s="4" t="n">
        <v>222.37</v>
      </c>
      <c r="F22" s="4" t="n">
        <v>20.22</v>
      </c>
      <c r="G22" s="4" t="n">
        <v>202.15</v>
      </c>
      <c r="H22" s="2" t="s">
        <v>1385</v>
      </c>
    </row>
    <row r="23" customFormat="false" ht="15" hidden="false" customHeight="false" outlineLevel="0" collapsed="false">
      <c r="A23" s="2" t="s">
        <v>10</v>
      </c>
      <c r="B23" s="2" t="s">
        <v>1428</v>
      </c>
      <c r="C23" s="2" t="s">
        <v>1429</v>
      </c>
      <c r="D23" s="2" t="s">
        <v>1430</v>
      </c>
      <c r="E23" s="4" t="n">
        <v>118.65</v>
      </c>
      <c r="F23" s="4" t="n">
        <v>10.78</v>
      </c>
      <c r="G23" s="4" t="n">
        <v>107.87</v>
      </c>
      <c r="H23" s="2" t="s">
        <v>1385</v>
      </c>
    </row>
    <row r="24" customFormat="false" ht="15" hidden="false" customHeight="false" outlineLevel="0" collapsed="false">
      <c r="A24" s="2" t="s">
        <v>10</v>
      </c>
      <c r="B24" s="2" t="s">
        <v>1431</v>
      </c>
      <c r="C24" s="2" t="s">
        <v>1432</v>
      </c>
      <c r="D24" s="2" t="s">
        <v>1433</v>
      </c>
      <c r="E24" s="4" t="n">
        <v>442.74</v>
      </c>
      <c r="F24" s="4" t="n">
        <v>40.25</v>
      </c>
      <c r="G24" s="4" t="n">
        <v>402.49</v>
      </c>
      <c r="H24" s="2" t="s">
        <v>1385</v>
      </c>
    </row>
    <row r="25" customFormat="false" ht="15" hidden="false" customHeight="false" outlineLevel="0" collapsed="false">
      <c r="A25" s="2" t="s">
        <v>10</v>
      </c>
      <c r="B25" s="2" t="s">
        <v>1434</v>
      </c>
      <c r="C25" s="2" t="s">
        <v>1435</v>
      </c>
      <c r="D25" s="2" t="s">
        <v>1436</v>
      </c>
      <c r="E25" s="4" t="n">
        <v>261.84</v>
      </c>
      <c r="F25" s="4" t="n">
        <v>23.8</v>
      </c>
      <c r="G25" s="4" t="n">
        <v>238.04</v>
      </c>
      <c r="H25" s="2" t="s">
        <v>1385</v>
      </c>
    </row>
    <row r="26" customFormat="false" ht="15" hidden="false" customHeight="false" outlineLevel="0" collapsed="false">
      <c r="A26" s="2" t="s">
        <v>10</v>
      </c>
      <c r="B26" s="2" t="s">
        <v>1437</v>
      </c>
      <c r="C26" s="2" t="s">
        <v>1438</v>
      </c>
      <c r="D26" s="2" t="s">
        <v>1439</v>
      </c>
      <c r="E26" s="4" t="n">
        <v>649.35</v>
      </c>
      <c r="F26" s="4" t="n">
        <v>59.03</v>
      </c>
      <c r="G26" s="4" t="n">
        <v>590.32</v>
      </c>
      <c r="H26" s="2" t="s">
        <v>1385</v>
      </c>
    </row>
    <row r="27" customFormat="false" ht="15" hidden="false" customHeight="false" outlineLevel="0" collapsed="false">
      <c r="A27" s="2" t="s">
        <v>10</v>
      </c>
      <c r="B27" s="2" t="s">
        <v>1440</v>
      </c>
      <c r="C27" s="2" t="s">
        <v>1441</v>
      </c>
      <c r="D27" s="2" t="s">
        <v>1442</v>
      </c>
      <c r="E27" s="4" t="n">
        <v>181.08</v>
      </c>
      <c r="F27" s="4" t="n">
        <v>16.47</v>
      </c>
      <c r="G27" s="4" t="n">
        <v>164.61</v>
      </c>
      <c r="H27" s="2" t="s">
        <v>1385</v>
      </c>
    </row>
    <row r="28" customFormat="false" ht="15" hidden="false" customHeight="false" outlineLevel="0" collapsed="false">
      <c r="A28" s="2" t="s">
        <v>10</v>
      </c>
      <c r="B28" s="2" t="s">
        <v>710</v>
      </c>
      <c r="C28" s="2" t="s">
        <v>883</v>
      </c>
      <c r="D28" s="2" t="s">
        <v>712</v>
      </c>
      <c r="E28" s="4" t="n">
        <v>91.33</v>
      </c>
      <c r="F28" s="4" t="n">
        <v>8.3</v>
      </c>
      <c r="G28" s="4" t="n">
        <v>83.03</v>
      </c>
      <c r="H28" s="2" t="s">
        <v>1381</v>
      </c>
    </row>
    <row r="29" customFormat="false" ht="15" hidden="false" customHeight="false" outlineLevel="0" collapsed="false">
      <c r="A29" s="2" t="s">
        <v>10</v>
      </c>
      <c r="B29" s="2" t="s">
        <v>683</v>
      </c>
      <c r="C29" s="2" t="s">
        <v>887</v>
      </c>
      <c r="D29" s="2" t="s">
        <v>685</v>
      </c>
      <c r="E29" s="4" t="n">
        <v>114.36</v>
      </c>
      <c r="F29" s="4" t="n">
        <v>10.4</v>
      </c>
      <c r="G29" s="4" t="n">
        <v>103.96</v>
      </c>
      <c r="H29" s="2" t="s">
        <v>1381</v>
      </c>
    </row>
    <row r="30" customFormat="false" ht="15" hidden="false" customHeight="false" outlineLevel="0" collapsed="false">
      <c r="A30" s="2" t="s">
        <v>10</v>
      </c>
      <c r="B30" s="2" t="s">
        <v>845</v>
      </c>
      <c r="C30" s="2" t="s">
        <v>908</v>
      </c>
      <c r="D30" s="2" t="s">
        <v>847</v>
      </c>
      <c r="E30" s="4" t="n">
        <v>92.24</v>
      </c>
      <c r="F30" s="4" t="n">
        <v>8.38</v>
      </c>
      <c r="G30" s="4" t="n">
        <v>83.86</v>
      </c>
      <c r="H30" s="2" t="s">
        <v>1381</v>
      </c>
    </row>
    <row r="31" customFormat="false" ht="15" hidden="false" customHeight="false" outlineLevel="0" collapsed="false">
      <c r="A31" s="2" t="s">
        <v>10</v>
      </c>
      <c r="B31" s="2" t="s">
        <v>1443</v>
      </c>
      <c r="C31" s="2" t="s">
        <v>1444</v>
      </c>
      <c r="D31" s="2" t="s">
        <v>1445</v>
      </c>
      <c r="E31" s="4" t="n">
        <v>782.08</v>
      </c>
      <c r="F31" s="4" t="n">
        <v>71.11</v>
      </c>
      <c r="G31" s="4" t="n">
        <v>710.97</v>
      </c>
      <c r="H31" s="2" t="s">
        <v>1385</v>
      </c>
    </row>
    <row r="32" customFormat="false" ht="15" hidden="false" customHeight="false" outlineLevel="0" collapsed="false">
      <c r="A32" s="2" t="s">
        <v>10</v>
      </c>
      <c r="B32" s="2" t="s">
        <v>757</v>
      </c>
      <c r="C32" s="2" t="s">
        <v>868</v>
      </c>
      <c r="D32" s="2" t="s">
        <v>759</v>
      </c>
      <c r="E32" s="4" t="n">
        <v>107.05</v>
      </c>
      <c r="F32" s="4" t="n">
        <v>9.73</v>
      </c>
      <c r="G32" s="4" t="n">
        <v>97.32</v>
      </c>
      <c r="H32" s="2" t="s">
        <v>1381</v>
      </c>
    </row>
    <row r="33" customFormat="false" ht="15" hidden="false" customHeight="false" outlineLevel="0" collapsed="false">
      <c r="A33" s="2" t="s">
        <v>10</v>
      </c>
      <c r="B33" s="2" t="s">
        <v>805</v>
      </c>
      <c r="C33" s="2" t="s">
        <v>840</v>
      </c>
      <c r="D33" s="2" t="s">
        <v>807</v>
      </c>
      <c r="E33" s="4" t="n">
        <v>98.66</v>
      </c>
      <c r="F33" s="4" t="n">
        <v>8.97</v>
      </c>
      <c r="G33" s="4" t="n">
        <v>89.69</v>
      </c>
      <c r="H33" s="2" t="s">
        <v>1381</v>
      </c>
    </row>
    <row r="34" customFormat="false" ht="15" hidden="false" customHeight="false" outlineLevel="0" collapsed="false">
      <c r="A34" s="2" t="s">
        <v>10</v>
      </c>
      <c r="B34" s="2" t="s">
        <v>1446</v>
      </c>
      <c r="C34" s="2" t="s">
        <v>1447</v>
      </c>
      <c r="D34" s="2" t="s">
        <v>1448</v>
      </c>
      <c r="E34" s="4" t="n">
        <v>274.72</v>
      </c>
      <c r="F34" s="4" t="n">
        <v>24.98</v>
      </c>
      <c r="G34" s="4" t="n">
        <v>249.74</v>
      </c>
      <c r="H34" s="2" t="s">
        <v>1385</v>
      </c>
    </row>
    <row r="35" customFormat="false" ht="15" hidden="false" customHeight="false" outlineLevel="0" collapsed="false">
      <c r="A35" s="2" t="s">
        <v>10</v>
      </c>
      <c r="B35" s="2" t="s">
        <v>1449</v>
      </c>
      <c r="C35" s="2" t="s">
        <v>1450</v>
      </c>
      <c r="D35" s="2" t="s">
        <v>1451</v>
      </c>
      <c r="E35" s="4" t="n">
        <v>212.49</v>
      </c>
      <c r="F35" s="4" t="n">
        <v>19.32</v>
      </c>
      <c r="G35" s="4" t="n">
        <v>193.17</v>
      </c>
      <c r="H35" s="2" t="s">
        <v>1385</v>
      </c>
    </row>
    <row r="36" customFormat="false" ht="15" hidden="false" customHeight="false" outlineLevel="0" collapsed="false">
      <c r="A36" s="2" t="s">
        <v>10</v>
      </c>
      <c r="B36" s="2" t="s">
        <v>1452</v>
      </c>
      <c r="C36" s="2" t="s">
        <v>1453</v>
      </c>
      <c r="D36" s="2" t="s">
        <v>1454</v>
      </c>
      <c r="E36" s="4" t="n">
        <v>503.38</v>
      </c>
      <c r="F36" s="4" t="n">
        <v>46.66</v>
      </c>
      <c r="G36" s="4" t="n">
        <v>456.72</v>
      </c>
      <c r="H36" s="2" t="s">
        <v>1385</v>
      </c>
    </row>
    <row r="37" customFormat="false" ht="15" hidden="false" customHeight="false" outlineLevel="0" collapsed="false">
      <c r="A37" s="2" t="s">
        <v>10</v>
      </c>
      <c r="B37" s="2" t="s">
        <v>1455</v>
      </c>
      <c r="C37" s="2" t="s">
        <v>1456</v>
      </c>
      <c r="D37" s="2" t="s">
        <v>1457</v>
      </c>
      <c r="E37" s="4" t="n">
        <v>94.02</v>
      </c>
      <c r="F37" s="4" t="n">
        <v>8.55</v>
      </c>
      <c r="G37" s="4" t="n">
        <v>85.47</v>
      </c>
      <c r="H37" s="2" t="s">
        <v>1385</v>
      </c>
    </row>
    <row r="38" customFormat="false" ht="15" hidden="false" customHeight="false" outlineLevel="0" collapsed="false">
      <c r="A38" s="2" t="s">
        <v>10</v>
      </c>
      <c r="B38" s="2" t="s">
        <v>792</v>
      </c>
      <c r="C38" s="2" t="s">
        <v>853</v>
      </c>
      <c r="D38" s="2" t="s">
        <v>794</v>
      </c>
      <c r="E38" s="4" t="n">
        <v>95.18</v>
      </c>
      <c r="F38" s="4" t="n">
        <v>8.66</v>
      </c>
      <c r="G38" s="4" t="n">
        <v>86.52</v>
      </c>
      <c r="H38" s="2" t="s">
        <v>1381</v>
      </c>
    </row>
    <row r="39" customFormat="false" ht="15" hidden="false" customHeight="false" outlineLevel="0" collapsed="false">
      <c r="A39" s="2" t="s">
        <v>10</v>
      </c>
      <c r="B39" s="2" t="s">
        <v>1458</v>
      </c>
      <c r="C39" s="2" t="s">
        <v>1459</v>
      </c>
      <c r="D39" s="2" t="s">
        <v>1460</v>
      </c>
      <c r="E39" s="4" t="n">
        <v>853.96</v>
      </c>
      <c r="F39" s="4" t="n">
        <v>77.63</v>
      </c>
      <c r="G39" s="4" t="n">
        <v>776.33</v>
      </c>
      <c r="H39" s="2" t="s">
        <v>1385</v>
      </c>
    </row>
    <row r="40" customFormat="false" ht="15" hidden="false" customHeight="false" outlineLevel="0" collapsed="false">
      <c r="A40" s="2" t="s">
        <v>10</v>
      </c>
      <c r="B40" s="2" t="s">
        <v>478</v>
      </c>
      <c r="C40" s="2" t="s">
        <v>842</v>
      </c>
      <c r="D40" s="2" t="s">
        <v>480</v>
      </c>
      <c r="E40" s="4" t="n">
        <v>103.97</v>
      </c>
      <c r="F40" s="4" t="n">
        <v>9.46</v>
      </c>
      <c r="G40" s="4" t="n">
        <v>94.51</v>
      </c>
      <c r="H40" s="2" t="s">
        <v>1381</v>
      </c>
    </row>
    <row r="41" customFormat="false" ht="15" hidden="false" customHeight="false" outlineLevel="0" collapsed="false">
      <c r="A41" s="2" t="s">
        <v>10</v>
      </c>
      <c r="B41" s="2" t="s">
        <v>1461</v>
      </c>
      <c r="C41" s="2" t="s">
        <v>1462</v>
      </c>
      <c r="D41" s="2" t="s">
        <v>1463</v>
      </c>
      <c r="E41" s="4" t="n">
        <v>105.22</v>
      </c>
      <c r="F41" s="4" t="n">
        <v>9.56</v>
      </c>
      <c r="G41" s="4" t="n">
        <v>95.66</v>
      </c>
      <c r="H41" s="2" t="s">
        <v>1385</v>
      </c>
    </row>
    <row r="42" customFormat="false" ht="15" hidden="false" customHeight="false" outlineLevel="0" collapsed="false">
      <c r="A42" s="2" t="s">
        <v>10</v>
      </c>
      <c r="B42" s="2" t="s">
        <v>742</v>
      </c>
      <c r="C42" s="2" t="s">
        <v>771</v>
      </c>
      <c r="D42" s="2" t="s">
        <v>744</v>
      </c>
      <c r="E42" s="4" t="n">
        <v>120.05</v>
      </c>
      <c r="F42" s="4" t="n">
        <v>10.91</v>
      </c>
      <c r="G42" s="4" t="n">
        <v>109.14</v>
      </c>
      <c r="H42" s="2" t="s">
        <v>1381</v>
      </c>
    </row>
    <row r="43" customFormat="false" ht="15" hidden="false" customHeight="false" outlineLevel="0" collapsed="false">
      <c r="A43" s="2" t="s">
        <v>10</v>
      </c>
      <c r="B43" s="2" t="s">
        <v>774</v>
      </c>
      <c r="C43" s="2" t="s">
        <v>851</v>
      </c>
      <c r="D43" s="2" t="s">
        <v>776</v>
      </c>
      <c r="E43" s="4" t="n">
        <v>106.14</v>
      </c>
      <c r="F43" s="4" t="n">
        <v>9.65</v>
      </c>
      <c r="G43" s="4" t="n">
        <v>96.49</v>
      </c>
      <c r="H43" s="2" t="s">
        <v>1381</v>
      </c>
    </row>
    <row r="44" customFormat="false" ht="15" hidden="false" customHeight="false" outlineLevel="0" collapsed="false">
      <c r="A44" s="2" t="s">
        <v>10</v>
      </c>
      <c r="B44" s="2" t="s">
        <v>727</v>
      </c>
      <c r="C44" s="2" t="s">
        <v>728</v>
      </c>
      <c r="D44" s="2" t="s">
        <v>729</v>
      </c>
      <c r="E44" s="4" t="n">
        <v>111.41</v>
      </c>
      <c r="F44" s="4" t="n">
        <v>10.13</v>
      </c>
      <c r="G44" s="4" t="n">
        <v>101.28</v>
      </c>
      <c r="H44" s="2" t="s">
        <v>1381</v>
      </c>
    </row>
    <row r="45" customFormat="false" ht="15" hidden="false" customHeight="false" outlineLevel="0" collapsed="false">
      <c r="A45" s="2" t="s">
        <v>10</v>
      </c>
      <c r="B45" s="2" t="s">
        <v>779</v>
      </c>
      <c r="C45" s="2" t="s">
        <v>838</v>
      </c>
      <c r="D45" s="2" t="s">
        <v>781</v>
      </c>
      <c r="E45" s="4" t="n">
        <v>91.22</v>
      </c>
      <c r="F45" s="4" t="n">
        <v>8.29</v>
      </c>
      <c r="G45" s="4" t="n">
        <v>82.93</v>
      </c>
      <c r="H45" s="2" t="s">
        <v>1381</v>
      </c>
    </row>
    <row r="46" customFormat="false" ht="15" hidden="false" customHeight="false" outlineLevel="0" collapsed="false">
      <c r="A46" s="2" t="s">
        <v>10</v>
      </c>
      <c r="B46" s="2" t="s">
        <v>1464</v>
      </c>
      <c r="C46" s="2" t="s">
        <v>1465</v>
      </c>
      <c r="D46" s="2" t="s">
        <v>1466</v>
      </c>
      <c r="E46" s="4" t="n">
        <v>454.42</v>
      </c>
      <c r="F46" s="4" t="n">
        <v>41.31</v>
      </c>
      <c r="G46" s="4" t="n">
        <v>413.11</v>
      </c>
      <c r="H46" s="2" t="s">
        <v>1385</v>
      </c>
    </row>
    <row r="47" customFormat="false" ht="15" hidden="false" customHeight="false" outlineLevel="0" collapsed="false">
      <c r="A47" s="2" t="s">
        <v>10</v>
      </c>
      <c r="B47" s="2" t="s">
        <v>1467</v>
      </c>
      <c r="C47" s="2" t="s">
        <v>1468</v>
      </c>
      <c r="D47" s="2" t="s">
        <v>1469</v>
      </c>
      <c r="E47" s="4" t="n">
        <v>648.51</v>
      </c>
      <c r="F47" s="4" t="n">
        <v>58.96</v>
      </c>
      <c r="G47" s="4" t="n">
        <v>589.55</v>
      </c>
      <c r="H47" s="2" t="s">
        <v>1385</v>
      </c>
    </row>
    <row r="48" customFormat="false" ht="15" hidden="false" customHeight="false" outlineLevel="0" collapsed="false">
      <c r="A48" s="2" t="s">
        <v>10</v>
      </c>
      <c r="B48" s="2" t="s">
        <v>764</v>
      </c>
      <c r="C48" s="2" t="s">
        <v>800</v>
      </c>
      <c r="D48" s="2" t="s">
        <v>766</v>
      </c>
      <c r="E48" s="4" t="n">
        <v>141.34</v>
      </c>
      <c r="F48" s="4" t="n">
        <v>12.85</v>
      </c>
      <c r="G48" s="4" t="n">
        <v>128.49</v>
      </c>
      <c r="H48" s="2" t="s">
        <v>1381</v>
      </c>
    </row>
    <row r="49" customFormat="false" ht="15" hidden="false" customHeight="false" outlineLevel="0" collapsed="false">
      <c r="A49" s="2" t="s">
        <v>10</v>
      </c>
      <c r="B49" s="2" t="s">
        <v>1470</v>
      </c>
      <c r="C49" s="2" t="s">
        <v>1471</v>
      </c>
      <c r="D49" s="2" t="s">
        <v>1472</v>
      </c>
      <c r="E49" s="4" t="n">
        <v>216.42</v>
      </c>
      <c r="F49" s="4" t="n">
        <v>19.68</v>
      </c>
      <c r="G49" s="4" t="n">
        <v>196.74</v>
      </c>
      <c r="H49" s="2" t="s">
        <v>1385</v>
      </c>
    </row>
    <row r="50" customFormat="false" ht="15" hidden="false" customHeight="false" outlineLevel="0" collapsed="false">
      <c r="A50" s="2" t="s">
        <v>10</v>
      </c>
      <c r="B50" s="2" t="s">
        <v>750</v>
      </c>
      <c r="C50" s="2" t="s">
        <v>769</v>
      </c>
      <c r="D50" s="2" t="s">
        <v>752</v>
      </c>
      <c r="E50" s="4" t="n">
        <v>97.64</v>
      </c>
      <c r="F50" s="4" t="n">
        <v>8.88</v>
      </c>
      <c r="G50" s="4" t="n">
        <v>88.76</v>
      </c>
      <c r="H50" s="2" t="s">
        <v>1381</v>
      </c>
    </row>
    <row r="51" customFormat="false" ht="15" hidden="false" customHeight="false" outlineLevel="0" collapsed="false">
      <c r="A51" s="2" t="s">
        <v>10</v>
      </c>
      <c r="B51" s="2" t="s">
        <v>1473</v>
      </c>
      <c r="C51" s="2" t="s">
        <v>1474</v>
      </c>
      <c r="D51" s="2" t="s">
        <v>1475</v>
      </c>
      <c r="E51" s="4" t="n">
        <v>342.28</v>
      </c>
      <c r="F51" s="4" t="n">
        <v>31.12</v>
      </c>
      <c r="G51" s="4" t="n">
        <v>311.16</v>
      </c>
      <c r="H51" s="2" t="s">
        <v>1385</v>
      </c>
    </row>
    <row r="52" customFormat="false" ht="15" hidden="false" customHeight="false" outlineLevel="0" collapsed="false">
      <c r="A52" s="2" t="s">
        <v>10</v>
      </c>
      <c r="B52" s="2" t="s">
        <v>1476</v>
      </c>
      <c r="C52" s="2" t="s">
        <v>1477</v>
      </c>
      <c r="D52" s="2" t="s">
        <v>1478</v>
      </c>
      <c r="E52" s="4" t="n">
        <v>114.08</v>
      </c>
      <c r="F52" s="4" t="n">
        <v>10.38</v>
      </c>
      <c r="G52" s="4" t="n">
        <v>103.7</v>
      </c>
      <c r="H52" s="2" t="s">
        <v>1385</v>
      </c>
    </row>
    <row r="53" customFormat="false" ht="15" hidden="false" customHeight="false" outlineLevel="0" collapsed="false">
      <c r="A53" s="2" t="s">
        <v>10</v>
      </c>
      <c r="B53" s="2" t="s">
        <v>704</v>
      </c>
      <c r="C53" s="2" t="s">
        <v>798</v>
      </c>
      <c r="D53" s="2" t="s">
        <v>706</v>
      </c>
      <c r="E53" s="4" t="n">
        <v>102.76</v>
      </c>
      <c r="F53" s="4" t="n">
        <v>9.35</v>
      </c>
      <c r="G53" s="4" t="n">
        <v>93.41</v>
      </c>
      <c r="H53" s="2" t="s">
        <v>1381</v>
      </c>
    </row>
    <row r="54" customFormat="false" ht="15" hidden="false" customHeight="false" outlineLevel="0" collapsed="false">
      <c r="A54" s="2" t="s">
        <v>10</v>
      </c>
      <c r="B54" s="2" t="s">
        <v>786</v>
      </c>
      <c r="C54" s="2" t="s">
        <v>830</v>
      </c>
      <c r="D54" s="2" t="s">
        <v>788</v>
      </c>
      <c r="E54" s="4" t="n">
        <v>119.98</v>
      </c>
      <c r="F54" s="4" t="n">
        <v>10.91</v>
      </c>
      <c r="G54" s="4" t="n">
        <v>109.07</v>
      </c>
      <c r="H54" s="2" t="s">
        <v>1381</v>
      </c>
    </row>
    <row r="55" customFormat="false" ht="15" hidden="false" customHeight="false" outlineLevel="0" collapsed="false">
      <c r="A55" s="2" t="s">
        <v>10</v>
      </c>
      <c r="B55" s="2" t="s">
        <v>1479</v>
      </c>
      <c r="C55" s="2" t="s">
        <v>1480</v>
      </c>
      <c r="D55" s="2" t="s">
        <v>1481</v>
      </c>
      <c r="E55" s="4" t="n">
        <v>110.86</v>
      </c>
      <c r="F55" s="4" t="n">
        <v>10.09</v>
      </c>
      <c r="G55" s="4" t="n">
        <v>100.77</v>
      </c>
      <c r="H55" s="2" t="s">
        <v>1385</v>
      </c>
    </row>
    <row r="56" customFormat="false" ht="15" hidden="false" customHeight="false" outlineLevel="0" collapsed="false">
      <c r="A56" s="2" t="s">
        <v>10</v>
      </c>
      <c r="B56" s="2" t="s">
        <v>1482</v>
      </c>
      <c r="C56" s="2" t="s">
        <v>1483</v>
      </c>
      <c r="D56" s="2" t="s">
        <v>1484</v>
      </c>
      <c r="E56" s="4" t="n">
        <v>550.23</v>
      </c>
      <c r="F56" s="4" t="n">
        <v>50.03</v>
      </c>
      <c r="G56" s="4" t="n">
        <v>500.2</v>
      </c>
      <c r="H56" s="2" t="s">
        <v>1385</v>
      </c>
    </row>
    <row r="57" customFormat="false" ht="15" hidden="false" customHeight="false" outlineLevel="0" collapsed="false">
      <c r="A57" s="2" t="s">
        <v>10</v>
      </c>
      <c r="B57" s="2" t="s">
        <v>648</v>
      </c>
      <c r="C57" s="2" t="s">
        <v>733</v>
      </c>
      <c r="D57" s="2" t="s">
        <v>650</v>
      </c>
      <c r="E57" s="4" t="n">
        <v>148.21</v>
      </c>
      <c r="F57" s="4" t="n">
        <v>13.48</v>
      </c>
      <c r="G57" s="4" t="n">
        <v>134.73</v>
      </c>
      <c r="H57" s="2" t="s">
        <v>1381</v>
      </c>
    </row>
    <row r="58" customFormat="false" ht="15" hidden="false" customHeight="false" outlineLevel="0" collapsed="false">
      <c r="A58" s="2" t="s">
        <v>10</v>
      </c>
      <c r="B58" s="2" t="s">
        <v>1485</v>
      </c>
      <c r="C58" s="2" t="s">
        <v>1486</v>
      </c>
      <c r="D58" s="2" t="s">
        <v>1487</v>
      </c>
      <c r="E58" s="4" t="n">
        <v>527.09</v>
      </c>
      <c r="F58" s="4" t="n">
        <v>47.92</v>
      </c>
      <c r="G58" s="4" t="n">
        <v>479.17</v>
      </c>
      <c r="H58" s="2" t="s">
        <v>1385</v>
      </c>
    </row>
    <row r="59" customFormat="false" ht="15" hidden="false" customHeight="false" outlineLevel="0" collapsed="false">
      <c r="A59" s="2" t="s">
        <v>10</v>
      </c>
      <c r="B59" s="2" t="s">
        <v>1488</v>
      </c>
      <c r="C59" s="2" t="s">
        <v>1489</v>
      </c>
      <c r="D59" s="2" t="s">
        <v>1490</v>
      </c>
      <c r="E59" s="4" t="n">
        <v>403.5</v>
      </c>
      <c r="F59" s="4" t="n">
        <v>36.68</v>
      </c>
      <c r="G59" s="4" t="n">
        <v>366.82</v>
      </c>
      <c r="H59" s="2" t="s">
        <v>1385</v>
      </c>
    </row>
    <row r="60" customFormat="false" ht="15" hidden="false" customHeight="false" outlineLevel="0" collapsed="false">
      <c r="A60" s="2" t="s">
        <v>10</v>
      </c>
      <c r="B60" s="2" t="s">
        <v>643</v>
      </c>
      <c r="C60" s="2" t="s">
        <v>724</v>
      </c>
      <c r="D60" s="2" t="s">
        <v>645</v>
      </c>
      <c r="E60" s="4" t="n">
        <v>141.72</v>
      </c>
      <c r="F60" s="4" t="n">
        <v>12.89</v>
      </c>
      <c r="G60" s="4" t="n">
        <v>128.83</v>
      </c>
      <c r="H60" s="2" t="s">
        <v>1381</v>
      </c>
    </row>
    <row r="61" customFormat="false" ht="15" hidden="false" customHeight="false" outlineLevel="0" collapsed="false">
      <c r="A61" s="2" t="s">
        <v>10</v>
      </c>
      <c r="B61" s="2" t="s">
        <v>858</v>
      </c>
      <c r="C61" s="2" t="s">
        <v>864</v>
      </c>
      <c r="D61" s="2" t="s">
        <v>860</v>
      </c>
      <c r="E61" s="4" t="n">
        <v>100.33</v>
      </c>
      <c r="F61" s="4" t="n">
        <v>9.12</v>
      </c>
      <c r="G61" s="4" t="n">
        <v>91.21</v>
      </c>
      <c r="H61" s="2" t="s">
        <v>1381</v>
      </c>
    </row>
    <row r="62" customFormat="false" ht="15" hidden="false" customHeight="false" outlineLevel="0" collapsed="false">
      <c r="A62" s="2" t="s">
        <v>10</v>
      </c>
      <c r="B62" s="2" t="s">
        <v>1491</v>
      </c>
      <c r="C62" s="2" t="s">
        <v>1492</v>
      </c>
      <c r="D62" s="2" t="s">
        <v>1493</v>
      </c>
      <c r="E62" s="4" t="n">
        <v>117.05</v>
      </c>
      <c r="F62" s="4" t="n">
        <v>10.65</v>
      </c>
      <c r="G62" s="4" t="n">
        <v>106.4</v>
      </c>
      <c r="H62" s="2" t="s">
        <v>1385</v>
      </c>
    </row>
    <row r="63" customFormat="false" ht="15" hidden="false" customHeight="false" outlineLevel="0" collapsed="false">
      <c r="A63" s="2" t="s">
        <v>10</v>
      </c>
      <c r="B63" s="2" t="s">
        <v>1494</v>
      </c>
      <c r="C63" s="2" t="s">
        <v>1495</v>
      </c>
      <c r="D63" s="2" t="s">
        <v>1496</v>
      </c>
      <c r="E63" s="4" t="n">
        <v>35.81</v>
      </c>
      <c r="F63" s="4" t="n">
        <v>3.26</v>
      </c>
      <c r="G63" s="4" t="n">
        <v>32.55</v>
      </c>
      <c r="H63" s="2" t="s">
        <v>1385</v>
      </c>
    </row>
    <row r="64" customFormat="false" ht="15" hidden="false" customHeight="false" outlineLevel="0" collapsed="false">
      <c r="A64" s="2" t="s">
        <v>10</v>
      </c>
      <c r="B64" s="2" t="s">
        <v>938</v>
      </c>
      <c r="C64" s="2" t="s">
        <v>1076</v>
      </c>
      <c r="D64" s="2" t="s">
        <v>940</v>
      </c>
      <c r="E64" s="4" t="n">
        <v>57.21</v>
      </c>
      <c r="F64" s="4" t="n">
        <v>5.21</v>
      </c>
      <c r="G64" s="4" t="n">
        <v>52</v>
      </c>
      <c r="H64" s="2" t="s">
        <v>1381</v>
      </c>
    </row>
    <row r="65" customFormat="false" ht="15" hidden="false" customHeight="false" outlineLevel="0" collapsed="false">
      <c r="A65" s="2" t="s">
        <v>10</v>
      </c>
      <c r="B65" s="2" t="s">
        <v>1497</v>
      </c>
      <c r="C65" s="2" t="s">
        <v>1498</v>
      </c>
      <c r="D65" s="2" t="s">
        <v>1499</v>
      </c>
      <c r="E65" s="4" t="n">
        <v>137.68</v>
      </c>
      <c r="F65" s="4" t="n">
        <v>12.52</v>
      </c>
      <c r="G65" s="4" t="n">
        <v>125.16</v>
      </c>
      <c r="H65" s="2" t="s">
        <v>1385</v>
      </c>
    </row>
    <row r="66" customFormat="false" ht="15" hidden="false" customHeight="false" outlineLevel="0" collapsed="false">
      <c r="A66" s="2" t="s">
        <v>10</v>
      </c>
      <c r="B66" s="2" t="s">
        <v>1500</v>
      </c>
      <c r="C66" s="2" t="s">
        <v>1501</v>
      </c>
      <c r="D66" s="2" t="s">
        <v>1502</v>
      </c>
      <c r="E66" s="4" t="n">
        <v>0</v>
      </c>
      <c r="F66" s="4" t="n">
        <v>0</v>
      </c>
      <c r="G66" s="4" t="n">
        <v>0</v>
      </c>
      <c r="H66" s="2" t="s">
        <v>1385</v>
      </c>
    </row>
    <row r="67" customFormat="false" ht="15" hidden="false" customHeight="false" outlineLevel="0" collapsed="false">
      <c r="A67" s="2" t="s">
        <v>10</v>
      </c>
      <c r="B67" s="2" t="s">
        <v>1503</v>
      </c>
      <c r="C67" s="2" t="s">
        <v>1504</v>
      </c>
      <c r="D67" s="2" t="s">
        <v>1505</v>
      </c>
      <c r="E67" s="4" t="n">
        <v>0</v>
      </c>
      <c r="F67" s="4" t="n">
        <v>0</v>
      </c>
      <c r="G67" s="4" t="n">
        <v>0</v>
      </c>
      <c r="H67" s="2" t="s">
        <v>1385</v>
      </c>
    </row>
    <row r="68" customFormat="false" ht="15" hidden="false" customHeight="false" outlineLevel="0" collapsed="false">
      <c r="A68" s="2" t="s">
        <v>10</v>
      </c>
      <c r="B68" s="2" t="s">
        <v>1506</v>
      </c>
      <c r="C68" s="2" t="s">
        <v>1507</v>
      </c>
      <c r="D68" s="2" t="s">
        <v>1508</v>
      </c>
      <c r="E68" s="4" t="n">
        <v>0</v>
      </c>
      <c r="F68" s="4" t="n">
        <v>0</v>
      </c>
      <c r="G68" s="4" t="n">
        <v>0</v>
      </c>
      <c r="H68" s="2" t="s">
        <v>1385</v>
      </c>
    </row>
    <row r="69" customFormat="false" ht="15" hidden="false" customHeight="false" outlineLevel="0" collapsed="false">
      <c r="A69" s="2" t="s">
        <v>10</v>
      </c>
      <c r="B69" s="2" t="s">
        <v>1509</v>
      </c>
      <c r="C69" s="2" t="s">
        <v>1510</v>
      </c>
      <c r="D69" s="2" t="s">
        <v>1511</v>
      </c>
      <c r="E69" s="4" t="n">
        <v>0</v>
      </c>
      <c r="F69" s="4" t="n">
        <v>0</v>
      </c>
      <c r="G69" s="4" t="n">
        <v>0</v>
      </c>
      <c r="H69" s="2" t="s">
        <v>1385</v>
      </c>
    </row>
    <row r="70" customFormat="false" ht="15" hidden="false" customHeight="false" outlineLevel="0" collapsed="false">
      <c r="A70" s="2" t="s">
        <v>10</v>
      </c>
      <c r="B70" s="2" t="s">
        <v>173</v>
      </c>
      <c r="C70" s="2" t="s">
        <v>1512</v>
      </c>
      <c r="D70" s="2" t="s">
        <v>175</v>
      </c>
      <c r="E70" s="4" t="n">
        <v>0</v>
      </c>
      <c r="F70" s="4" t="n">
        <v>0</v>
      </c>
      <c r="G70" s="4" t="n">
        <v>0</v>
      </c>
      <c r="H70" s="2" t="s">
        <v>1385</v>
      </c>
    </row>
    <row r="71" customFormat="false" ht="15" hidden="false" customHeight="false" outlineLevel="0" collapsed="false">
      <c r="A71" s="2" t="s">
        <v>10</v>
      </c>
      <c r="B71" s="2" t="s">
        <v>1513</v>
      </c>
      <c r="C71" s="2" t="s">
        <v>1514</v>
      </c>
      <c r="D71" s="2" t="s">
        <v>1515</v>
      </c>
      <c r="E71" s="4" t="n">
        <v>0</v>
      </c>
      <c r="F71" s="4" t="n">
        <v>0</v>
      </c>
      <c r="G71" s="4" t="n">
        <v>0</v>
      </c>
      <c r="H71" s="2" t="s">
        <v>1385</v>
      </c>
    </row>
    <row r="72" customFormat="false" ht="15" hidden="false" customHeight="false" outlineLevel="0" collapsed="false">
      <c r="A72" s="2" t="s">
        <v>10</v>
      </c>
      <c r="B72" s="2" t="s">
        <v>249</v>
      </c>
      <c r="C72" s="2" t="s">
        <v>1516</v>
      </c>
      <c r="D72" s="2" t="s">
        <v>251</v>
      </c>
      <c r="E72" s="4" t="n">
        <v>0</v>
      </c>
      <c r="F72" s="4" t="n">
        <v>0</v>
      </c>
      <c r="G72" s="4" t="n">
        <v>0</v>
      </c>
      <c r="H72" s="2" t="s">
        <v>1385</v>
      </c>
    </row>
    <row r="73" customFormat="false" ht="15" hidden="false" customHeight="false" outlineLevel="0" collapsed="false">
      <c r="A73" s="2" t="s">
        <v>10</v>
      </c>
      <c r="B73" s="2" t="s">
        <v>1517</v>
      </c>
      <c r="C73" s="2" t="s">
        <v>1518</v>
      </c>
      <c r="D73" s="2" t="s">
        <v>1519</v>
      </c>
      <c r="E73" s="4" t="n">
        <v>0</v>
      </c>
      <c r="F73" s="4" t="n">
        <v>0</v>
      </c>
      <c r="G73" s="4" t="n">
        <v>0</v>
      </c>
      <c r="H73" s="2" t="s">
        <v>1385</v>
      </c>
    </row>
    <row r="74" customFormat="false" ht="15" hidden="false" customHeight="false" outlineLevel="0" collapsed="false">
      <c r="A74" s="2" t="s">
        <v>10</v>
      </c>
      <c r="B74" s="2" t="s">
        <v>1520</v>
      </c>
      <c r="C74" s="2" t="s">
        <v>1521</v>
      </c>
      <c r="D74" s="2" t="s">
        <v>1522</v>
      </c>
      <c r="E74" s="4" t="n">
        <v>96.11</v>
      </c>
      <c r="F74" s="4" t="n">
        <v>8.74</v>
      </c>
      <c r="G74" s="4" t="n">
        <v>87.37</v>
      </c>
      <c r="H74" s="2" t="s">
        <v>1385</v>
      </c>
    </row>
    <row r="75" customFormat="false" ht="15" hidden="false" customHeight="false" outlineLevel="0" collapsed="false">
      <c r="A75" s="2" t="s">
        <v>10</v>
      </c>
      <c r="B75" s="2" t="s">
        <v>1523</v>
      </c>
      <c r="C75" s="2" t="s">
        <v>1524</v>
      </c>
      <c r="D75" s="2" t="s">
        <v>1525</v>
      </c>
      <c r="E75" s="4" t="n">
        <v>177.22</v>
      </c>
      <c r="F75" s="4" t="n">
        <v>16.12</v>
      </c>
      <c r="G75" s="4" t="n">
        <v>161.1</v>
      </c>
      <c r="H75" s="2" t="s">
        <v>1385</v>
      </c>
    </row>
    <row r="76" customFormat="false" ht="15" hidden="false" customHeight="false" outlineLevel="0" collapsed="false">
      <c r="A76" s="2" t="s">
        <v>10</v>
      </c>
      <c r="B76" s="2" t="s">
        <v>965</v>
      </c>
      <c r="C76" s="2" t="s">
        <v>1066</v>
      </c>
      <c r="D76" s="2" t="s">
        <v>967</v>
      </c>
      <c r="E76" s="4" t="n">
        <v>35.81</v>
      </c>
      <c r="F76" s="4" t="n">
        <v>3.26</v>
      </c>
      <c r="G76" s="4" t="n">
        <v>32.55</v>
      </c>
      <c r="H76" s="2" t="s">
        <v>1381</v>
      </c>
    </row>
    <row r="77" customFormat="false" ht="15" hidden="false" customHeight="false" outlineLevel="0" collapsed="false">
      <c r="A77" s="2" t="s">
        <v>10</v>
      </c>
      <c r="B77" s="2" t="s">
        <v>1526</v>
      </c>
      <c r="C77" s="2" t="s">
        <v>1527</v>
      </c>
      <c r="D77" s="2" t="s">
        <v>1528</v>
      </c>
      <c r="E77" s="4" t="n">
        <v>39.84</v>
      </c>
      <c r="F77" s="4" t="n">
        <v>3.63</v>
      </c>
      <c r="G77" s="4" t="n">
        <v>36.21</v>
      </c>
      <c r="H77" s="2" t="s">
        <v>1385</v>
      </c>
    </row>
    <row r="78" customFormat="false" ht="15" hidden="false" customHeight="false" outlineLevel="0" collapsed="false">
      <c r="A78" s="2" t="s">
        <v>10</v>
      </c>
      <c r="B78" s="2" t="s">
        <v>1529</v>
      </c>
      <c r="C78" s="2" t="s">
        <v>1530</v>
      </c>
      <c r="D78" s="2" t="s">
        <v>1531</v>
      </c>
      <c r="E78" s="4" t="n">
        <v>287.79</v>
      </c>
      <c r="F78" s="4" t="n">
        <v>30.81</v>
      </c>
      <c r="G78" s="4" t="n">
        <v>256.98</v>
      </c>
      <c r="H78" s="2" t="s">
        <v>1385</v>
      </c>
    </row>
    <row r="79" customFormat="false" ht="15" hidden="false" customHeight="false" outlineLevel="0" collapsed="false">
      <c r="A79" s="2" t="s">
        <v>10</v>
      </c>
      <c r="B79" s="2" t="s">
        <v>1532</v>
      </c>
      <c r="C79" s="2" t="s">
        <v>1533</v>
      </c>
      <c r="D79" s="2" t="s">
        <v>1534</v>
      </c>
      <c r="E79" s="4" t="n">
        <v>373.9</v>
      </c>
      <c r="F79" s="4" t="n">
        <v>33.99</v>
      </c>
      <c r="G79" s="4" t="n">
        <v>339.91</v>
      </c>
      <c r="H79" s="2" t="s">
        <v>1385</v>
      </c>
    </row>
    <row r="80" customFormat="false" ht="15" hidden="false" customHeight="false" outlineLevel="0" collapsed="false">
      <c r="A80" s="2" t="s">
        <v>10</v>
      </c>
      <c r="B80" s="2" t="s">
        <v>1535</v>
      </c>
      <c r="C80" s="2" t="s">
        <v>1536</v>
      </c>
      <c r="D80" s="2" t="s">
        <v>1537</v>
      </c>
      <c r="E80" s="4" t="n">
        <v>86.61</v>
      </c>
      <c r="F80" s="4" t="n">
        <v>7.88</v>
      </c>
      <c r="G80" s="4" t="n">
        <v>78.73</v>
      </c>
      <c r="H80" s="2" t="s">
        <v>1385</v>
      </c>
    </row>
    <row r="81" customFormat="false" ht="15" hidden="false" customHeight="false" outlineLevel="0" collapsed="false">
      <c r="A81" s="2" t="s">
        <v>10</v>
      </c>
      <c r="B81" s="2" t="s">
        <v>1538</v>
      </c>
      <c r="C81" s="2" t="s">
        <v>1539</v>
      </c>
      <c r="D81" s="2" t="s">
        <v>1540</v>
      </c>
      <c r="E81" s="4" t="n">
        <v>200.85</v>
      </c>
      <c r="F81" s="4" t="n">
        <v>18.26</v>
      </c>
      <c r="G81" s="4" t="n">
        <v>182.59</v>
      </c>
      <c r="H81" s="2" t="s">
        <v>1385</v>
      </c>
    </row>
    <row r="82" customFormat="false" ht="15" hidden="false" customHeight="false" outlineLevel="0" collapsed="false">
      <c r="A82" s="2" t="s">
        <v>10</v>
      </c>
      <c r="B82" s="2" t="s">
        <v>1541</v>
      </c>
      <c r="C82" s="2" t="s">
        <v>1542</v>
      </c>
      <c r="D82" s="2" t="s">
        <v>1543</v>
      </c>
      <c r="E82" s="4" t="n">
        <v>27.79</v>
      </c>
      <c r="F82" s="4" t="n">
        <v>2.53</v>
      </c>
      <c r="G82" s="4" t="n">
        <v>25.26</v>
      </c>
      <c r="H82" s="2" t="s">
        <v>1385</v>
      </c>
    </row>
    <row r="83" customFormat="false" ht="15" hidden="false" customHeight="false" outlineLevel="0" collapsed="false">
      <c r="A83" s="2" t="s">
        <v>10</v>
      </c>
      <c r="B83" s="2" t="s">
        <v>719</v>
      </c>
      <c r="C83" s="2" t="s">
        <v>902</v>
      </c>
      <c r="D83" s="2" t="s">
        <v>721</v>
      </c>
      <c r="E83" s="4" t="n">
        <v>71.67</v>
      </c>
      <c r="F83" s="4" t="n">
        <v>6.52</v>
      </c>
      <c r="G83" s="4" t="n">
        <v>65.15</v>
      </c>
      <c r="H83" s="2" t="s">
        <v>1381</v>
      </c>
    </row>
    <row r="84" customFormat="false" ht="15" hidden="false" customHeight="false" outlineLevel="0" collapsed="false">
      <c r="A84" s="2" t="s">
        <v>10</v>
      </c>
      <c r="B84" s="2" t="s">
        <v>1544</v>
      </c>
      <c r="C84" s="2" t="s">
        <v>1545</v>
      </c>
      <c r="D84" s="2" t="s">
        <v>1546</v>
      </c>
      <c r="E84" s="4" t="n">
        <v>58.81</v>
      </c>
      <c r="F84" s="4" t="n">
        <v>5.35</v>
      </c>
      <c r="G84" s="4" t="n">
        <v>53.46</v>
      </c>
      <c r="H84" s="2" t="s">
        <v>1385</v>
      </c>
    </row>
    <row r="85" customFormat="false" ht="15" hidden="false" customHeight="false" outlineLevel="0" collapsed="false">
      <c r="A85" s="2" t="s">
        <v>10</v>
      </c>
      <c r="B85" s="2" t="s">
        <v>1547</v>
      </c>
      <c r="C85" s="2" t="s">
        <v>1548</v>
      </c>
      <c r="D85" s="2" t="s">
        <v>1549</v>
      </c>
      <c r="E85" s="4" t="n">
        <v>89.94</v>
      </c>
      <c r="F85" s="4" t="n">
        <v>8.18</v>
      </c>
      <c r="G85" s="4" t="n">
        <v>81.76</v>
      </c>
      <c r="H85" s="2" t="s">
        <v>1385</v>
      </c>
    </row>
    <row r="86" customFormat="false" ht="15" hidden="false" customHeight="false" outlineLevel="0" collapsed="false">
      <c r="A86" s="2" t="s">
        <v>10</v>
      </c>
      <c r="B86" s="2" t="s">
        <v>945</v>
      </c>
      <c r="C86" s="2" t="s">
        <v>1060</v>
      </c>
      <c r="D86" s="2" t="s">
        <v>947</v>
      </c>
      <c r="E86" s="4" t="n">
        <v>36.46</v>
      </c>
      <c r="F86" s="4" t="n">
        <v>3.32</v>
      </c>
      <c r="G86" s="4" t="n">
        <v>33.14</v>
      </c>
      <c r="H86" s="2" t="s">
        <v>1381</v>
      </c>
    </row>
    <row r="87" customFormat="false" ht="15" hidden="false" customHeight="false" outlineLevel="0" collapsed="false">
      <c r="A87" s="2" t="s">
        <v>10</v>
      </c>
      <c r="B87" s="2" t="s">
        <v>1550</v>
      </c>
      <c r="C87" s="2" t="s">
        <v>1551</v>
      </c>
      <c r="D87" s="2" t="s">
        <v>1552</v>
      </c>
      <c r="E87" s="4" t="n">
        <v>1272.71</v>
      </c>
      <c r="F87" s="4" t="n">
        <v>115.71</v>
      </c>
      <c r="G87" s="4" t="n">
        <v>1157</v>
      </c>
      <c r="H87" s="2" t="s">
        <v>1385</v>
      </c>
    </row>
    <row r="88" customFormat="false" ht="15" hidden="false" customHeight="false" outlineLevel="0" collapsed="false">
      <c r="A88" s="2" t="s">
        <v>10</v>
      </c>
      <c r="B88" s="2" t="s">
        <v>1553</v>
      </c>
      <c r="C88" s="2" t="s">
        <v>1554</v>
      </c>
      <c r="D88" s="2" t="s">
        <v>1555</v>
      </c>
      <c r="E88" s="4" t="n">
        <v>425.47</v>
      </c>
      <c r="F88" s="4" t="n">
        <v>38.68</v>
      </c>
      <c r="G88" s="4" t="n">
        <v>386.79</v>
      </c>
      <c r="H88" s="2" t="s">
        <v>1385</v>
      </c>
    </row>
    <row r="89" customFormat="false" ht="15" hidden="false" customHeight="false" outlineLevel="0" collapsed="false">
      <c r="A89" s="2" t="s">
        <v>10</v>
      </c>
      <c r="B89" s="2" t="s">
        <v>1005</v>
      </c>
      <c r="C89" s="2" t="s">
        <v>1082</v>
      </c>
      <c r="D89" s="2" t="s">
        <v>1007</v>
      </c>
      <c r="E89" s="4" t="n">
        <v>54.39</v>
      </c>
      <c r="F89" s="4" t="n">
        <v>4.95</v>
      </c>
      <c r="G89" s="4" t="n">
        <v>49.44</v>
      </c>
      <c r="H89" s="2" t="s">
        <v>1381</v>
      </c>
    </row>
    <row r="90" customFormat="false" ht="15" hidden="false" customHeight="false" outlineLevel="0" collapsed="false">
      <c r="A90" s="2" t="s">
        <v>10</v>
      </c>
      <c r="B90" s="2" t="s">
        <v>1556</v>
      </c>
      <c r="C90" s="2" t="s">
        <v>1557</v>
      </c>
      <c r="D90" s="2" t="s">
        <v>1558</v>
      </c>
      <c r="E90" s="4" t="n">
        <v>1773.98</v>
      </c>
      <c r="F90" s="4" t="n">
        <v>161.27</v>
      </c>
      <c r="G90" s="4" t="n">
        <v>1612.71</v>
      </c>
      <c r="H90" s="2" t="s">
        <v>1385</v>
      </c>
    </row>
    <row r="91" customFormat="false" ht="15" hidden="false" customHeight="false" outlineLevel="0" collapsed="false">
      <c r="A91" s="2" t="s">
        <v>10</v>
      </c>
      <c r="B91" s="2" t="s">
        <v>1559</v>
      </c>
      <c r="C91" s="2" t="s">
        <v>1560</v>
      </c>
      <c r="D91" s="2" t="s">
        <v>1561</v>
      </c>
      <c r="E91" s="4" t="n">
        <v>53.43</v>
      </c>
      <c r="F91" s="4" t="n">
        <v>4.86</v>
      </c>
      <c r="G91" s="4" t="n">
        <v>48.57</v>
      </c>
      <c r="H91" s="2" t="s">
        <v>1385</v>
      </c>
    </row>
    <row r="92" customFormat="false" ht="15" hidden="false" customHeight="false" outlineLevel="0" collapsed="false">
      <c r="A92" s="2" t="s">
        <v>10</v>
      </c>
      <c r="B92" s="2" t="s">
        <v>1562</v>
      </c>
      <c r="C92" s="2" t="s">
        <v>1563</v>
      </c>
      <c r="D92" s="2" t="s">
        <v>1564</v>
      </c>
      <c r="E92" s="4" t="n">
        <v>950.33</v>
      </c>
      <c r="F92" s="4" t="n">
        <v>86.39</v>
      </c>
      <c r="G92" s="4" t="n">
        <v>863.94</v>
      </c>
      <c r="H92" s="2" t="s">
        <v>1385</v>
      </c>
    </row>
    <row r="93" customFormat="false" ht="15" hidden="false" customHeight="false" outlineLevel="0" collapsed="false">
      <c r="A93" s="2" t="s">
        <v>10</v>
      </c>
      <c r="B93" s="2" t="s">
        <v>1565</v>
      </c>
      <c r="C93" s="2" t="s">
        <v>1566</v>
      </c>
      <c r="D93" s="2" t="s">
        <v>1567</v>
      </c>
      <c r="E93" s="4" t="n">
        <v>412.7</v>
      </c>
      <c r="F93" s="4" t="n">
        <v>37.52</v>
      </c>
      <c r="G93" s="4" t="n">
        <v>375.18</v>
      </c>
      <c r="H93" s="2" t="s">
        <v>1385</v>
      </c>
    </row>
    <row r="94" customFormat="false" ht="15" hidden="false" customHeight="false" outlineLevel="0" collapsed="false">
      <c r="A94" s="2" t="s">
        <v>10</v>
      </c>
      <c r="B94" s="2" t="s">
        <v>1568</v>
      </c>
      <c r="C94" s="2" t="s">
        <v>1569</v>
      </c>
      <c r="D94" s="2" t="s">
        <v>1570</v>
      </c>
      <c r="E94" s="4" t="n">
        <v>195.44</v>
      </c>
      <c r="F94" s="4" t="n">
        <v>17.77</v>
      </c>
      <c r="G94" s="4" t="n">
        <v>177.67</v>
      </c>
      <c r="H94" s="2" t="s">
        <v>1385</v>
      </c>
    </row>
    <row r="95" customFormat="false" ht="15" hidden="false" customHeight="false" outlineLevel="0" collapsed="false">
      <c r="A95" s="2" t="s">
        <v>10</v>
      </c>
      <c r="B95" s="2" t="s">
        <v>1571</v>
      </c>
      <c r="C95" s="2" t="s">
        <v>1572</v>
      </c>
      <c r="D95" s="2" t="s">
        <v>1573</v>
      </c>
      <c r="E95" s="4" t="n">
        <v>167.82</v>
      </c>
      <c r="F95" s="4" t="n">
        <v>15.26</v>
      </c>
      <c r="G95" s="4" t="n">
        <v>152.56</v>
      </c>
      <c r="H95" s="2" t="s">
        <v>1385</v>
      </c>
    </row>
    <row r="96" customFormat="false" ht="15" hidden="false" customHeight="false" outlineLevel="0" collapsed="false">
      <c r="A96" s="2" t="s">
        <v>10</v>
      </c>
      <c r="B96" s="2" t="s">
        <v>1574</v>
      </c>
      <c r="C96" s="2" t="s">
        <v>1575</v>
      </c>
      <c r="D96" s="2" t="s">
        <v>1576</v>
      </c>
      <c r="E96" s="4" t="n">
        <v>92</v>
      </c>
      <c r="F96" s="4" t="n">
        <v>8.36</v>
      </c>
      <c r="G96" s="4" t="n">
        <v>83.64</v>
      </c>
      <c r="H96" s="2" t="s">
        <v>1385</v>
      </c>
    </row>
    <row r="97" customFormat="false" ht="15" hidden="false" customHeight="false" outlineLevel="0" collapsed="false">
      <c r="A97" s="2" t="s">
        <v>10</v>
      </c>
      <c r="B97" s="2" t="s">
        <v>1577</v>
      </c>
      <c r="C97" s="2" t="s">
        <v>1578</v>
      </c>
      <c r="D97" s="2" t="s">
        <v>1579</v>
      </c>
      <c r="E97" s="4" t="n">
        <v>99.58</v>
      </c>
      <c r="F97" s="4" t="n">
        <v>9.06</v>
      </c>
      <c r="G97" s="4" t="n">
        <v>90.52</v>
      </c>
      <c r="H97" s="2" t="s">
        <v>1385</v>
      </c>
    </row>
    <row r="98" customFormat="false" ht="15" hidden="false" customHeight="false" outlineLevel="0" collapsed="false">
      <c r="A98" s="2" t="s">
        <v>10</v>
      </c>
      <c r="B98" s="2" t="s">
        <v>1580</v>
      </c>
      <c r="C98" s="2" t="s">
        <v>1581</v>
      </c>
      <c r="D98" s="2" t="s">
        <v>1582</v>
      </c>
      <c r="E98" s="4" t="n">
        <v>1621.99</v>
      </c>
      <c r="F98" s="4" t="n">
        <v>147.46</v>
      </c>
      <c r="G98" s="4" t="n">
        <v>1474.53</v>
      </c>
      <c r="H98" s="2" t="s">
        <v>1385</v>
      </c>
    </row>
    <row r="99" customFormat="false" ht="15" hidden="false" customHeight="false" outlineLevel="0" collapsed="false">
      <c r="A99" s="2" t="s">
        <v>10</v>
      </c>
      <c r="B99" s="2" t="s">
        <v>1583</v>
      </c>
      <c r="C99" s="2" t="s">
        <v>1584</v>
      </c>
      <c r="D99" s="2" t="s">
        <v>1585</v>
      </c>
      <c r="E99" s="4" t="n">
        <v>172.14</v>
      </c>
      <c r="F99" s="4" t="n">
        <v>15.65</v>
      </c>
      <c r="G99" s="4" t="n">
        <v>156.49</v>
      </c>
      <c r="H99" s="2" t="s">
        <v>1385</v>
      </c>
    </row>
    <row r="100" customFormat="false" ht="15" hidden="false" customHeight="false" outlineLevel="0" collapsed="false">
      <c r="A100" s="2" t="s">
        <v>10</v>
      </c>
      <c r="B100" s="2" t="s">
        <v>1586</v>
      </c>
      <c r="C100" s="2" t="s">
        <v>1587</v>
      </c>
      <c r="D100" s="2" t="s">
        <v>1588</v>
      </c>
      <c r="E100" s="4" t="n">
        <v>850.47</v>
      </c>
      <c r="F100" s="4" t="n">
        <v>77.32</v>
      </c>
      <c r="G100" s="4" t="n">
        <v>773.15</v>
      </c>
      <c r="H100" s="2" t="s">
        <v>1385</v>
      </c>
    </row>
    <row r="101" customFormat="false" ht="15" hidden="false" customHeight="false" outlineLevel="0" collapsed="false">
      <c r="A101" s="2" t="s">
        <v>10</v>
      </c>
      <c r="B101" s="2" t="s">
        <v>116</v>
      </c>
      <c r="C101" s="2" t="s">
        <v>138</v>
      </c>
      <c r="D101" s="2" t="s">
        <v>118</v>
      </c>
      <c r="E101" s="4" t="n">
        <v>234.55</v>
      </c>
      <c r="F101" s="4" t="n">
        <v>21.33</v>
      </c>
      <c r="G101" s="4" t="n">
        <v>213.22</v>
      </c>
      <c r="H101" s="2" t="s">
        <v>1381</v>
      </c>
    </row>
    <row r="102" customFormat="false" ht="15" hidden="false" customHeight="false" outlineLevel="0" collapsed="false">
      <c r="A102" s="2" t="s">
        <v>10</v>
      </c>
      <c r="B102" s="2" t="s">
        <v>1589</v>
      </c>
      <c r="C102" s="2" t="s">
        <v>1590</v>
      </c>
      <c r="D102" s="2" t="s">
        <v>1591</v>
      </c>
      <c r="E102" s="4" t="n">
        <v>160.24</v>
      </c>
      <c r="F102" s="4" t="n">
        <v>14.57</v>
      </c>
      <c r="G102" s="4" t="n">
        <v>145.67</v>
      </c>
      <c r="H102" s="2" t="s">
        <v>1385</v>
      </c>
    </row>
    <row r="103" customFormat="false" ht="15" hidden="false" customHeight="false" outlineLevel="0" collapsed="false">
      <c r="A103" s="2" t="s">
        <v>10</v>
      </c>
      <c r="B103" s="2" t="s">
        <v>1592</v>
      </c>
      <c r="C103" s="2" t="s">
        <v>1593</v>
      </c>
      <c r="D103" s="2" t="s">
        <v>1594</v>
      </c>
      <c r="E103" s="4" t="n">
        <v>90.7</v>
      </c>
      <c r="F103" s="4" t="n">
        <v>8.25</v>
      </c>
      <c r="G103" s="4" t="n">
        <v>82.45</v>
      </c>
      <c r="H103" s="2" t="s">
        <v>1385</v>
      </c>
    </row>
    <row r="104" customFormat="false" ht="15" hidden="false" customHeight="false" outlineLevel="0" collapsed="false">
      <c r="A104" s="2" t="s">
        <v>10</v>
      </c>
      <c r="B104" s="2" t="s">
        <v>1595</v>
      </c>
      <c r="C104" s="2" t="s">
        <v>1596</v>
      </c>
      <c r="D104" s="2" t="s">
        <v>1597</v>
      </c>
      <c r="E104" s="4" t="n">
        <v>42.32</v>
      </c>
      <c r="F104" s="4" t="n">
        <v>3.85</v>
      </c>
      <c r="G104" s="4" t="n">
        <v>38.47</v>
      </c>
      <c r="H104" s="2" t="s">
        <v>1385</v>
      </c>
    </row>
    <row r="105" customFormat="false" ht="15" hidden="false" customHeight="false" outlineLevel="0" collapsed="false">
      <c r="A105" s="2" t="s">
        <v>10</v>
      </c>
      <c r="B105" s="2" t="s">
        <v>1026</v>
      </c>
      <c r="C105" s="2" t="s">
        <v>1088</v>
      </c>
      <c r="D105" s="2" t="s">
        <v>1028</v>
      </c>
      <c r="E105" s="4" t="n">
        <v>53.68</v>
      </c>
      <c r="F105" s="4" t="n">
        <v>4.88</v>
      </c>
      <c r="G105" s="4" t="n">
        <v>48.8</v>
      </c>
      <c r="H105" s="2" t="s">
        <v>1381</v>
      </c>
    </row>
    <row r="106" customFormat="false" ht="15" hidden="false" customHeight="false" outlineLevel="0" collapsed="false">
      <c r="A106" s="2" t="s">
        <v>10</v>
      </c>
      <c r="B106" s="2" t="s">
        <v>1598</v>
      </c>
      <c r="C106" s="2" t="s">
        <v>1599</v>
      </c>
      <c r="D106" s="2" t="s">
        <v>1600</v>
      </c>
      <c r="E106" s="4" t="n">
        <v>65.75</v>
      </c>
      <c r="F106" s="4" t="n">
        <v>5.98</v>
      </c>
      <c r="G106" s="4" t="n">
        <v>59.77</v>
      </c>
      <c r="H106" s="2" t="s">
        <v>1385</v>
      </c>
    </row>
    <row r="107" customFormat="false" ht="15" hidden="false" customHeight="false" outlineLevel="0" collapsed="false">
      <c r="A107" s="2" t="s">
        <v>10</v>
      </c>
      <c r="B107" s="2" t="s">
        <v>1601</v>
      </c>
      <c r="C107" s="2" t="s">
        <v>1602</v>
      </c>
      <c r="D107" s="2" t="s">
        <v>1603</v>
      </c>
      <c r="E107" s="4" t="n">
        <v>27.79</v>
      </c>
      <c r="F107" s="4" t="n">
        <v>2.53</v>
      </c>
      <c r="G107" s="4" t="n">
        <v>25.26</v>
      </c>
      <c r="H107" s="2" t="s">
        <v>1385</v>
      </c>
    </row>
    <row r="108" customFormat="false" ht="15" hidden="false" customHeight="false" outlineLevel="0" collapsed="false">
      <c r="A108" s="2" t="s">
        <v>10</v>
      </c>
      <c r="B108" s="2" t="s">
        <v>1604</v>
      </c>
      <c r="C108" s="2" t="s">
        <v>1605</v>
      </c>
      <c r="D108" s="2" t="s">
        <v>1606</v>
      </c>
      <c r="E108" s="4" t="n">
        <v>1342.28</v>
      </c>
      <c r="F108" s="4" t="n">
        <v>122.03</v>
      </c>
      <c r="G108" s="4" t="n">
        <v>1220.25</v>
      </c>
      <c r="H108" s="2" t="s">
        <v>1385</v>
      </c>
    </row>
    <row r="109" customFormat="false" ht="15" hidden="false" customHeight="false" outlineLevel="0" collapsed="false">
      <c r="A109" s="2" t="s">
        <v>10</v>
      </c>
      <c r="B109" s="2" t="s">
        <v>1607</v>
      </c>
      <c r="C109" s="2" t="s">
        <v>1608</v>
      </c>
      <c r="D109" s="2" t="s">
        <v>1609</v>
      </c>
      <c r="E109" s="4" t="n">
        <v>54.96</v>
      </c>
      <c r="F109" s="4" t="n">
        <v>5</v>
      </c>
      <c r="G109" s="4" t="n">
        <v>49.96</v>
      </c>
      <c r="H109" s="2" t="s">
        <v>1385</v>
      </c>
    </row>
    <row r="110" customFormat="false" ht="15" hidden="false" customHeight="false" outlineLevel="0" collapsed="false">
      <c r="A110" s="2" t="s">
        <v>10</v>
      </c>
      <c r="B110" s="2" t="s">
        <v>1610</v>
      </c>
      <c r="C110" s="2" t="s">
        <v>1611</v>
      </c>
      <c r="D110" s="2" t="s">
        <v>1612</v>
      </c>
      <c r="E110" s="4" t="n">
        <v>43.49</v>
      </c>
      <c r="F110" s="4" t="n">
        <v>3.96</v>
      </c>
      <c r="G110" s="4" t="n">
        <v>39.53</v>
      </c>
      <c r="H110" s="2" t="s">
        <v>1385</v>
      </c>
    </row>
    <row r="111" customFormat="false" ht="15" hidden="false" customHeight="false" outlineLevel="0" collapsed="false">
      <c r="A111" s="2" t="s">
        <v>10</v>
      </c>
      <c r="B111" s="2" t="s">
        <v>1613</v>
      </c>
      <c r="C111" s="2" t="s">
        <v>1614</v>
      </c>
      <c r="D111" s="2" t="s">
        <v>1615</v>
      </c>
      <c r="E111" s="4" t="n">
        <v>113.1</v>
      </c>
      <c r="F111" s="4" t="n">
        <v>10.29</v>
      </c>
      <c r="G111" s="4" t="n">
        <v>102.81</v>
      </c>
      <c r="H111" s="2" t="s">
        <v>1385</v>
      </c>
    </row>
    <row r="112" customFormat="false" ht="15" hidden="false" customHeight="false" outlineLevel="0" collapsed="false">
      <c r="A112" s="2" t="s">
        <v>10</v>
      </c>
      <c r="B112" s="2" t="s">
        <v>999</v>
      </c>
      <c r="C112" s="2" t="s">
        <v>1080</v>
      </c>
      <c r="D112" s="2" t="s">
        <v>1001</v>
      </c>
      <c r="E112" s="4" t="n">
        <v>35.93</v>
      </c>
      <c r="F112" s="4" t="n">
        <v>3.27</v>
      </c>
      <c r="G112" s="4" t="n">
        <v>32.66</v>
      </c>
      <c r="H112" s="2" t="s">
        <v>1381</v>
      </c>
    </row>
    <row r="113" customFormat="false" ht="15" hidden="false" customHeight="false" outlineLevel="0" collapsed="false">
      <c r="A113" s="2" t="s">
        <v>10</v>
      </c>
      <c r="B113" s="2" t="s">
        <v>1616</v>
      </c>
      <c r="C113" s="2" t="s">
        <v>1617</v>
      </c>
      <c r="D113" s="2" t="s">
        <v>1618</v>
      </c>
      <c r="E113" s="4" t="n">
        <v>216.23</v>
      </c>
      <c r="F113" s="4" t="n">
        <v>19.66</v>
      </c>
      <c r="G113" s="4" t="n">
        <v>196.57</v>
      </c>
      <c r="H113" s="2" t="s">
        <v>1385</v>
      </c>
    </row>
    <row r="114" customFormat="false" ht="15" hidden="false" customHeight="false" outlineLevel="0" collapsed="false">
      <c r="A114" s="2" t="s">
        <v>10</v>
      </c>
      <c r="B114" s="2" t="s">
        <v>1619</v>
      </c>
      <c r="C114" s="2" t="s">
        <v>1620</v>
      </c>
      <c r="D114" s="2" t="s">
        <v>1621</v>
      </c>
      <c r="E114" s="4" t="n">
        <v>76.45</v>
      </c>
      <c r="F114" s="4" t="n">
        <v>6.95</v>
      </c>
      <c r="G114" s="4" t="n">
        <v>69.5</v>
      </c>
      <c r="H114" s="2" t="s">
        <v>1385</v>
      </c>
    </row>
    <row r="115" customFormat="false" ht="15" hidden="false" customHeight="false" outlineLevel="0" collapsed="false">
      <c r="A115" s="2" t="s">
        <v>10</v>
      </c>
      <c r="B115" s="2" t="s">
        <v>958</v>
      </c>
      <c r="C115" s="2" t="s">
        <v>1064</v>
      </c>
      <c r="D115" s="2" t="s">
        <v>960</v>
      </c>
      <c r="E115" s="4" t="n">
        <v>46.42</v>
      </c>
      <c r="F115" s="4" t="n">
        <v>4.22</v>
      </c>
      <c r="G115" s="4" t="n">
        <v>42.2</v>
      </c>
      <c r="H115" s="2" t="s">
        <v>1381</v>
      </c>
    </row>
    <row r="116" customFormat="false" ht="15" hidden="false" customHeight="false" outlineLevel="0" collapsed="false">
      <c r="A116" s="2" t="s">
        <v>10</v>
      </c>
      <c r="B116" s="2" t="s">
        <v>951</v>
      </c>
      <c r="C116" s="2" t="s">
        <v>1062</v>
      </c>
      <c r="D116" s="2" t="s">
        <v>953</v>
      </c>
      <c r="E116" s="4" t="n">
        <v>35.81</v>
      </c>
      <c r="F116" s="4" t="n">
        <v>3.26</v>
      </c>
      <c r="G116" s="4" t="n">
        <v>32.55</v>
      </c>
      <c r="H116" s="2" t="s">
        <v>1381</v>
      </c>
    </row>
    <row r="117" customFormat="false" ht="15" hidden="false" customHeight="false" outlineLevel="0" collapsed="false">
      <c r="A117" s="2" t="s">
        <v>10</v>
      </c>
      <c r="B117" s="2" t="s">
        <v>1622</v>
      </c>
      <c r="C117" s="2" t="s">
        <v>1623</v>
      </c>
      <c r="D117" s="2" t="s">
        <v>1624</v>
      </c>
      <c r="E117" s="4" t="n">
        <v>77.71</v>
      </c>
      <c r="F117" s="4" t="n">
        <v>7.07</v>
      </c>
      <c r="G117" s="4" t="n">
        <v>70.64</v>
      </c>
      <c r="H117" s="2" t="s">
        <v>1385</v>
      </c>
    </row>
    <row r="118" customFormat="false" ht="15" hidden="false" customHeight="false" outlineLevel="0" collapsed="false">
      <c r="A118" s="2" t="s">
        <v>10</v>
      </c>
      <c r="B118" s="2" t="s">
        <v>1625</v>
      </c>
      <c r="C118" s="2" t="s">
        <v>1626</v>
      </c>
      <c r="D118" s="2" t="s">
        <v>1627</v>
      </c>
      <c r="E118" s="4" t="n">
        <v>1277.69</v>
      </c>
      <c r="F118" s="4" t="n">
        <v>116.15</v>
      </c>
      <c r="G118" s="4" t="n">
        <v>1161.54</v>
      </c>
      <c r="H118" s="2" t="s">
        <v>1385</v>
      </c>
    </row>
    <row r="119" customFormat="false" ht="15" hidden="false" customHeight="false" outlineLevel="0" collapsed="false">
      <c r="A119" s="2" t="s">
        <v>10</v>
      </c>
      <c r="B119" s="2" t="s">
        <v>1628</v>
      </c>
      <c r="C119" s="2" t="s">
        <v>1629</v>
      </c>
      <c r="D119" s="2" t="s">
        <v>1630</v>
      </c>
      <c r="E119" s="4" t="n">
        <v>134.58</v>
      </c>
      <c r="F119" s="4" t="n">
        <v>12.24</v>
      </c>
      <c r="G119" s="4" t="n">
        <v>122.34</v>
      </c>
      <c r="H119" s="2" t="s">
        <v>1385</v>
      </c>
    </row>
    <row r="120" customFormat="false" ht="15" hidden="false" customHeight="false" outlineLevel="0" collapsed="false">
      <c r="A120" s="2" t="s">
        <v>10</v>
      </c>
      <c r="B120" s="2" t="s">
        <v>1631</v>
      </c>
      <c r="C120" s="2" t="s">
        <v>1632</v>
      </c>
      <c r="D120" s="2" t="s">
        <v>1633</v>
      </c>
      <c r="E120" s="4" t="n">
        <v>452.22</v>
      </c>
      <c r="F120" s="4" t="n">
        <v>41.11</v>
      </c>
      <c r="G120" s="4" t="n">
        <v>411.11</v>
      </c>
      <c r="H120" s="2" t="s">
        <v>1385</v>
      </c>
    </row>
    <row r="121" customFormat="false" ht="15" hidden="false" customHeight="false" outlineLevel="0" collapsed="false">
      <c r="A121" s="2" t="s">
        <v>10</v>
      </c>
      <c r="B121" s="2" t="s">
        <v>1243</v>
      </c>
      <c r="C121" s="2" t="s">
        <v>1292</v>
      </c>
      <c r="D121" s="2" t="s">
        <v>1245</v>
      </c>
      <c r="E121" s="4" t="n">
        <v>27.79</v>
      </c>
      <c r="F121" s="4" t="n">
        <v>2.53</v>
      </c>
      <c r="G121" s="4" t="n">
        <v>25.26</v>
      </c>
      <c r="H121" s="2" t="s">
        <v>1381</v>
      </c>
    </row>
    <row r="122" customFormat="false" ht="15" hidden="false" customHeight="false" outlineLevel="0" collapsed="false">
      <c r="A122" s="2" t="s">
        <v>10</v>
      </c>
      <c r="B122" s="2" t="s">
        <v>1634</v>
      </c>
      <c r="C122" s="2" t="s">
        <v>1635</v>
      </c>
      <c r="D122" s="2" t="s">
        <v>1636</v>
      </c>
      <c r="E122" s="4" t="n">
        <v>31.35</v>
      </c>
      <c r="F122" s="4" t="n">
        <v>2.84</v>
      </c>
      <c r="G122" s="4" t="n">
        <v>28.51</v>
      </c>
      <c r="H122" s="2" t="s">
        <v>1385</v>
      </c>
    </row>
    <row r="123" customFormat="false" ht="15" hidden="false" customHeight="false" outlineLevel="0" collapsed="false">
      <c r="A123" s="2" t="s">
        <v>10</v>
      </c>
      <c r="B123" s="2" t="s">
        <v>1265</v>
      </c>
      <c r="C123" s="2" t="s">
        <v>1286</v>
      </c>
      <c r="D123" s="2" t="s">
        <v>1267</v>
      </c>
      <c r="E123" s="4" t="n">
        <v>32.26</v>
      </c>
      <c r="F123" s="4" t="n">
        <v>2.94</v>
      </c>
      <c r="G123" s="4" t="n">
        <v>29.32</v>
      </c>
      <c r="H123" s="2" t="s">
        <v>1381</v>
      </c>
    </row>
    <row r="124" customFormat="false" ht="15" hidden="false" customHeight="false" outlineLevel="0" collapsed="false">
      <c r="A124" s="2" t="s">
        <v>10</v>
      </c>
      <c r="B124" s="2" t="s">
        <v>1637</v>
      </c>
      <c r="C124" s="2" t="s">
        <v>1638</v>
      </c>
      <c r="D124" s="2" t="s">
        <v>1639</v>
      </c>
      <c r="E124" s="4" t="n">
        <v>81.67</v>
      </c>
      <c r="F124" s="4" t="n">
        <v>7.43</v>
      </c>
      <c r="G124" s="4" t="n">
        <v>74.24</v>
      </c>
      <c r="H124" s="2" t="s">
        <v>1385</v>
      </c>
    </row>
    <row r="125" customFormat="false" ht="15" hidden="false" customHeight="false" outlineLevel="0" collapsed="false">
      <c r="A125" s="2" t="s">
        <v>10</v>
      </c>
      <c r="B125" s="2" t="s">
        <v>1640</v>
      </c>
      <c r="C125" s="2" t="s">
        <v>1641</v>
      </c>
      <c r="D125" s="2" t="s">
        <v>1642</v>
      </c>
      <c r="E125" s="4" t="n">
        <v>2284.36</v>
      </c>
      <c r="F125" s="4" t="n">
        <v>207.67</v>
      </c>
      <c r="G125" s="4" t="n">
        <v>2076.69</v>
      </c>
      <c r="H125" s="2" t="s">
        <v>1385</v>
      </c>
    </row>
    <row r="126" customFormat="false" ht="15" hidden="false" customHeight="false" outlineLevel="0" collapsed="false">
      <c r="A126" s="2" t="s">
        <v>10</v>
      </c>
      <c r="B126" s="2" t="s">
        <v>1643</v>
      </c>
      <c r="C126" s="2" t="s">
        <v>1644</v>
      </c>
      <c r="D126" s="2" t="s">
        <v>1645</v>
      </c>
      <c r="E126" s="4" t="n">
        <v>35.83</v>
      </c>
      <c r="F126" s="4" t="n">
        <v>3.26</v>
      </c>
      <c r="G126" s="4" t="n">
        <v>32.57</v>
      </c>
      <c r="H126" s="2" t="s">
        <v>1385</v>
      </c>
    </row>
    <row r="127" customFormat="false" ht="15" hidden="false" customHeight="false" outlineLevel="0" collapsed="false">
      <c r="A127" s="2" t="s">
        <v>10</v>
      </c>
      <c r="B127" s="2" t="s">
        <v>1646</v>
      </c>
      <c r="C127" s="2" t="s">
        <v>1647</v>
      </c>
      <c r="D127" s="2" t="s">
        <v>1648</v>
      </c>
      <c r="E127" s="4" t="n">
        <v>35.81</v>
      </c>
      <c r="F127" s="4" t="n">
        <v>3.26</v>
      </c>
      <c r="G127" s="4" t="n">
        <v>32.55</v>
      </c>
      <c r="H127" s="2" t="s">
        <v>1385</v>
      </c>
    </row>
    <row r="128" customFormat="false" ht="15" hidden="false" customHeight="false" outlineLevel="0" collapsed="false">
      <c r="A128" s="2" t="s">
        <v>10</v>
      </c>
      <c r="B128" s="2" t="s">
        <v>1649</v>
      </c>
      <c r="C128" s="2" t="s">
        <v>1650</v>
      </c>
      <c r="D128" s="2" t="s">
        <v>1651</v>
      </c>
      <c r="E128" s="4" t="n">
        <v>27.79</v>
      </c>
      <c r="F128" s="4" t="n">
        <v>2.53</v>
      </c>
      <c r="G128" s="4" t="n">
        <v>25.26</v>
      </c>
      <c r="H128" s="2" t="s">
        <v>1385</v>
      </c>
    </row>
    <row r="129" customFormat="false" ht="15" hidden="false" customHeight="false" outlineLevel="0" collapsed="false">
      <c r="A129" s="2" t="s">
        <v>10</v>
      </c>
      <c r="B129" s="2" t="s">
        <v>931</v>
      </c>
      <c r="C129" s="2" t="s">
        <v>1070</v>
      </c>
      <c r="D129" s="2" t="s">
        <v>933</v>
      </c>
      <c r="E129" s="4" t="n">
        <v>55.43</v>
      </c>
      <c r="F129" s="4" t="n">
        <v>5.04</v>
      </c>
      <c r="G129" s="4" t="n">
        <v>50.39</v>
      </c>
      <c r="H129" s="2" t="s">
        <v>1381</v>
      </c>
    </row>
    <row r="130" customFormat="false" ht="15" hidden="false" customHeight="false" outlineLevel="0" collapsed="false">
      <c r="A130" s="2" t="s">
        <v>10</v>
      </c>
      <c r="B130" s="2" t="s">
        <v>1652</v>
      </c>
      <c r="C130" s="2" t="s">
        <v>1653</v>
      </c>
      <c r="D130" s="2" t="s">
        <v>1654</v>
      </c>
      <c r="E130" s="4" t="n">
        <v>76.17</v>
      </c>
      <c r="F130" s="4" t="n">
        <v>6.93</v>
      </c>
      <c r="G130" s="4" t="n">
        <v>69.24</v>
      </c>
      <c r="H130" s="2" t="s">
        <v>1385</v>
      </c>
    </row>
    <row r="131" customFormat="false" ht="15" hidden="false" customHeight="false" outlineLevel="0" collapsed="false">
      <c r="A131" s="2" t="s">
        <v>10</v>
      </c>
      <c r="B131" s="2" t="s">
        <v>1655</v>
      </c>
      <c r="C131" s="2" t="s">
        <v>1656</v>
      </c>
      <c r="D131" s="2" t="s">
        <v>1657</v>
      </c>
      <c r="E131" s="4" t="n">
        <v>147.86</v>
      </c>
      <c r="F131" s="4" t="n">
        <v>13.45</v>
      </c>
      <c r="G131" s="4" t="n">
        <v>134.41</v>
      </c>
      <c r="H131" s="2" t="s">
        <v>1385</v>
      </c>
    </row>
    <row r="132" customFormat="false" ht="15" hidden="false" customHeight="false" outlineLevel="0" collapsed="false">
      <c r="A132" s="2" t="s">
        <v>10</v>
      </c>
      <c r="B132" s="2" t="s">
        <v>1658</v>
      </c>
      <c r="C132" s="2" t="s">
        <v>1659</v>
      </c>
      <c r="D132" s="2" t="s">
        <v>1660</v>
      </c>
      <c r="E132" s="4" t="n">
        <v>90.87</v>
      </c>
      <c r="F132" s="4" t="n">
        <v>8.27</v>
      </c>
      <c r="G132" s="4" t="n">
        <v>82.6</v>
      </c>
      <c r="H132" s="2" t="s">
        <v>1385</v>
      </c>
    </row>
    <row r="133" customFormat="false" ht="15" hidden="false" customHeight="false" outlineLevel="0" collapsed="false">
      <c r="A133" s="2" t="s">
        <v>10</v>
      </c>
      <c r="B133" s="2" t="s">
        <v>1661</v>
      </c>
      <c r="C133" s="2" t="s">
        <v>1662</v>
      </c>
      <c r="D133" s="2" t="s">
        <v>1663</v>
      </c>
      <c r="E133" s="4" t="n">
        <v>747.79</v>
      </c>
      <c r="F133" s="4" t="n">
        <v>67.99</v>
      </c>
      <c r="G133" s="4" t="n">
        <v>679.8</v>
      </c>
      <c r="H133" s="2" t="s">
        <v>1385</v>
      </c>
    </row>
    <row r="134" customFormat="false" ht="15" hidden="false" customHeight="false" outlineLevel="0" collapsed="false">
      <c r="A134" s="2" t="s">
        <v>10</v>
      </c>
      <c r="B134" s="2" t="s">
        <v>1664</v>
      </c>
      <c r="C134" s="2" t="s">
        <v>1665</v>
      </c>
      <c r="D134" s="2" t="s">
        <v>1666</v>
      </c>
      <c r="E134" s="4" t="n">
        <v>35.81</v>
      </c>
      <c r="F134" s="4" t="n">
        <v>3.26</v>
      </c>
      <c r="G134" s="4" t="n">
        <v>32.55</v>
      </c>
      <c r="H134" s="2" t="s">
        <v>1385</v>
      </c>
    </row>
    <row r="135" customFormat="false" ht="15" hidden="false" customHeight="false" outlineLevel="0" collapsed="false">
      <c r="A135" s="2" t="s">
        <v>10</v>
      </c>
      <c r="B135" s="2" t="s">
        <v>519</v>
      </c>
      <c r="C135" s="2" t="s">
        <v>885</v>
      </c>
      <c r="D135" s="2" t="s">
        <v>521</v>
      </c>
      <c r="E135" s="4" t="n">
        <v>82.31</v>
      </c>
      <c r="F135" s="4" t="n">
        <v>7.49</v>
      </c>
      <c r="G135" s="4" t="n">
        <v>74.82</v>
      </c>
      <c r="H135" s="2" t="s">
        <v>1381</v>
      </c>
    </row>
    <row r="136" customFormat="false" ht="15" hidden="false" customHeight="false" outlineLevel="0" collapsed="false">
      <c r="A136" s="2" t="s">
        <v>10</v>
      </c>
      <c r="B136" s="2" t="s">
        <v>1667</v>
      </c>
      <c r="C136" s="2" t="s">
        <v>1668</v>
      </c>
      <c r="D136" s="2" t="s">
        <v>1669</v>
      </c>
      <c r="E136" s="4" t="n">
        <v>1817.27</v>
      </c>
      <c r="F136" s="4" t="n">
        <v>165.21</v>
      </c>
      <c r="G136" s="4" t="n">
        <v>1652.06</v>
      </c>
      <c r="H136" s="2" t="s">
        <v>1385</v>
      </c>
    </row>
    <row r="137" customFormat="false" ht="15" hidden="false" customHeight="false" outlineLevel="0" collapsed="false">
      <c r="A137" s="2" t="s">
        <v>10</v>
      </c>
      <c r="B137" s="2" t="s">
        <v>1670</v>
      </c>
      <c r="C137" s="2" t="s">
        <v>1671</v>
      </c>
      <c r="D137" s="2" t="s">
        <v>1672</v>
      </c>
      <c r="E137" s="4" t="n">
        <v>1257.07</v>
      </c>
      <c r="F137" s="4" t="n">
        <v>114.28</v>
      </c>
      <c r="G137" s="4" t="n">
        <v>1142.79</v>
      </c>
      <c r="H137" s="2" t="s">
        <v>1385</v>
      </c>
    </row>
    <row r="138" customFormat="false" ht="15" hidden="false" customHeight="false" outlineLevel="0" collapsed="false">
      <c r="A138" s="2" t="s">
        <v>10</v>
      </c>
      <c r="B138" s="2" t="s">
        <v>1673</v>
      </c>
      <c r="C138" s="2" t="s">
        <v>1674</v>
      </c>
      <c r="D138" s="2" t="s">
        <v>1675</v>
      </c>
      <c r="E138" s="4" t="n">
        <v>379.28</v>
      </c>
      <c r="F138" s="4" t="n">
        <v>34.48</v>
      </c>
      <c r="G138" s="4" t="n">
        <v>344.8</v>
      </c>
      <c r="H138" s="2" t="s">
        <v>1385</v>
      </c>
    </row>
    <row r="139" customFormat="false" ht="15" hidden="false" customHeight="false" outlineLevel="0" collapsed="false">
      <c r="A139" s="2" t="s">
        <v>10</v>
      </c>
      <c r="B139" s="2" t="s">
        <v>1676</v>
      </c>
      <c r="C139" s="2" t="s">
        <v>1677</v>
      </c>
      <c r="D139" s="2" t="s">
        <v>1678</v>
      </c>
      <c r="E139" s="4" t="n">
        <v>2856.47</v>
      </c>
      <c r="F139" s="4" t="n">
        <v>259.68</v>
      </c>
      <c r="G139" s="4" t="n">
        <v>2596.79</v>
      </c>
      <c r="H139" s="2" t="s">
        <v>1385</v>
      </c>
    </row>
    <row r="140" customFormat="false" ht="15" hidden="false" customHeight="false" outlineLevel="0" collapsed="false">
      <c r="A140" s="2" t="s">
        <v>10</v>
      </c>
      <c r="B140" s="2" t="s">
        <v>1679</v>
      </c>
      <c r="C140" s="2" t="s">
        <v>1680</v>
      </c>
      <c r="D140" s="2" t="s">
        <v>1681</v>
      </c>
      <c r="E140" s="4" t="n">
        <v>212.09</v>
      </c>
      <c r="F140" s="4" t="n">
        <v>19.29</v>
      </c>
      <c r="G140" s="4" t="n">
        <v>192.8</v>
      </c>
      <c r="H140" s="2" t="s">
        <v>1385</v>
      </c>
    </row>
    <row r="141" customFormat="false" ht="15" hidden="false" customHeight="false" outlineLevel="0" collapsed="false">
      <c r="A141" s="2" t="s">
        <v>10</v>
      </c>
      <c r="B141" s="2" t="s">
        <v>1682</v>
      </c>
      <c r="C141" s="2" t="s">
        <v>1683</v>
      </c>
      <c r="D141" s="2" t="s">
        <v>1684</v>
      </c>
      <c r="E141" s="4" t="n">
        <v>160.83</v>
      </c>
      <c r="F141" s="4" t="n">
        <v>14.63</v>
      </c>
      <c r="G141" s="4" t="n">
        <v>146.2</v>
      </c>
      <c r="H141" s="2" t="s">
        <v>1385</v>
      </c>
    </row>
    <row r="142" customFormat="false" ht="15" hidden="false" customHeight="false" outlineLevel="0" collapsed="false">
      <c r="A142" s="2" t="s">
        <v>10</v>
      </c>
      <c r="B142" s="2" t="s">
        <v>993</v>
      </c>
      <c r="C142" s="2" t="s">
        <v>1078</v>
      </c>
      <c r="D142" s="2" t="s">
        <v>995</v>
      </c>
      <c r="E142" s="4" t="n">
        <v>50.21</v>
      </c>
      <c r="F142" s="4" t="n">
        <v>4.57</v>
      </c>
      <c r="G142" s="4" t="n">
        <v>45.64</v>
      </c>
      <c r="H142" s="2" t="s">
        <v>1381</v>
      </c>
    </row>
    <row r="143" customFormat="false" ht="15" hidden="false" customHeight="false" outlineLevel="0" collapsed="false">
      <c r="A143" s="2" t="s">
        <v>10</v>
      </c>
      <c r="B143" s="2" t="s">
        <v>661</v>
      </c>
      <c r="C143" s="2" t="s">
        <v>667</v>
      </c>
      <c r="D143" s="2" t="s">
        <v>663</v>
      </c>
      <c r="E143" s="4" t="n">
        <v>100.79</v>
      </c>
      <c r="F143" s="4" t="n">
        <v>9.17</v>
      </c>
      <c r="G143" s="4" t="n">
        <v>91.62</v>
      </c>
      <c r="H143" s="2" t="s">
        <v>1381</v>
      </c>
    </row>
    <row r="144" customFormat="false" ht="15" hidden="false" customHeight="false" outlineLevel="0" collapsed="false">
      <c r="A144" s="2" t="s">
        <v>10</v>
      </c>
      <c r="B144" s="2" t="s">
        <v>1685</v>
      </c>
      <c r="C144" s="2" t="s">
        <v>1686</v>
      </c>
      <c r="D144" s="2" t="s">
        <v>1687</v>
      </c>
      <c r="E144" s="4" t="n">
        <v>97.83</v>
      </c>
      <c r="F144" s="4" t="n">
        <v>8.9</v>
      </c>
      <c r="G144" s="4" t="n">
        <v>88.93</v>
      </c>
      <c r="H144" s="2" t="s">
        <v>1385</v>
      </c>
    </row>
    <row r="145" customFormat="false" ht="15" hidden="false" customHeight="false" outlineLevel="0" collapsed="false">
      <c r="A145" s="2" t="s">
        <v>10</v>
      </c>
      <c r="B145" s="2" t="s">
        <v>1688</v>
      </c>
      <c r="C145" s="2" t="s">
        <v>1689</v>
      </c>
      <c r="D145" s="2" t="s">
        <v>1690</v>
      </c>
      <c r="E145" s="4" t="n">
        <v>349.77</v>
      </c>
      <c r="F145" s="4" t="n">
        <v>31.8</v>
      </c>
      <c r="G145" s="4" t="n">
        <v>317.97</v>
      </c>
      <c r="H145" s="2" t="s">
        <v>1385</v>
      </c>
    </row>
    <row r="146" customFormat="false" ht="15" hidden="false" customHeight="false" outlineLevel="0" collapsed="false">
      <c r="A146" s="2" t="s">
        <v>10</v>
      </c>
      <c r="B146" s="2" t="s">
        <v>1224</v>
      </c>
      <c r="C146" s="2" t="s">
        <v>1288</v>
      </c>
      <c r="D146" s="2" t="s">
        <v>1226</v>
      </c>
      <c r="E146" s="4" t="n">
        <v>30.52</v>
      </c>
      <c r="F146" s="4" t="n">
        <v>2.78</v>
      </c>
      <c r="G146" s="4" t="n">
        <v>27.74</v>
      </c>
      <c r="H146" s="2" t="s">
        <v>1381</v>
      </c>
    </row>
    <row r="147" customFormat="false" ht="15" hidden="false" customHeight="false" outlineLevel="0" collapsed="false">
      <c r="A147" s="2" t="s">
        <v>10</v>
      </c>
      <c r="B147" s="2" t="s">
        <v>1691</v>
      </c>
      <c r="C147" s="2" t="s">
        <v>1692</v>
      </c>
      <c r="D147" s="2" t="s">
        <v>1693</v>
      </c>
      <c r="E147" s="4" t="n">
        <v>1530.49</v>
      </c>
      <c r="F147" s="4" t="n">
        <v>139.13</v>
      </c>
      <c r="G147" s="4" t="n">
        <v>1391.36</v>
      </c>
      <c r="H147" s="2" t="s">
        <v>1385</v>
      </c>
    </row>
    <row r="148" customFormat="false" ht="15" hidden="false" customHeight="false" outlineLevel="0" collapsed="false">
      <c r="A148" s="2" t="s">
        <v>10</v>
      </c>
      <c r="B148" s="2" t="s">
        <v>1694</v>
      </c>
      <c r="C148" s="2" t="s">
        <v>1695</v>
      </c>
      <c r="D148" s="2" t="s">
        <v>1696</v>
      </c>
      <c r="E148" s="4" t="n">
        <v>121.53</v>
      </c>
      <c r="F148" s="4" t="n">
        <v>11.05</v>
      </c>
      <c r="G148" s="4" t="n">
        <v>110.48</v>
      </c>
      <c r="H148" s="2" t="s">
        <v>1385</v>
      </c>
    </row>
    <row r="149" customFormat="false" ht="15" hidden="false" customHeight="false" outlineLevel="0" collapsed="false">
      <c r="A149" s="2" t="s">
        <v>10</v>
      </c>
      <c r="B149" s="2" t="s">
        <v>1697</v>
      </c>
      <c r="C149" s="2" t="s">
        <v>1698</v>
      </c>
      <c r="D149" s="2" t="s">
        <v>1699</v>
      </c>
      <c r="E149" s="4" t="n">
        <v>1412.19</v>
      </c>
      <c r="F149" s="4" t="n">
        <v>128.38</v>
      </c>
      <c r="G149" s="4" t="n">
        <v>1283.81</v>
      </c>
      <c r="H149" s="2" t="s">
        <v>1385</v>
      </c>
    </row>
    <row r="150" customFormat="false" ht="15" hidden="false" customHeight="false" outlineLevel="0" collapsed="false">
      <c r="A150" s="2" t="s">
        <v>10</v>
      </c>
      <c r="B150" s="2" t="s">
        <v>1700</v>
      </c>
      <c r="C150" s="2" t="s">
        <v>1701</v>
      </c>
      <c r="D150" s="2" t="s">
        <v>1702</v>
      </c>
      <c r="E150" s="4" t="n">
        <v>66.19</v>
      </c>
      <c r="F150" s="4" t="n">
        <v>6.02</v>
      </c>
      <c r="G150" s="4" t="n">
        <v>60.17</v>
      </c>
      <c r="H150" s="2" t="s">
        <v>1385</v>
      </c>
    </row>
    <row r="151" customFormat="false" ht="15" hidden="false" customHeight="false" outlineLevel="0" collapsed="false">
      <c r="A151" s="2" t="s">
        <v>10</v>
      </c>
      <c r="B151" s="2" t="s">
        <v>924</v>
      </c>
      <c r="C151" s="2" t="s">
        <v>1160</v>
      </c>
      <c r="D151" s="2" t="s">
        <v>926</v>
      </c>
      <c r="E151" s="4" t="n">
        <v>37.17</v>
      </c>
      <c r="F151" s="4" t="n">
        <v>3.38</v>
      </c>
      <c r="G151" s="4" t="n">
        <v>33.79</v>
      </c>
      <c r="H151" s="2" t="s">
        <v>1381</v>
      </c>
    </row>
    <row r="152" customFormat="false" ht="15" hidden="false" customHeight="false" outlineLevel="0" collapsed="false">
      <c r="A152" s="2" t="s">
        <v>10</v>
      </c>
      <c r="B152" s="2" t="s">
        <v>1703</v>
      </c>
      <c r="C152" s="2" t="s">
        <v>1704</v>
      </c>
      <c r="D152" s="2" t="s">
        <v>1705</v>
      </c>
      <c r="E152" s="4" t="n">
        <v>98.45</v>
      </c>
      <c r="F152" s="4" t="n">
        <v>8.95</v>
      </c>
      <c r="G152" s="4" t="n">
        <v>89.5</v>
      </c>
      <c r="H152" s="2" t="s">
        <v>1385</v>
      </c>
    </row>
    <row r="153" customFormat="false" ht="15" hidden="false" customHeight="false" outlineLevel="0" collapsed="false">
      <c r="A153" s="2" t="s">
        <v>10</v>
      </c>
      <c r="B153" s="2" t="s">
        <v>1706</v>
      </c>
      <c r="C153" s="2" t="s">
        <v>1707</v>
      </c>
      <c r="D153" s="2" t="s">
        <v>1708</v>
      </c>
      <c r="E153" s="4" t="n">
        <v>46.26</v>
      </c>
      <c r="F153" s="4" t="n">
        <v>4.51</v>
      </c>
      <c r="G153" s="4" t="n">
        <v>41.75</v>
      </c>
      <c r="H153" s="2" t="s">
        <v>1385</v>
      </c>
    </row>
    <row r="154" customFormat="false" ht="15" hidden="false" customHeight="false" outlineLevel="0" collapsed="false">
      <c r="A154" s="2" t="s">
        <v>10</v>
      </c>
      <c r="B154" s="2" t="s">
        <v>1019</v>
      </c>
      <c r="C154" s="2" t="s">
        <v>1086</v>
      </c>
      <c r="D154" s="2" t="s">
        <v>1021</v>
      </c>
      <c r="E154" s="4" t="n">
        <v>65.93</v>
      </c>
      <c r="F154" s="4" t="n">
        <v>6</v>
      </c>
      <c r="G154" s="4" t="n">
        <v>59.93</v>
      </c>
      <c r="H154" s="2" t="s">
        <v>1381</v>
      </c>
    </row>
    <row r="155" customFormat="false" ht="15" hidden="false" customHeight="false" outlineLevel="0" collapsed="false">
      <c r="A155" s="2" t="s">
        <v>10</v>
      </c>
      <c r="B155" s="2" t="s">
        <v>971</v>
      </c>
      <c r="C155" s="2" t="s">
        <v>1068</v>
      </c>
      <c r="D155" s="2" t="s">
        <v>973</v>
      </c>
      <c r="E155" s="4" t="n">
        <v>36.47</v>
      </c>
      <c r="F155" s="4" t="n">
        <v>3.32</v>
      </c>
      <c r="G155" s="4" t="n">
        <v>33.15</v>
      </c>
      <c r="H155" s="2" t="s">
        <v>1381</v>
      </c>
    </row>
    <row r="156" customFormat="false" ht="15" hidden="false" customHeight="false" outlineLevel="0" collapsed="false">
      <c r="A156" s="2" t="s">
        <v>10</v>
      </c>
      <c r="B156" s="2" t="s">
        <v>1709</v>
      </c>
      <c r="C156" s="2" t="s">
        <v>1710</v>
      </c>
      <c r="D156" s="2" t="s">
        <v>1711</v>
      </c>
      <c r="E156" s="4" t="n">
        <v>919.66</v>
      </c>
      <c r="F156" s="4" t="n">
        <v>83.61</v>
      </c>
      <c r="G156" s="4" t="n">
        <v>836.05</v>
      </c>
      <c r="H156" s="2" t="s">
        <v>1385</v>
      </c>
    </row>
    <row r="157" customFormat="false" ht="15" hidden="false" customHeight="false" outlineLevel="0" collapsed="false">
      <c r="A157" s="2" t="s">
        <v>10</v>
      </c>
      <c r="B157" s="2" t="s">
        <v>1712</v>
      </c>
      <c r="C157" s="2" t="s">
        <v>1713</v>
      </c>
      <c r="D157" s="2" t="s">
        <v>1714</v>
      </c>
      <c r="E157" s="4" t="n">
        <v>1418.73</v>
      </c>
      <c r="F157" s="4" t="n">
        <v>128.98</v>
      </c>
      <c r="G157" s="4" t="n">
        <v>1289.75</v>
      </c>
      <c r="H157" s="2" t="s">
        <v>1385</v>
      </c>
    </row>
    <row r="158" customFormat="false" ht="15" hidden="false" customHeight="false" outlineLevel="0" collapsed="false">
      <c r="A158" s="2" t="s">
        <v>10</v>
      </c>
      <c r="B158" s="2" t="s">
        <v>1715</v>
      </c>
      <c r="C158" s="2" t="s">
        <v>1716</v>
      </c>
      <c r="D158" s="2" t="s">
        <v>1717</v>
      </c>
      <c r="E158" s="4" t="n">
        <v>969.89</v>
      </c>
      <c r="F158" s="4" t="n">
        <v>88.18</v>
      </c>
      <c r="G158" s="4" t="n">
        <v>881.71</v>
      </c>
      <c r="H158" s="2" t="s">
        <v>1385</v>
      </c>
    </row>
    <row r="159" customFormat="false" ht="15" hidden="false" customHeight="false" outlineLevel="0" collapsed="false">
      <c r="A159" s="2" t="s">
        <v>10</v>
      </c>
      <c r="B159" s="2" t="s">
        <v>1718</v>
      </c>
      <c r="C159" s="2" t="s">
        <v>1719</v>
      </c>
      <c r="D159" s="2" t="s">
        <v>1720</v>
      </c>
      <c r="E159" s="4" t="n">
        <v>1330.61</v>
      </c>
      <c r="F159" s="4" t="n">
        <v>120.96</v>
      </c>
      <c r="G159" s="4" t="n">
        <v>1209.65</v>
      </c>
      <c r="H159" s="2" t="s">
        <v>1385</v>
      </c>
    </row>
    <row r="160" customFormat="false" ht="15" hidden="false" customHeight="false" outlineLevel="0" collapsed="false">
      <c r="A160" s="2" t="s">
        <v>10</v>
      </c>
      <c r="B160" s="2" t="s">
        <v>1256</v>
      </c>
      <c r="C160" s="2" t="s">
        <v>1284</v>
      </c>
      <c r="D160" s="2" t="s">
        <v>1258</v>
      </c>
      <c r="E160" s="4" t="n">
        <v>27.79</v>
      </c>
      <c r="F160" s="4" t="n">
        <v>2.53</v>
      </c>
      <c r="G160" s="4" t="n">
        <v>25.26</v>
      </c>
      <c r="H160" s="2" t="s">
        <v>1381</v>
      </c>
    </row>
    <row r="161" customFormat="false" ht="15" hidden="false" customHeight="false" outlineLevel="0" collapsed="false">
      <c r="A161" s="2" t="s">
        <v>10</v>
      </c>
      <c r="B161" s="2" t="s">
        <v>1012</v>
      </c>
      <c r="C161" s="2" t="s">
        <v>1084</v>
      </c>
      <c r="D161" s="2" t="s">
        <v>1014</v>
      </c>
      <c r="E161" s="4" t="n">
        <v>35.81</v>
      </c>
      <c r="F161" s="4" t="n">
        <v>3.26</v>
      </c>
      <c r="G161" s="4" t="n">
        <v>32.55</v>
      </c>
      <c r="H161" s="2" t="s">
        <v>1381</v>
      </c>
    </row>
    <row r="162" customFormat="false" ht="15" hidden="false" customHeight="false" outlineLevel="0" collapsed="false">
      <c r="A162" s="2" t="s">
        <v>10</v>
      </c>
      <c r="B162" s="2" t="s">
        <v>1721</v>
      </c>
      <c r="C162" s="2" t="s">
        <v>1722</v>
      </c>
      <c r="D162" s="2" t="s">
        <v>1723</v>
      </c>
      <c r="E162" s="4" t="n">
        <v>36.11</v>
      </c>
      <c r="F162" s="4" t="n">
        <v>3.29</v>
      </c>
      <c r="G162" s="4" t="n">
        <v>32.82</v>
      </c>
      <c r="H162" s="2" t="s">
        <v>1385</v>
      </c>
    </row>
    <row r="163" customFormat="false" ht="15" hidden="false" customHeight="false" outlineLevel="0" collapsed="false">
      <c r="A163" s="2" t="s">
        <v>10</v>
      </c>
      <c r="B163" s="2" t="s">
        <v>1724</v>
      </c>
      <c r="C163" s="2" t="s">
        <v>1725</v>
      </c>
      <c r="D163" s="2" t="s">
        <v>1726</v>
      </c>
      <c r="E163" s="4" t="n">
        <v>68.26</v>
      </c>
      <c r="F163" s="4" t="n">
        <v>6.21</v>
      </c>
      <c r="G163" s="4" t="n">
        <v>62.05</v>
      </c>
      <c r="H163" s="2" t="s">
        <v>1385</v>
      </c>
    </row>
    <row r="164" customFormat="false" ht="15" hidden="false" customHeight="false" outlineLevel="0" collapsed="false">
      <c r="A164" s="2" t="s">
        <v>10</v>
      </c>
      <c r="B164" s="2" t="s">
        <v>1727</v>
      </c>
      <c r="C164" s="2" t="s">
        <v>1728</v>
      </c>
      <c r="D164" s="2" t="s">
        <v>1729</v>
      </c>
      <c r="E164" s="4" t="n">
        <v>100.7</v>
      </c>
      <c r="F164" s="4" t="n">
        <v>9.16</v>
      </c>
      <c r="G164" s="4" t="n">
        <v>91.54</v>
      </c>
      <c r="H164" s="2" t="s">
        <v>1385</v>
      </c>
    </row>
    <row r="165" customFormat="false" ht="15" hidden="false" customHeight="false" outlineLevel="0" collapsed="false">
      <c r="A165" s="2" t="s">
        <v>10</v>
      </c>
      <c r="B165" s="2" t="s">
        <v>984</v>
      </c>
      <c r="C165" s="2" t="s">
        <v>1074</v>
      </c>
      <c r="D165" s="2" t="s">
        <v>986</v>
      </c>
      <c r="E165" s="4" t="n">
        <v>36.28</v>
      </c>
      <c r="F165" s="4" t="n">
        <v>3.3</v>
      </c>
      <c r="G165" s="4" t="n">
        <v>32.98</v>
      </c>
      <c r="H165" s="2" t="s">
        <v>1381</v>
      </c>
    </row>
    <row r="166" customFormat="false" ht="15" hidden="false" customHeight="false" outlineLevel="0" collapsed="false">
      <c r="A166" s="2" t="s">
        <v>10</v>
      </c>
      <c r="B166" s="2" t="s">
        <v>1730</v>
      </c>
      <c r="C166" s="2" t="s">
        <v>1731</v>
      </c>
      <c r="D166" s="2" t="s">
        <v>1732</v>
      </c>
      <c r="E166" s="4" t="n">
        <v>124.57</v>
      </c>
      <c r="F166" s="4" t="n">
        <v>11.33</v>
      </c>
      <c r="G166" s="4" t="n">
        <v>113.24</v>
      </c>
      <c r="H166" s="2" t="s">
        <v>1385</v>
      </c>
    </row>
    <row r="167" customFormat="false" ht="15" hidden="false" customHeight="false" outlineLevel="0" collapsed="false">
      <c r="A167" s="2" t="s">
        <v>10</v>
      </c>
      <c r="B167" s="2" t="s">
        <v>1733</v>
      </c>
      <c r="C167" s="2" t="s">
        <v>1734</v>
      </c>
      <c r="D167" s="2" t="s">
        <v>1735</v>
      </c>
      <c r="E167" s="4" t="n">
        <v>2812.93</v>
      </c>
      <c r="F167" s="4" t="n">
        <v>262.06</v>
      </c>
      <c r="G167" s="4" t="n">
        <v>2550.87</v>
      </c>
      <c r="H167" s="2" t="s">
        <v>1385</v>
      </c>
    </row>
    <row r="168" customFormat="false" ht="15" hidden="false" customHeight="false" outlineLevel="0" collapsed="false">
      <c r="A168" s="2" t="s">
        <v>10</v>
      </c>
      <c r="B168" s="2" t="s">
        <v>1736</v>
      </c>
      <c r="C168" s="2" t="s">
        <v>1737</v>
      </c>
      <c r="D168" s="2" t="s">
        <v>1738</v>
      </c>
      <c r="E168" s="4" t="n">
        <v>1167.85</v>
      </c>
      <c r="F168" s="4" t="n">
        <v>106.44</v>
      </c>
      <c r="G168" s="4" t="n">
        <v>1061.41</v>
      </c>
      <c r="H168" s="2" t="s">
        <v>1385</v>
      </c>
    </row>
    <row r="169" customFormat="false" ht="15" hidden="false" customHeight="false" outlineLevel="0" collapsed="false">
      <c r="A169" s="2" t="s">
        <v>10</v>
      </c>
      <c r="B169" s="2" t="s">
        <v>1739</v>
      </c>
      <c r="C169" s="2" t="s">
        <v>1740</v>
      </c>
      <c r="D169" s="2" t="s">
        <v>1741</v>
      </c>
      <c r="E169" s="4" t="n">
        <v>104.18</v>
      </c>
      <c r="F169" s="4" t="n">
        <v>9.48</v>
      </c>
      <c r="G169" s="4" t="n">
        <v>94.7</v>
      </c>
      <c r="H169" s="2" t="s">
        <v>1385</v>
      </c>
    </row>
    <row r="170" customFormat="false" ht="15" hidden="false" customHeight="false" outlineLevel="0" collapsed="false">
      <c r="A170" s="2" t="s">
        <v>10</v>
      </c>
      <c r="B170" s="2" t="s">
        <v>1742</v>
      </c>
      <c r="C170" s="2" t="s">
        <v>1743</v>
      </c>
      <c r="D170" s="2" t="s">
        <v>1744</v>
      </c>
      <c r="E170" s="4" t="n">
        <v>578.98</v>
      </c>
      <c r="F170" s="4" t="n">
        <v>52.64</v>
      </c>
      <c r="G170" s="4" t="n">
        <v>526.34</v>
      </c>
      <c r="H170" s="2" t="s">
        <v>1385</v>
      </c>
    </row>
    <row r="171" customFormat="false" ht="15" hidden="false" customHeight="false" outlineLevel="0" collapsed="false">
      <c r="A171" s="2" t="s">
        <v>10</v>
      </c>
      <c r="B171" s="2" t="s">
        <v>1745</v>
      </c>
      <c r="C171" s="2" t="s">
        <v>1746</v>
      </c>
      <c r="D171" s="2" t="s">
        <v>1747</v>
      </c>
      <c r="E171" s="4" t="n">
        <v>37.58</v>
      </c>
      <c r="F171" s="4" t="n">
        <v>3.42</v>
      </c>
      <c r="G171" s="4" t="n">
        <v>34.16</v>
      </c>
      <c r="H171" s="2" t="s">
        <v>1385</v>
      </c>
    </row>
    <row r="172" customFormat="false" ht="15" hidden="false" customHeight="false" outlineLevel="0" collapsed="false">
      <c r="A172" s="2" t="s">
        <v>10</v>
      </c>
      <c r="B172" s="2" t="s">
        <v>978</v>
      </c>
      <c r="C172" s="2" t="s">
        <v>1072</v>
      </c>
      <c r="D172" s="2" t="s">
        <v>980</v>
      </c>
      <c r="E172" s="4" t="n">
        <v>35.81</v>
      </c>
      <c r="F172" s="4" t="n">
        <v>3.26</v>
      </c>
      <c r="G172" s="4" t="n">
        <v>32.55</v>
      </c>
      <c r="H172" s="2" t="s">
        <v>1381</v>
      </c>
    </row>
    <row r="173" customFormat="false" ht="15" hidden="false" customHeight="false" outlineLevel="0" collapsed="false">
      <c r="A173" s="2" t="s">
        <v>10</v>
      </c>
      <c r="B173" s="2" t="s">
        <v>1748</v>
      </c>
      <c r="C173" s="2" t="s">
        <v>1749</v>
      </c>
      <c r="D173" s="2" t="s">
        <v>1750</v>
      </c>
      <c r="E173" s="4" t="n">
        <v>153.21</v>
      </c>
      <c r="F173" s="4" t="n">
        <v>13.93</v>
      </c>
      <c r="G173" s="4" t="n">
        <v>139.28</v>
      </c>
      <c r="H173" s="2" t="s">
        <v>1385</v>
      </c>
    </row>
    <row r="174" customFormat="false" ht="15" hidden="false" customHeight="false" outlineLevel="0" collapsed="false">
      <c r="A174" s="2" t="s">
        <v>10</v>
      </c>
      <c r="B174" s="2" t="s">
        <v>1751</v>
      </c>
      <c r="C174" s="2" t="s">
        <v>1752</v>
      </c>
      <c r="D174" s="2" t="s">
        <v>1753</v>
      </c>
      <c r="E174" s="4" t="n">
        <v>55.9</v>
      </c>
      <c r="F174" s="4" t="n">
        <v>5.09</v>
      </c>
      <c r="G174" s="4" t="n">
        <v>50.81</v>
      </c>
      <c r="H174" s="2" t="s">
        <v>1385</v>
      </c>
    </row>
    <row r="175" customFormat="false" ht="15" hidden="false" customHeight="false" outlineLevel="0" collapsed="false">
      <c r="A175" s="2" t="s">
        <v>10</v>
      </c>
      <c r="B175" s="2" t="s">
        <v>1754</v>
      </c>
      <c r="C175" s="2" t="s">
        <v>1755</v>
      </c>
      <c r="D175" s="2" t="s">
        <v>1756</v>
      </c>
      <c r="E175" s="4" t="n">
        <v>93.23</v>
      </c>
      <c r="F175" s="4" t="n">
        <v>8.48</v>
      </c>
      <c r="G175" s="4" t="n">
        <v>84.75</v>
      </c>
      <c r="H175" s="2" t="s">
        <v>1385</v>
      </c>
    </row>
    <row r="176" customFormat="false" ht="15" hidden="false" customHeight="false" outlineLevel="0" collapsed="false">
      <c r="A176" s="2" t="s">
        <v>10</v>
      </c>
      <c r="B176" s="2" t="s">
        <v>1757</v>
      </c>
      <c r="C176" s="2" t="s">
        <v>1758</v>
      </c>
      <c r="D176" s="2" t="s">
        <v>1759</v>
      </c>
      <c r="E176" s="4" t="n">
        <v>285.16</v>
      </c>
      <c r="F176" s="4" t="n">
        <v>25.93</v>
      </c>
      <c r="G176" s="4" t="n">
        <v>259.23</v>
      </c>
      <c r="H176" s="2" t="s">
        <v>1385</v>
      </c>
    </row>
    <row r="177" customFormat="false" ht="15" hidden="false" customHeight="false" outlineLevel="0" collapsed="false">
      <c r="A177" s="2" t="s">
        <v>10</v>
      </c>
      <c r="B177" s="2" t="s">
        <v>1760</v>
      </c>
      <c r="C177" s="2" t="s">
        <v>1761</v>
      </c>
      <c r="D177" s="2" t="s">
        <v>1762</v>
      </c>
      <c r="E177" s="4" t="n">
        <v>152.95</v>
      </c>
      <c r="F177" s="4" t="n">
        <v>13.91</v>
      </c>
      <c r="G177" s="4" t="n">
        <v>139.04</v>
      </c>
      <c r="H177" s="2" t="s">
        <v>1385</v>
      </c>
    </row>
    <row r="178" customFormat="false" ht="15" hidden="false" customHeight="false" outlineLevel="0" collapsed="false">
      <c r="A178" s="2" t="s">
        <v>10</v>
      </c>
      <c r="B178" s="2" t="s">
        <v>1763</v>
      </c>
      <c r="C178" s="2" t="s">
        <v>1764</v>
      </c>
      <c r="D178" s="2" t="s">
        <v>1765</v>
      </c>
      <c r="E178" s="4" t="n">
        <v>60.2</v>
      </c>
      <c r="F178" s="4" t="n">
        <v>5.48</v>
      </c>
      <c r="G178" s="4" t="n">
        <v>54.72</v>
      </c>
      <c r="H178" s="2" t="s">
        <v>1385</v>
      </c>
    </row>
    <row r="179" customFormat="false" ht="15" hidden="false" customHeight="false" outlineLevel="0" collapsed="false">
      <c r="A179" s="2" t="s">
        <v>10</v>
      </c>
      <c r="B179" s="2" t="s">
        <v>1766</v>
      </c>
      <c r="C179" s="2" t="s">
        <v>1767</v>
      </c>
      <c r="D179" s="2" t="s">
        <v>1768</v>
      </c>
      <c r="E179" s="4" t="n">
        <v>435.19</v>
      </c>
      <c r="F179" s="4" t="n">
        <v>39.57</v>
      </c>
      <c r="G179" s="4" t="n">
        <v>395.62</v>
      </c>
      <c r="H179" s="2" t="s">
        <v>1385</v>
      </c>
    </row>
    <row r="180" customFormat="false" ht="15" hidden="false" customHeight="false" outlineLevel="0" collapsed="false">
      <c r="A180" s="2" t="s">
        <v>10</v>
      </c>
      <c r="B180" s="2" t="s">
        <v>1769</v>
      </c>
      <c r="C180" s="2" t="s">
        <v>1770</v>
      </c>
      <c r="D180" s="2" t="s">
        <v>1771</v>
      </c>
      <c r="E180" s="4" t="n">
        <v>191.26</v>
      </c>
      <c r="F180" s="4" t="n">
        <v>17.39</v>
      </c>
      <c r="G180" s="4" t="n">
        <v>173.87</v>
      </c>
      <c r="H180" s="2" t="s">
        <v>1385</v>
      </c>
    </row>
    <row r="181" customFormat="false" ht="15" hidden="false" customHeight="false" outlineLevel="0" collapsed="false">
      <c r="A181" s="2" t="s">
        <v>10</v>
      </c>
      <c r="B181" s="2" t="s">
        <v>1772</v>
      </c>
      <c r="C181" s="2" t="s">
        <v>1773</v>
      </c>
      <c r="D181" s="2" t="s">
        <v>1774</v>
      </c>
      <c r="E181" s="4" t="n">
        <v>128.62</v>
      </c>
      <c r="F181" s="4" t="n">
        <v>11.7</v>
      </c>
      <c r="G181" s="4" t="n">
        <v>116.92</v>
      </c>
      <c r="H181" s="2" t="s">
        <v>1385</v>
      </c>
    </row>
    <row r="182" customFormat="false" ht="15" hidden="false" customHeight="false" outlineLevel="0" collapsed="false">
      <c r="A182" s="2" t="s">
        <v>10</v>
      </c>
      <c r="B182" s="2" t="s">
        <v>1775</v>
      </c>
      <c r="C182" s="2" t="s">
        <v>1776</v>
      </c>
      <c r="D182" s="2" t="s">
        <v>1777</v>
      </c>
      <c r="E182" s="4" t="n">
        <v>35.87</v>
      </c>
      <c r="F182" s="4" t="n">
        <v>3.27</v>
      </c>
      <c r="G182" s="4" t="n">
        <v>32.6</v>
      </c>
      <c r="H182" s="2" t="s">
        <v>1385</v>
      </c>
    </row>
    <row r="183" customFormat="false" ht="15" hidden="false" customHeight="false" outlineLevel="0" collapsed="false">
      <c r="A183" s="2" t="s">
        <v>10</v>
      </c>
      <c r="B183" s="2" t="s">
        <v>816</v>
      </c>
      <c r="C183" s="2" t="s">
        <v>817</v>
      </c>
      <c r="D183" s="2" t="s">
        <v>818</v>
      </c>
      <c r="E183" s="4" t="n">
        <v>89.44</v>
      </c>
      <c r="F183" s="4" t="n">
        <v>8.14</v>
      </c>
      <c r="G183" s="4" t="n">
        <v>81.3</v>
      </c>
      <c r="H183" s="2" t="s">
        <v>1381</v>
      </c>
    </row>
    <row r="184" customFormat="false" ht="15" hidden="false" customHeight="false" outlineLevel="0" collapsed="false">
      <c r="A184" s="2" t="s">
        <v>10</v>
      </c>
      <c r="B184" s="2" t="s">
        <v>1778</v>
      </c>
      <c r="C184" s="2" t="s">
        <v>1779</v>
      </c>
      <c r="D184" s="2" t="s">
        <v>1780</v>
      </c>
      <c r="E184" s="4" t="n">
        <v>227.35</v>
      </c>
      <c r="F184" s="4" t="n">
        <v>20.67</v>
      </c>
      <c r="G184" s="4" t="n">
        <v>206.68</v>
      </c>
      <c r="H184" s="2" t="s">
        <v>1385</v>
      </c>
    </row>
    <row r="185" customFormat="false" ht="15" hidden="false" customHeight="false" outlineLevel="0" collapsed="false">
      <c r="A185" s="2" t="s">
        <v>10</v>
      </c>
      <c r="B185" s="2" t="s">
        <v>1781</v>
      </c>
      <c r="C185" s="2" t="s">
        <v>1782</v>
      </c>
      <c r="D185" s="2" t="s">
        <v>1783</v>
      </c>
      <c r="E185" s="4" t="n">
        <v>89.07</v>
      </c>
      <c r="F185" s="4" t="n">
        <v>8.1</v>
      </c>
      <c r="G185" s="4" t="n">
        <v>80.97</v>
      </c>
      <c r="H185" s="2" t="s">
        <v>1385</v>
      </c>
    </row>
    <row r="186" customFormat="false" ht="15" hidden="false" customHeight="false" outlineLevel="0" collapsed="false">
      <c r="A186" s="2" t="s">
        <v>10</v>
      </c>
      <c r="B186" s="2" t="s">
        <v>1784</v>
      </c>
      <c r="C186" s="2" t="s">
        <v>1785</v>
      </c>
      <c r="D186" s="2" t="s">
        <v>1786</v>
      </c>
      <c r="E186" s="4" t="n">
        <v>64.12</v>
      </c>
      <c r="F186" s="4" t="n">
        <v>5.83</v>
      </c>
      <c r="G186" s="4" t="n">
        <v>58.29</v>
      </c>
      <c r="H186" s="2" t="s">
        <v>1385</v>
      </c>
    </row>
    <row r="187" customFormat="false" ht="15" hidden="false" customHeight="false" outlineLevel="0" collapsed="false">
      <c r="A187" s="2" t="s">
        <v>10</v>
      </c>
      <c r="B187" s="2" t="s">
        <v>1787</v>
      </c>
      <c r="C187" s="2" t="s">
        <v>1788</v>
      </c>
      <c r="D187" s="2" t="s">
        <v>1789</v>
      </c>
      <c r="E187" s="4" t="n">
        <v>91.14</v>
      </c>
      <c r="F187" s="4" t="n">
        <v>8.29</v>
      </c>
      <c r="G187" s="4" t="n">
        <v>82.85</v>
      </c>
      <c r="H187" s="2" t="s">
        <v>1385</v>
      </c>
    </row>
    <row r="188" customFormat="false" ht="15" hidden="false" customHeight="false" outlineLevel="0" collapsed="false">
      <c r="A188" s="2" t="s">
        <v>10</v>
      </c>
      <c r="B188" s="2" t="s">
        <v>1790</v>
      </c>
      <c r="C188" s="2" t="s">
        <v>1791</v>
      </c>
      <c r="D188" s="2" t="s">
        <v>1792</v>
      </c>
      <c r="E188" s="4" t="n">
        <v>71.5</v>
      </c>
      <c r="F188" s="4" t="n">
        <v>6.5</v>
      </c>
      <c r="G188" s="4" t="n">
        <v>65</v>
      </c>
      <c r="H188" s="2" t="s">
        <v>1385</v>
      </c>
    </row>
    <row r="189" customFormat="false" ht="15" hidden="false" customHeight="false" outlineLevel="0" collapsed="false">
      <c r="A189" s="2" t="s">
        <v>10</v>
      </c>
      <c r="B189" s="2" t="s">
        <v>1793</v>
      </c>
      <c r="C189" s="2" t="s">
        <v>1794</v>
      </c>
      <c r="D189" s="2" t="s">
        <v>1795</v>
      </c>
      <c r="E189" s="4" t="n">
        <v>43.15</v>
      </c>
      <c r="F189" s="4" t="n">
        <v>3.92</v>
      </c>
      <c r="G189" s="4" t="n">
        <v>39.23</v>
      </c>
      <c r="H189" s="2" t="s">
        <v>1385</v>
      </c>
    </row>
    <row r="190" customFormat="false" ht="15" hidden="false" customHeight="false" outlineLevel="0" collapsed="false">
      <c r="A190" s="2" t="s">
        <v>10</v>
      </c>
      <c r="B190" s="2" t="s">
        <v>1796</v>
      </c>
      <c r="C190" s="2" t="s">
        <v>1797</v>
      </c>
      <c r="D190" s="2" t="s">
        <v>1798</v>
      </c>
      <c r="E190" s="4" t="n">
        <v>291.7</v>
      </c>
      <c r="F190" s="4" t="n">
        <v>26.52</v>
      </c>
      <c r="G190" s="4" t="n">
        <v>265.18</v>
      </c>
      <c r="H190" s="2" t="s">
        <v>1385</v>
      </c>
    </row>
    <row r="191" customFormat="false" ht="15" hidden="false" customHeight="false" outlineLevel="0" collapsed="false">
      <c r="A191" s="2" t="s">
        <v>10</v>
      </c>
      <c r="B191" s="2" t="s">
        <v>1799</v>
      </c>
      <c r="C191" s="2" t="s">
        <v>1800</v>
      </c>
      <c r="D191" s="2" t="s">
        <v>1801</v>
      </c>
      <c r="E191" s="4" t="n">
        <v>35.81</v>
      </c>
      <c r="F191" s="4" t="n">
        <v>3.26</v>
      </c>
      <c r="G191" s="4" t="n">
        <v>32.55</v>
      </c>
      <c r="H191" s="2" t="s">
        <v>1385</v>
      </c>
    </row>
    <row r="192" customFormat="false" ht="15" hidden="false" customHeight="false" outlineLevel="0" collapsed="false">
      <c r="A192" s="2" t="s">
        <v>10</v>
      </c>
      <c r="B192" s="2" t="s">
        <v>1802</v>
      </c>
      <c r="C192" s="2" t="s">
        <v>1803</v>
      </c>
      <c r="D192" s="2" t="s">
        <v>1804</v>
      </c>
      <c r="E192" s="4" t="n">
        <v>162.53</v>
      </c>
      <c r="F192" s="4" t="n">
        <v>15.35</v>
      </c>
      <c r="G192" s="4" t="n">
        <v>147.18</v>
      </c>
      <c r="H192" s="2" t="s">
        <v>1385</v>
      </c>
    </row>
    <row r="193" customFormat="false" ht="15" hidden="false" customHeight="false" outlineLevel="0" collapsed="false">
      <c r="A193" s="2" t="s">
        <v>10</v>
      </c>
      <c r="B193" s="2" t="s">
        <v>1805</v>
      </c>
      <c r="C193" s="2" t="s">
        <v>1806</v>
      </c>
      <c r="D193" s="2" t="s">
        <v>1807</v>
      </c>
      <c r="E193" s="4" t="n">
        <v>111.88</v>
      </c>
      <c r="F193" s="4" t="n">
        <v>10.18</v>
      </c>
      <c r="G193" s="4" t="n">
        <v>101.7</v>
      </c>
      <c r="H193" s="2" t="s">
        <v>1385</v>
      </c>
    </row>
    <row r="194" customFormat="false" ht="15" hidden="false" customHeight="false" outlineLevel="0" collapsed="false">
      <c r="A194" s="2" t="s">
        <v>10</v>
      </c>
      <c r="B194" s="2" t="s">
        <v>1808</v>
      </c>
      <c r="C194" s="2" t="s">
        <v>1809</v>
      </c>
      <c r="D194" s="2" t="s">
        <v>1810</v>
      </c>
      <c r="E194" s="4" t="n">
        <v>59.12</v>
      </c>
      <c r="F194" s="4" t="n">
        <v>5.38</v>
      </c>
      <c r="G194" s="4" t="n">
        <v>53.74</v>
      </c>
      <c r="H194" s="2" t="s">
        <v>1385</v>
      </c>
    </row>
    <row r="195" customFormat="false" ht="15" hidden="false" customHeight="false" outlineLevel="0" collapsed="false">
      <c r="A195" s="2" t="s">
        <v>10</v>
      </c>
      <c r="B195" s="2" t="s">
        <v>1811</v>
      </c>
      <c r="C195" s="2" t="s">
        <v>1812</v>
      </c>
      <c r="D195" s="2" t="s">
        <v>1813</v>
      </c>
      <c r="E195" s="4" t="n">
        <v>46.61</v>
      </c>
      <c r="F195" s="4" t="n">
        <v>4.24</v>
      </c>
      <c r="G195" s="4" t="n">
        <v>42.37</v>
      </c>
      <c r="H195" s="2" t="s">
        <v>1385</v>
      </c>
    </row>
    <row r="196" customFormat="false" ht="15" hidden="false" customHeight="false" outlineLevel="0" collapsed="false">
      <c r="A196" s="2" t="s">
        <v>10</v>
      </c>
      <c r="B196" s="2" t="s">
        <v>1814</v>
      </c>
      <c r="C196" s="2" t="s">
        <v>1815</v>
      </c>
      <c r="D196" s="2" t="s">
        <v>1816</v>
      </c>
      <c r="E196" s="4" t="n">
        <v>38</v>
      </c>
      <c r="F196" s="4" t="n">
        <v>3.46</v>
      </c>
      <c r="G196" s="4" t="n">
        <v>34.54</v>
      </c>
      <c r="H196" s="2" t="s">
        <v>1385</v>
      </c>
    </row>
    <row r="197" customFormat="false" ht="15" hidden="false" customHeight="false" outlineLevel="0" collapsed="false">
      <c r="A197" s="2" t="s">
        <v>10</v>
      </c>
      <c r="B197" s="2" t="s">
        <v>822</v>
      </c>
      <c r="C197" s="2" t="s">
        <v>855</v>
      </c>
      <c r="D197" s="2" t="s">
        <v>824</v>
      </c>
      <c r="E197" s="4" t="n">
        <v>85.18</v>
      </c>
      <c r="F197" s="4" t="n">
        <v>7.75</v>
      </c>
      <c r="G197" s="4" t="n">
        <v>77.43</v>
      </c>
      <c r="H197" s="2" t="s">
        <v>1381</v>
      </c>
    </row>
    <row r="198" customFormat="false" ht="15" hidden="false" customHeight="false" outlineLevel="0" collapsed="false">
      <c r="A198" s="2" t="s">
        <v>10</v>
      </c>
      <c r="B198" s="2" t="s">
        <v>1817</v>
      </c>
      <c r="C198" s="2" t="s">
        <v>1818</v>
      </c>
      <c r="D198" s="2" t="s">
        <v>1819</v>
      </c>
      <c r="E198" s="4" t="n">
        <v>261.78</v>
      </c>
      <c r="F198" s="4" t="n">
        <v>23.8</v>
      </c>
      <c r="G198" s="4" t="n">
        <v>237.98</v>
      </c>
      <c r="H198" s="2" t="s">
        <v>1385</v>
      </c>
    </row>
    <row r="199" customFormat="false" ht="15" hidden="false" customHeight="false" outlineLevel="0" collapsed="false">
      <c r="A199" s="2" t="s">
        <v>10</v>
      </c>
      <c r="B199" s="2" t="s">
        <v>1820</v>
      </c>
      <c r="C199" s="2" t="s">
        <v>1821</v>
      </c>
      <c r="D199" s="2" t="s">
        <v>1822</v>
      </c>
      <c r="E199" s="4" t="n">
        <v>90.22</v>
      </c>
      <c r="F199" s="4" t="n">
        <v>8.21</v>
      </c>
      <c r="G199" s="4" t="n">
        <v>82.01</v>
      </c>
      <c r="H199" s="2" t="s">
        <v>1385</v>
      </c>
    </row>
    <row r="200" customFormat="false" ht="15" hidden="false" customHeight="false" outlineLevel="0" collapsed="false">
      <c r="A200" s="2" t="s">
        <v>10</v>
      </c>
      <c r="B200" s="2" t="s">
        <v>1823</v>
      </c>
      <c r="C200" s="2" t="s">
        <v>1824</v>
      </c>
      <c r="D200" s="2" t="s">
        <v>1825</v>
      </c>
      <c r="E200" s="4" t="n">
        <v>122.09</v>
      </c>
      <c r="F200" s="4" t="n">
        <v>11.1</v>
      </c>
      <c r="G200" s="4" t="n">
        <v>110.99</v>
      </c>
      <c r="H200" s="2" t="s">
        <v>1385</v>
      </c>
    </row>
    <row r="201" customFormat="false" ht="15" hidden="false" customHeight="false" outlineLevel="0" collapsed="false">
      <c r="A201" s="2" t="s">
        <v>10</v>
      </c>
      <c r="B201" s="2" t="s">
        <v>1826</v>
      </c>
      <c r="C201" s="2" t="s">
        <v>1827</v>
      </c>
      <c r="D201" s="2" t="s">
        <v>1828</v>
      </c>
      <c r="E201" s="4" t="n">
        <v>779.9</v>
      </c>
      <c r="F201" s="4" t="n">
        <v>78.41</v>
      </c>
      <c r="G201" s="4" t="n">
        <v>701.49</v>
      </c>
      <c r="H201" s="2" t="s">
        <v>1385</v>
      </c>
    </row>
    <row r="202" customFormat="false" ht="15" hidden="false" customHeight="false" outlineLevel="0" collapsed="false">
      <c r="A202" s="2" t="s">
        <v>10</v>
      </c>
      <c r="B202" s="2" t="s">
        <v>875</v>
      </c>
      <c r="C202" s="2" t="s">
        <v>876</v>
      </c>
      <c r="D202" s="2" t="s">
        <v>877</v>
      </c>
      <c r="E202" s="4" t="n">
        <v>76.04</v>
      </c>
      <c r="F202" s="4" t="n">
        <v>6.92</v>
      </c>
      <c r="G202" s="4" t="n">
        <v>69.12</v>
      </c>
      <c r="H202" s="2" t="s">
        <v>1381</v>
      </c>
    </row>
    <row r="203" customFormat="false" ht="15" hidden="false" customHeight="false" outlineLevel="0" collapsed="false">
      <c r="A203" s="2" t="s">
        <v>10</v>
      </c>
      <c r="B203" s="2" t="s">
        <v>1829</v>
      </c>
      <c r="C203" s="2" t="s">
        <v>1830</v>
      </c>
      <c r="D203" s="2" t="s">
        <v>1831</v>
      </c>
      <c r="E203" s="4" t="n">
        <v>52.4</v>
      </c>
      <c r="F203" s="4" t="n">
        <v>4.77</v>
      </c>
      <c r="G203" s="4" t="n">
        <v>47.63</v>
      </c>
      <c r="H203" s="2" t="s">
        <v>1385</v>
      </c>
    </row>
    <row r="204" customFormat="false" ht="15" hidden="false" customHeight="false" outlineLevel="0" collapsed="false">
      <c r="A204" s="2" t="s">
        <v>10</v>
      </c>
      <c r="B204" s="2" t="s">
        <v>533</v>
      </c>
      <c r="C204" s="2" t="s">
        <v>539</v>
      </c>
      <c r="D204" s="2" t="s">
        <v>535</v>
      </c>
      <c r="E204" s="4" t="n">
        <v>112.34</v>
      </c>
      <c r="F204" s="4" t="n">
        <v>10.22</v>
      </c>
      <c r="G204" s="4" t="n">
        <v>102.12</v>
      </c>
      <c r="H204" s="2" t="s">
        <v>1381</v>
      </c>
    </row>
    <row r="205" customFormat="false" ht="15" hidden="false" customHeight="false" outlineLevel="0" collapsed="false">
      <c r="A205" s="2" t="s">
        <v>10</v>
      </c>
      <c r="B205" s="2" t="s">
        <v>1217</v>
      </c>
      <c r="C205" s="2" t="s">
        <v>1282</v>
      </c>
      <c r="D205" s="2" t="s">
        <v>1219</v>
      </c>
      <c r="E205" s="4" t="n">
        <v>27.79</v>
      </c>
      <c r="F205" s="4" t="n">
        <v>2.53</v>
      </c>
      <c r="G205" s="4" t="n">
        <v>25.26</v>
      </c>
      <c r="H205" s="2" t="s">
        <v>1381</v>
      </c>
    </row>
    <row r="206" customFormat="false" ht="15" hidden="false" customHeight="false" outlineLevel="0" collapsed="false">
      <c r="A206" s="2" t="s">
        <v>10</v>
      </c>
      <c r="B206" s="2" t="s">
        <v>1832</v>
      </c>
      <c r="C206" s="2" t="s">
        <v>1833</v>
      </c>
      <c r="D206" s="2" t="s">
        <v>1834</v>
      </c>
      <c r="E206" s="4" t="n">
        <v>393.54</v>
      </c>
      <c r="F206" s="4" t="n">
        <v>35.78</v>
      </c>
      <c r="G206" s="4" t="n">
        <v>357.76</v>
      </c>
      <c r="H206" s="2" t="s">
        <v>1385</v>
      </c>
    </row>
    <row r="207" customFormat="false" ht="15" hidden="false" customHeight="false" outlineLevel="0" collapsed="false">
      <c r="A207" s="2" t="s">
        <v>10</v>
      </c>
      <c r="B207" s="2" t="s">
        <v>1835</v>
      </c>
      <c r="C207" s="2" t="s">
        <v>1836</v>
      </c>
      <c r="D207" s="2" t="s">
        <v>1837</v>
      </c>
      <c r="E207" s="4" t="n">
        <v>85.1</v>
      </c>
      <c r="F207" s="4" t="n">
        <v>7.74</v>
      </c>
      <c r="G207" s="4" t="n">
        <v>77.36</v>
      </c>
      <c r="H207" s="2" t="s">
        <v>1385</v>
      </c>
    </row>
    <row r="208" customFormat="false" ht="15" hidden="false" customHeight="false" outlineLevel="0" collapsed="false">
      <c r="A208" s="2" t="s">
        <v>10</v>
      </c>
      <c r="B208" s="2" t="s">
        <v>1838</v>
      </c>
      <c r="C208" s="2" t="s">
        <v>1839</v>
      </c>
      <c r="D208" s="2" t="s">
        <v>1840</v>
      </c>
      <c r="E208" s="4" t="n">
        <v>404.52</v>
      </c>
      <c r="F208" s="4" t="n">
        <v>36.79</v>
      </c>
      <c r="G208" s="4" t="n">
        <v>367.73</v>
      </c>
      <c r="H208" s="2" t="s">
        <v>1385</v>
      </c>
    </row>
    <row r="209" customFormat="false" ht="15" hidden="false" customHeight="false" outlineLevel="0" collapsed="false">
      <c r="A209" s="2" t="s">
        <v>10</v>
      </c>
      <c r="B209" s="2" t="s">
        <v>1841</v>
      </c>
      <c r="C209" s="2" t="s">
        <v>1842</v>
      </c>
      <c r="D209" s="2" t="s">
        <v>1843</v>
      </c>
      <c r="E209" s="4" t="n">
        <v>36.35</v>
      </c>
      <c r="F209" s="4" t="n">
        <v>3.31</v>
      </c>
      <c r="G209" s="4" t="n">
        <v>33.04</v>
      </c>
      <c r="H209" s="2" t="s">
        <v>1385</v>
      </c>
    </row>
    <row r="210" customFormat="false" ht="15" hidden="false" customHeight="false" outlineLevel="0" collapsed="false">
      <c r="A210" s="2" t="s">
        <v>10</v>
      </c>
      <c r="B210" s="2" t="s">
        <v>1844</v>
      </c>
      <c r="C210" s="2" t="s">
        <v>1845</v>
      </c>
      <c r="D210" s="2" t="s">
        <v>1846</v>
      </c>
      <c r="E210" s="4" t="n">
        <v>55.86</v>
      </c>
      <c r="F210" s="4" t="n">
        <v>5.08</v>
      </c>
      <c r="G210" s="4" t="n">
        <v>50.78</v>
      </c>
      <c r="H210" s="2" t="s">
        <v>1385</v>
      </c>
    </row>
    <row r="211" customFormat="false" ht="15" hidden="false" customHeight="false" outlineLevel="0" collapsed="false">
      <c r="A211" s="2" t="s">
        <v>10</v>
      </c>
      <c r="B211" s="2" t="s">
        <v>1847</v>
      </c>
      <c r="C211" s="2" t="s">
        <v>1848</v>
      </c>
      <c r="D211" s="2" t="s">
        <v>1849</v>
      </c>
      <c r="E211" s="4" t="n">
        <v>94.83</v>
      </c>
      <c r="F211" s="4" t="n">
        <v>8.62</v>
      </c>
      <c r="G211" s="4" t="n">
        <v>86.21</v>
      </c>
      <c r="H211" s="2" t="s">
        <v>1385</v>
      </c>
    </row>
    <row r="212" customFormat="false" ht="15" hidden="false" customHeight="false" outlineLevel="0" collapsed="false">
      <c r="A212" s="2" t="s">
        <v>10</v>
      </c>
      <c r="B212" s="2" t="s">
        <v>1850</v>
      </c>
      <c r="C212" s="2" t="s">
        <v>1851</v>
      </c>
      <c r="D212" s="2" t="s">
        <v>1852</v>
      </c>
      <c r="E212" s="4" t="n">
        <v>85.64</v>
      </c>
      <c r="F212" s="4" t="n">
        <v>7.79</v>
      </c>
      <c r="G212" s="4" t="n">
        <v>77.85</v>
      </c>
      <c r="H212" s="2" t="s">
        <v>1385</v>
      </c>
    </row>
    <row r="213" customFormat="false" ht="15" hidden="false" customHeight="false" outlineLevel="0" collapsed="false">
      <c r="A213" s="2" t="s">
        <v>10</v>
      </c>
      <c r="B213" s="2" t="s">
        <v>1853</v>
      </c>
      <c r="C213" s="2" t="s">
        <v>1854</v>
      </c>
      <c r="D213" s="2" t="s">
        <v>1855</v>
      </c>
      <c r="E213" s="4" t="n">
        <v>1922.2</v>
      </c>
      <c r="F213" s="4" t="n">
        <v>174.74</v>
      </c>
      <c r="G213" s="4" t="n">
        <v>1747.46</v>
      </c>
      <c r="H213" s="2" t="s">
        <v>1385</v>
      </c>
    </row>
    <row r="214" customFormat="false" ht="15" hidden="false" customHeight="false" outlineLevel="0" collapsed="false">
      <c r="A214" s="2" t="s">
        <v>10</v>
      </c>
      <c r="B214" s="2" t="s">
        <v>1856</v>
      </c>
      <c r="C214" s="2" t="s">
        <v>1857</v>
      </c>
      <c r="D214" s="2" t="s">
        <v>1858</v>
      </c>
      <c r="E214" s="4" t="n">
        <v>115.81</v>
      </c>
      <c r="F214" s="4" t="n">
        <v>10.53</v>
      </c>
      <c r="G214" s="4" t="n">
        <v>105.28</v>
      </c>
      <c r="H214" s="2" t="s">
        <v>1385</v>
      </c>
    </row>
    <row r="215" customFormat="false" ht="15" hidden="false" customHeight="false" outlineLevel="0" collapsed="false">
      <c r="A215" s="2" t="s">
        <v>10</v>
      </c>
      <c r="B215" s="2" t="s">
        <v>1250</v>
      </c>
      <c r="C215" s="2" t="s">
        <v>1280</v>
      </c>
      <c r="D215" s="2" t="s">
        <v>1252</v>
      </c>
      <c r="E215" s="4" t="n">
        <v>39.49</v>
      </c>
      <c r="F215" s="4" t="n">
        <v>3.59</v>
      </c>
      <c r="G215" s="4" t="n">
        <v>35.9</v>
      </c>
      <c r="H215" s="2" t="s">
        <v>1381</v>
      </c>
    </row>
    <row r="216" customFormat="false" ht="15" hidden="false" customHeight="false" outlineLevel="0" collapsed="false">
      <c r="A216" s="2" t="s">
        <v>10</v>
      </c>
      <c r="B216" s="2" t="s">
        <v>151</v>
      </c>
      <c r="C216" s="2" t="s">
        <v>157</v>
      </c>
      <c r="D216" s="2" t="s">
        <v>153</v>
      </c>
      <c r="E216" s="4" t="n">
        <v>608.94</v>
      </c>
      <c r="F216" s="4" t="n">
        <v>55.35</v>
      </c>
      <c r="G216" s="4" t="n">
        <v>553.59</v>
      </c>
      <c r="H216" s="2" t="s">
        <v>1381</v>
      </c>
    </row>
    <row r="217" customFormat="false" ht="15" hidden="false" customHeight="false" outlineLevel="0" collapsed="false">
      <c r="A217" s="2" t="s">
        <v>10</v>
      </c>
      <c r="B217" s="2" t="s">
        <v>1859</v>
      </c>
      <c r="C217" s="2" t="s">
        <v>1860</v>
      </c>
      <c r="D217" s="2" t="s">
        <v>1861</v>
      </c>
      <c r="E217" s="4" t="n">
        <v>44.29</v>
      </c>
      <c r="F217" s="4" t="n">
        <v>4.03</v>
      </c>
      <c r="G217" s="4" t="n">
        <v>40.26</v>
      </c>
      <c r="H217" s="2" t="s">
        <v>1385</v>
      </c>
    </row>
    <row r="218" customFormat="false" ht="15" hidden="false" customHeight="false" outlineLevel="0" collapsed="false">
      <c r="A218" s="2" t="s">
        <v>10</v>
      </c>
      <c r="B218" s="2" t="s">
        <v>1862</v>
      </c>
      <c r="C218" s="2" t="s">
        <v>1863</v>
      </c>
      <c r="D218" s="2" t="s">
        <v>1864</v>
      </c>
      <c r="E218" s="4" t="n">
        <v>2646.7</v>
      </c>
      <c r="F218" s="4" t="n">
        <v>240.61</v>
      </c>
      <c r="G218" s="4" t="n">
        <v>2406.09</v>
      </c>
      <c r="H218" s="2" t="s">
        <v>1385</v>
      </c>
    </row>
    <row r="219" customFormat="false" ht="15" hidden="false" customHeight="false" outlineLevel="0" collapsed="false">
      <c r="A219" s="2" t="s">
        <v>10</v>
      </c>
      <c r="B219" s="2" t="s">
        <v>185</v>
      </c>
      <c r="C219" s="2" t="s">
        <v>1290</v>
      </c>
      <c r="D219" s="2" t="s">
        <v>187</v>
      </c>
      <c r="E219" s="4" t="n">
        <v>27.96</v>
      </c>
      <c r="F219" s="4" t="n">
        <v>2.55</v>
      </c>
      <c r="G219" s="4" t="n">
        <v>25.41</v>
      </c>
      <c r="H219" s="2" t="s">
        <v>1381</v>
      </c>
    </row>
    <row r="220" customFormat="false" ht="15" hidden="false" customHeight="false" outlineLevel="0" collapsed="false">
      <c r="A220" s="2" t="s">
        <v>10</v>
      </c>
      <c r="B220" s="2" t="s">
        <v>1865</v>
      </c>
      <c r="C220" s="2" t="s">
        <v>1866</v>
      </c>
      <c r="D220" s="2" t="s">
        <v>1867</v>
      </c>
      <c r="E220" s="4" t="n">
        <v>948.98</v>
      </c>
      <c r="F220" s="4" t="n">
        <v>86.26</v>
      </c>
      <c r="G220" s="4" t="n">
        <v>862.72</v>
      </c>
      <c r="H220" s="2" t="s">
        <v>1385</v>
      </c>
    </row>
    <row r="221" customFormat="false" ht="15" hidden="false" customHeight="false" outlineLevel="0" collapsed="false">
      <c r="A221" s="2" t="s">
        <v>10</v>
      </c>
      <c r="B221" s="2" t="s">
        <v>1868</v>
      </c>
      <c r="C221" s="2" t="s">
        <v>1869</v>
      </c>
      <c r="D221" s="2" t="s">
        <v>1870</v>
      </c>
      <c r="E221" s="4" t="n">
        <v>342.4</v>
      </c>
      <c r="F221" s="4" t="n">
        <v>31.13</v>
      </c>
      <c r="G221" s="4" t="n">
        <v>311.27</v>
      </c>
      <c r="H221" s="2" t="s">
        <v>1385</v>
      </c>
    </row>
    <row r="222" customFormat="false" ht="15" hidden="false" customHeight="false" outlineLevel="0" collapsed="false">
      <c r="A222" s="2" t="s">
        <v>10</v>
      </c>
      <c r="B222" s="2" t="s">
        <v>1871</v>
      </c>
      <c r="C222" s="2" t="s">
        <v>1872</v>
      </c>
      <c r="D222" s="2" t="s">
        <v>1873</v>
      </c>
      <c r="E222" s="4" t="n">
        <v>104.62</v>
      </c>
      <c r="F222" s="4" t="n">
        <v>9.52</v>
      </c>
      <c r="G222" s="4" t="n">
        <v>95.1</v>
      </c>
      <c r="H222" s="2" t="s">
        <v>1385</v>
      </c>
    </row>
    <row r="223" customFormat="false" ht="15" hidden="false" customHeight="false" outlineLevel="0" collapsed="false">
      <c r="A223" s="2" t="s">
        <v>10</v>
      </c>
      <c r="B223" s="2" t="s">
        <v>1874</v>
      </c>
      <c r="C223" s="2" t="s">
        <v>1875</v>
      </c>
      <c r="D223" s="2" t="s">
        <v>1876</v>
      </c>
      <c r="E223" s="4" t="n">
        <v>35.81</v>
      </c>
      <c r="F223" s="4" t="n">
        <v>3.26</v>
      </c>
      <c r="G223" s="4" t="n">
        <v>32.55</v>
      </c>
      <c r="H223" s="2" t="s">
        <v>1385</v>
      </c>
    </row>
    <row r="224" customFormat="false" ht="15" hidden="false" customHeight="false" outlineLevel="0" collapsed="false">
      <c r="A224" s="2" t="s">
        <v>10</v>
      </c>
      <c r="B224" s="2" t="s">
        <v>1877</v>
      </c>
      <c r="C224" s="2" t="s">
        <v>1878</v>
      </c>
      <c r="D224" s="2" t="s">
        <v>1879</v>
      </c>
      <c r="E224" s="4" t="n">
        <v>364.89</v>
      </c>
      <c r="F224" s="4" t="n">
        <v>33.18</v>
      </c>
      <c r="G224" s="4" t="n">
        <v>331.71</v>
      </c>
      <c r="H224" s="2" t="s">
        <v>1385</v>
      </c>
    </row>
    <row r="225" customFormat="false" ht="15" hidden="false" customHeight="false" outlineLevel="0" collapsed="false">
      <c r="A225" s="2" t="s">
        <v>10</v>
      </c>
      <c r="B225" s="2" t="s">
        <v>1205</v>
      </c>
      <c r="C225" s="2" t="s">
        <v>1206</v>
      </c>
      <c r="D225" s="2" t="s">
        <v>1207</v>
      </c>
      <c r="E225" s="4" t="n">
        <v>57.01</v>
      </c>
      <c r="F225" s="4" t="n">
        <v>5.19</v>
      </c>
      <c r="G225" s="4" t="n">
        <v>51.82</v>
      </c>
      <c r="H225" s="2" t="s">
        <v>1381</v>
      </c>
    </row>
    <row r="226" customFormat="false" ht="15" hidden="false" customHeight="false" outlineLevel="0" collapsed="false">
      <c r="A226" s="2" t="s">
        <v>10</v>
      </c>
      <c r="B226" s="2" t="s">
        <v>143</v>
      </c>
      <c r="C226" s="2" t="s">
        <v>640</v>
      </c>
      <c r="D226" s="2" t="s">
        <v>145</v>
      </c>
      <c r="E226" s="4" t="n">
        <v>118.21</v>
      </c>
      <c r="F226" s="4" t="n">
        <v>10.75</v>
      </c>
      <c r="G226" s="4" t="n">
        <v>107.46</v>
      </c>
      <c r="H226" s="2" t="s">
        <v>1381</v>
      </c>
    </row>
    <row r="227" customFormat="false" ht="15" hidden="false" customHeight="false" outlineLevel="0" collapsed="false">
      <c r="A227" s="2" t="s">
        <v>10</v>
      </c>
      <c r="B227" s="2" t="s">
        <v>1880</v>
      </c>
      <c r="C227" s="2" t="s">
        <v>1881</v>
      </c>
      <c r="D227" s="2" t="s">
        <v>1882</v>
      </c>
      <c r="E227" s="4" t="n">
        <v>97.32</v>
      </c>
      <c r="F227" s="4" t="n">
        <v>8.84</v>
      </c>
      <c r="G227" s="4" t="n">
        <v>88.48</v>
      </c>
      <c r="H227" s="2" t="s">
        <v>1385</v>
      </c>
    </row>
    <row r="228" customFormat="false" ht="15" hidden="false" customHeight="false" outlineLevel="0" collapsed="false">
      <c r="A228" s="2" t="s">
        <v>10</v>
      </c>
      <c r="B228" s="2" t="s">
        <v>627</v>
      </c>
      <c r="C228" s="2" t="s">
        <v>676</v>
      </c>
      <c r="D228" s="2" t="s">
        <v>629</v>
      </c>
      <c r="E228" s="4" t="n">
        <v>104.51</v>
      </c>
      <c r="F228" s="4" t="n">
        <v>9.5</v>
      </c>
      <c r="G228" s="4" t="n">
        <v>95.01</v>
      </c>
      <c r="H228" s="2" t="s">
        <v>1381</v>
      </c>
    </row>
    <row r="229" customFormat="false" ht="15" hidden="false" customHeight="false" outlineLevel="0" collapsed="false">
      <c r="A229" s="2" t="s">
        <v>10</v>
      </c>
      <c r="B229" s="2" t="s">
        <v>1883</v>
      </c>
      <c r="C229" s="2" t="s">
        <v>1884</v>
      </c>
      <c r="D229" s="2" t="s">
        <v>1885</v>
      </c>
      <c r="E229" s="4" t="n">
        <v>76.61</v>
      </c>
      <c r="F229" s="4" t="n">
        <v>6.97</v>
      </c>
      <c r="G229" s="4" t="n">
        <v>69.64</v>
      </c>
      <c r="H229" s="2" t="s">
        <v>1385</v>
      </c>
    </row>
    <row r="230" customFormat="false" ht="15" hidden="false" customHeight="false" outlineLevel="0" collapsed="false">
      <c r="A230" s="2" t="s">
        <v>10</v>
      </c>
      <c r="B230" s="2" t="s">
        <v>1886</v>
      </c>
      <c r="C230" s="2" t="s">
        <v>1887</v>
      </c>
      <c r="D230" s="2" t="s">
        <v>1888</v>
      </c>
      <c r="E230" s="4" t="n">
        <v>54.81</v>
      </c>
      <c r="F230" s="4" t="n">
        <v>4.99</v>
      </c>
      <c r="G230" s="4" t="n">
        <v>49.82</v>
      </c>
      <c r="H230" s="2" t="s">
        <v>1385</v>
      </c>
    </row>
    <row r="231" customFormat="false" ht="15" hidden="false" customHeight="false" outlineLevel="0" collapsed="false">
      <c r="A231" s="2" t="s">
        <v>10</v>
      </c>
      <c r="B231" s="2" t="s">
        <v>1889</v>
      </c>
      <c r="C231" s="2" t="s">
        <v>1890</v>
      </c>
      <c r="D231" s="2" t="s">
        <v>1891</v>
      </c>
      <c r="E231" s="4" t="n">
        <v>551.54</v>
      </c>
      <c r="F231" s="4" t="n">
        <v>50.14</v>
      </c>
      <c r="G231" s="4" t="n">
        <v>501.4</v>
      </c>
      <c r="H231" s="2" t="s">
        <v>1385</v>
      </c>
    </row>
    <row r="232" customFormat="false" ht="15" hidden="false" customHeight="false" outlineLevel="0" collapsed="false">
      <c r="A232" s="2" t="s">
        <v>10</v>
      </c>
      <c r="B232" s="2" t="s">
        <v>1892</v>
      </c>
      <c r="C232" s="2" t="s">
        <v>1893</v>
      </c>
      <c r="D232" s="2" t="s">
        <v>1894</v>
      </c>
      <c r="E232" s="4" t="n">
        <v>1681.55</v>
      </c>
      <c r="F232" s="4" t="n">
        <v>152.87</v>
      </c>
      <c r="G232" s="4" t="n">
        <v>1528.68</v>
      </c>
      <c r="H232" s="2" t="s">
        <v>1385</v>
      </c>
    </row>
    <row r="233" customFormat="false" ht="15" hidden="false" customHeight="false" outlineLevel="0" collapsed="false">
      <c r="A233" s="2" t="s">
        <v>10</v>
      </c>
      <c r="B233" s="2" t="s">
        <v>911</v>
      </c>
      <c r="C233" s="2" t="s">
        <v>1370</v>
      </c>
      <c r="D233" s="2" t="s">
        <v>913</v>
      </c>
      <c r="E233" s="4" t="n">
        <v>20.31</v>
      </c>
      <c r="F233" s="4" t="n">
        <v>1.86</v>
      </c>
      <c r="G233" s="4" t="n">
        <v>18.45</v>
      </c>
      <c r="H233" s="2" t="s">
        <v>1381</v>
      </c>
    </row>
    <row r="234" customFormat="false" ht="15" hidden="false" customHeight="false" outlineLevel="0" collapsed="false">
      <c r="A234" s="2" t="s">
        <v>10</v>
      </c>
      <c r="B234" s="2" t="s">
        <v>1895</v>
      </c>
      <c r="C234" s="2" t="s">
        <v>1896</v>
      </c>
      <c r="D234" s="2" t="s">
        <v>1897</v>
      </c>
      <c r="E234" s="4" t="n">
        <v>992.32</v>
      </c>
      <c r="F234" s="4" t="n">
        <v>90.2</v>
      </c>
      <c r="G234" s="4" t="n">
        <v>902.12</v>
      </c>
      <c r="H234" s="2" t="s">
        <v>1385</v>
      </c>
    </row>
    <row r="235" customFormat="false" ht="15" hidden="false" customHeight="false" outlineLevel="0" collapsed="false">
      <c r="A235" s="2" t="s">
        <v>14</v>
      </c>
      <c r="B235" s="2" t="s">
        <v>1898</v>
      </c>
      <c r="C235" s="2" t="s">
        <v>1899</v>
      </c>
      <c r="D235" s="2" t="s">
        <v>1900</v>
      </c>
      <c r="E235" s="4" t="n">
        <v>855.16</v>
      </c>
      <c r="F235" s="4" t="n">
        <v>77.75</v>
      </c>
      <c r="G235" s="4" t="n">
        <v>777.41</v>
      </c>
      <c r="H235" s="2" t="s">
        <v>1385</v>
      </c>
    </row>
    <row r="236" customFormat="false" ht="15" hidden="false" customHeight="false" outlineLevel="0" collapsed="false">
      <c r="A236" s="2" t="s">
        <v>14</v>
      </c>
      <c r="B236" s="2" t="s">
        <v>1901</v>
      </c>
      <c r="C236" s="2" t="s">
        <v>1902</v>
      </c>
      <c r="D236" s="2" t="s">
        <v>1903</v>
      </c>
      <c r="E236" s="4" t="n">
        <v>0</v>
      </c>
      <c r="F236" s="4" t="n">
        <v>0</v>
      </c>
      <c r="G236" s="4" t="n">
        <v>0</v>
      </c>
      <c r="H236" s="2" t="s">
        <v>1385</v>
      </c>
    </row>
    <row r="237" customFormat="false" ht="15" hidden="false" customHeight="false" outlineLevel="0" collapsed="false">
      <c r="A237" s="2" t="s">
        <v>14</v>
      </c>
      <c r="B237" s="2" t="s">
        <v>1904</v>
      </c>
      <c r="C237" s="2" t="s">
        <v>1905</v>
      </c>
      <c r="D237" s="2" t="s">
        <v>1906</v>
      </c>
      <c r="E237" s="4" t="n">
        <v>2319.31</v>
      </c>
      <c r="F237" s="4" t="n">
        <v>210.84</v>
      </c>
      <c r="G237" s="4" t="n">
        <v>2108.47</v>
      </c>
      <c r="H237" s="2" t="s">
        <v>1385</v>
      </c>
    </row>
    <row r="238" customFormat="false" ht="15" hidden="false" customHeight="false" outlineLevel="0" collapsed="false">
      <c r="A238" s="2" t="s">
        <v>14</v>
      </c>
      <c r="B238" s="2" t="s">
        <v>1907</v>
      </c>
      <c r="C238" s="2" t="s">
        <v>1908</v>
      </c>
      <c r="D238" s="2" t="s">
        <v>1909</v>
      </c>
      <c r="E238" s="4" t="n">
        <v>186.31</v>
      </c>
      <c r="F238" s="4" t="n">
        <v>16.94</v>
      </c>
      <c r="G238" s="4" t="n">
        <v>169.37</v>
      </c>
      <c r="H238" s="2" t="s">
        <v>1385</v>
      </c>
    </row>
    <row r="239" customFormat="false" ht="15" hidden="false" customHeight="false" outlineLevel="0" collapsed="false">
      <c r="A239" s="2" t="s">
        <v>14</v>
      </c>
      <c r="B239" s="2" t="s">
        <v>555</v>
      </c>
      <c r="C239" s="2" t="s">
        <v>556</v>
      </c>
      <c r="D239" s="2" t="s">
        <v>557</v>
      </c>
      <c r="E239" s="4" t="n">
        <v>125.96</v>
      </c>
      <c r="F239" s="4" t="n">
        <v>11.46</v>
      </c>
      <c r="G239" s="4" t="n">
        <v>114.5</v>
      </c>
      <c r="H239" s="2" t="s">
        <v>1381</v>
      </c>
    </row>
    <row r="240" customFormat="false" ht="15" hidden="false" customHeight="false" outlineLevel="0" collapsed="false">
      <c r="A240" s="2" t="s">
        <v>14</v>
      </c>
      <c r="B240" s="2" t="s">
        <v>361</v>
      </c>
      <c r="C240" s="2" t="s">
        <v>402</v>
      </c>
      <c r="D240" s="2" t="s">
        <v>363</v>
      </c>
      <c r="E240" s="4" t="n">
        <v>137.61</v>
      </c>
      <c r="F240" s="4" t="n">
        <v>12.51</v>
      </c>
      <c r="G240" s="4" t="n">
        <v>125.1</v>
      </c>
      <c r="H240" s="2" t="s">
        <v>1381</v>
      </c>
    </row>
    <row r="241" customFormat="false" ht="15" hidden="false" customHeight="false" outlineLevel="0" collapsed="false">
      <c r="A241" s="2" t="s">
        <v>14</v>
      </c>
      <c r="B241" s="2" t="s">
        <v>1910</v>
      </c>
      <c r="C241" s="2" t="s">
        <v>1911</v>
      </c>
      <c r="D241" s="2" t="s">
        <v>1912</v>
      </c>
      <c r="E241" s="4" t="n">
        <v>150.17</v>
      </c>
      <c r="F241" s="4" t="n">
        <v>13.66</v>
      </c>
      <c r="G241" s="4" t="n">
        <v>136.51</v>
      </c>
      <c r="H241" s="2" t="s">
        <v>1385</v>
      </c>
    </row>
    <row r="242" customFormat="false" ht="15" hidden="false" customHeight="false" outlineLevel="0" collapsed="false">
      <c r="A242" s="2" t="s">
        <v>14</v>
      </c>
      <c r="B242" s="2" t="s">
        <v>1913</v>
      </c>
      <c r="C242" s="2" t="s">
        <v>1914</v>
      </c>
      <c r="D242" s="2" t="s">
        <v>1915</v>
      </c>
      <c r="E242" s="4" t="n">
        <v>0</v>
      </c>
      <c r="F242" s="4" t="n">
        <v>0</v>
      </c>
      <c r="G242" s="4" t="n">
        <v>0</v>
      </c>
      <c r="H242" s="2" t="s">
        <v>1385</v>
      </c>
    </row>
    <row r="243" customFormat="false" ht="15" hidden="false" customHeight="false" outlineLevel="0" collapsed="false">
      <c r="A243" s="2" t="s">
        <v>14</v>
      </c>
      <c r="B243" s="2" t="s">
        <v>277</v>
      </c>
      <c r="C243" s="2" t="s">
        <v>278</v>
      </c>
      <c r="D243" s="2" t="s">
        <v>279</v>
      </c>
      <c r="E243" s="4" t="n">
        <v>136.07</v>
      </c>
      <c r="F243" s="4" t="n">
        <v>12.37</v>
      </c>
      <c r="G243" s="4" t="n">
        <v>123.7</v>
      </c>
      <c r="H243" s="2" t="s">
        <v>1381</v>
      </c>
    </row>
    <row r="244" customFormat="false" ht="15" hidden="false" customHeight="false" outlineLevel="0" collapsed="false">
      <c r="A244" s="2" t="s">
        <v>14</v>
      </c>
      <c r="B244" s="2" t="s">
        <v>1916</v>
      </c>
      <c r="C244" s="2" t="s">
        <v>1917</v>
      </c>
      <c r="D244" s="2" t="s">
        <v>1918</v>
      </c>
      <c r="E244" s="4" t="n">
        <v>547.77</v>
      </c>
      <c r="F244" s="4" t="n">
        <v>49.8</v>
      </c>
      <c r="G244" s="4" t="n">
        <v>497.97</v>
      </c>
      <c r="H244" s="2" t="s">
        <v>1385</v>
      </c>
    </row>
    <row r="245" customFormat="false" ht="15" hidden="false" customHeight="false" outlineLevel="0" collapsed="false">
      <c r="A245" s="2" t="s">
        <v>14</v>
      </c>
      <c r="B245" s="2" t="s">
        <v>212</v>
      </c>
      <c r="C245" s="2" t="s">
        <v>261</v>
      </c>
      <c r="D245" s="2" t="s">
        <v>214</v>
      </c>
      <c r="E245" s="4" t="n">
        <v>112.75</v>
      </c>
      <c r="F245" s="4" t="n">
        <v>10.25</v>
      </c>
      <c r="G245" s="4" t="n">
        <v>102.5</v>
      </c>
      <c r="H245" s="2" t="s">
        <v>1381</v>
      </c>
    </row>
    <row r="246" customFormat="false" ht="15" hidden="false" customHeight="false" outlineLevel="0" collapsed="false">
      <c r="A246" s="2" t="s">
        <v>14</v>
      </c>
      <c r="B246" s="2" t="s">
        <v>1919</v>
      </c>
      <c r="C246" s="2" t="s">
        <v>1920</v>
      </c>
      <c r="D246" s="2" t="s">
        <v>1921</v>
      </c>
      <c r="E246" s="4" t="n">
        <v>3358.18</v>
      </c>
      <c r="F246" s="4" t="n">
        <v>305.29</v>
      </c>
      <c r="G246" s="4" t="n">
        <v>3052.89</v>
      </c>
      <c r="H246" s="2" t="s">
        <v>1385</v>
      </c>
    </row>
    <row r="247" customFormat="false" ht="15" hidden="false" customHeight="false" outlineLevel="0" collapsed="false">
      <c r="A247" s="2" t="s">
        <v>14</v>
      </c>
      <c r="B247" s="2" t="s">
        <v>81</v>
      </c>
      <c r="C247" s="2" t="s">
        <v>94</v>
      </c>
      <c r="D247" s="2" t="s">
        <v>83</v>
      </c>
      <c r="E247" s="4" t="n">
        <v>699.17</v>
      </c>
      <c r="F247" s="4" t="n">
        <v>63.57</v>
      </c>
      <c r="G247" s="4" t="n">
        <v>635.6</v>
      </c>
      <c r="H247" s="2" t="s">
        <v>1381</v>
      </c>
    </row>
    <row r="248" customFormat="false" ht="15" hidden="false" customHeight="false" outlineLevel="0" collapsed="false">
      <c r="A248" s="2" t="s">
        <v>14</v>
      </c>
      <c r="B248" s="2" t="s">
        <v>1922</v>
      </c>
      <c r="C248" s="2" t="s">
        <v>1923</v>
      </c>
      <c r="D248" s="2" t="s">
        <v>1924</v>
      </c>
      <c r="E248" s="4" t="n">
        <v>0</v>
      </c>
      <c r="F248" s="4" t="n">
        <v>0</v>
      </c>
      <c r="G248" s="4" t="n">
        <v>0</v>
      </c>
      <c r="H248" s="2" t="s">
        <v>1385</v>
      </c>
    </row>
    <row r="249" customFormat="false" ht="15" hidden="false" customHeight="false" outlineLevel="0" collapsed="false">
      <c r="A249" s="2" t="s">
        <v>14</v>
      </c>
      <c r="B249" s="2" t="s">
        <v>1925</v>
      </c>
      <c r="C249" s="2" t="s">
        <v>1926</v>
      </c>
      <c r="D249" s="2" t="s">
        <v>1927</v>
      </c>
      <c r="E249" s="4" t="n">
        <v>2094.12</v>
      </c>
      <c r="F249" s="4" t="n">
        <v>190.37</v>
      </c>
      <c r="G249" s="4" t="n">
        <v>1903.75</v>
      </c>
      <c r="H249" s="2" t="s">
        <v>1385</v>
      </c>
    </row>
    <row r="250" customFormat="false" ht="15" hidden="false" customHeight="false" outlineLevel="0" collapsed="false">
      <c r="A250" s="2" t="s">
        <v>14</v>
      </c>
      <c r="B250" s="2" t="s">
        <v>1928</v>
      </c>
      <c r="C250" s="2" t="s">
        <v>1929</v>
      </c>
      <c r="D250" s="2" t="s">
        <v>1930</v>
      </c>
      <c r="E250" s="4" t="n">
        <v>1693.95</v>
      </c>
      <c r="F250" s="4" t="n">
        <v>154</v>
      </c>
      <c r="G250" s="4" t="n">
        <v>1539.95</v>
      </c>
      <c r="H250" s="2" t="s">
        <v>1385</v>
      </c>
    </row>
    <row r="251" customFormat="false" ht="15" hidden="false" customHeight="false" outlineLevel="0" collapsed="false">
      <c r="A251" s="2" t="s">
        <v>14</v>
      </c>
      <c r="B251" s="2" t="s">
        <v>451</v>
      </c>
      <c r="C251" s="2" t="s">
        <v>452</v>
      </c>
      <c r="D251" s="2" t="s">
        <v>453</v>
      </c>
      <c r="E251" s="4" t="n">
        <v>107.05</v>
      </c>
      <c r="F251" s="4" t="n">
        <v>9.73</v>
      </c>
      <c r="G251" s="4" t="n">
        <v>97.32</v>
      </c>
      <c r="H251" s="2" t="s">
        <v>1381</v>
      </c>
    </row>
    <row r="252" customFormat="false" ht="15" hidden="false" customHeight="false" outlineLevel="0" collapsed="false">
      <c r="A252" s="2" t="s">
        <v>14</v>
      </c>
      <c r="B252" s="2" t="s">
        <v>1931</v>
      </c>
      <c r="C252" s="2" t="s">
        <v>1932</v>
      </c>
      <c r="D252" s="2" t="s">
        <v>1933</v>
      </c>
      <c r="E252" s="4" t="n">
        <v>890.26</v>
      </c>
      <c r="F252" s="4" t="n">
        <v>81.51</v>
      </c>
      <c r="G252" s="4" t="n">
        <v>808.75</v>
      </c>
      <c r="H252" s="2" t="s">
        <v>1385</v>
      </c>
    </row>
    <row r="253" customFormat="false" ht="15" hidden="false" customHeight="false" outlineLevel="0" collapsed="false">
      <c r="A253" s="2" t="s">
        <v>14</v>
      </c>
      <c r="B253" s="2" t="s">
        <v>1934</v>
      </c>
      <c r="C253" s="2" t="s">
        <v>1935</v>
      </c>
      <c r="D253" s="2" t="s">
        <v>1936</v>
      </c>
      <c r="E253" s="4" t="n">
        <v>430.39</v>
      </c>
      <c r="F253" s="4" t="n">
        <v>39.13</v>
      </c>
      <c r="G253" s="4" t="n">
        <v>391.26</v>
      </c>
      <c r="H253" s="2" t="s">
        <v>1385</v>
      </c>
    </row>
    <row r="254" customFormat="false" ht="15" hidden="false" customHeight="false" outlineLevel="0" collapsed="false">
      <c r="A254" s="2" t="s">
        <v>14</v>
      </c>
      <c r="B254" s="2" t="s">
        <v>1937</v>
      </c>
      <c r="C254" s="2" t="s">
        <v>1938</v>
      </c>
      <c r="D254" s="2" t="s">
        <v>1939</v>
      </c>
      <c r="E254" s="4" t="n">
        <v>0</v>
      </c>
      <c r="F254" s="4" t="n">
        <v>0</v>
      </c>
      <c r="G254" s="4" t="n">
        <v>0</v>
      </c>
      <c r="H254" s="2" t="s">
        <v>1385</v>
      </c>
    </row>
    <row r="255" customFormat="false" ht="15" hidden="false" customHeight="false" outlineLevel="0" collapsed="false">
      <c r="A255" s="2" t="s">
        <v>14</v>
      </c>
      <c r="B255" s="2" t="s">
        <v>1940</v>
      </c>
      <c r="C255" s="2" t="s">
        <v>1941</v>
      </c>
      <c r="D255" s="2" t="s">
        <v>1942</v>
      </c>
      <c r="E255" s="4" t="n">
        <v>792.6</v>
      </c>
      <c r="F255" s="4" t="n">
        <v>72.05</v>
      </c>
      <c r="G255" s="4" t="n">
        <v>720.55</v>
      </c>
      <c r="H255" s="2" t="s">
        <v>1385</v>
      </c>
    </row>
    <row r="256" customFormat="false" ht="15" hidden="false" customHeight="false" outlineLevel="0" collapsed="false">
      <c r="A256" s="2" t="s">
        <v>14</v>
      </c>
      <c r="B256" s="2" t="s">
        <v>1943</v>
      </c>
      <c r="C256" s="2" t="s">
        <v>1944</v>
      </c>
      <c r="D256" s="2" t="s">
        <v>1945</v>
      </c>
      <c r="E256" s="4" t="n">
        <v>712.04</v>
      </c>
      <c r="F256" s="4" t="n">
        <v>64.73</v>
      </c>
      <c r="G256" s="4" t="n">
        <v>647.31</v>
      </c>
      <c r="H256" s="2" t="s">
        <v>1385</v>
      </c>
    </row>
    <row r="257" customFormat="false" ht="15" hidden="false" customHeight="false" outlineLevel="0" collapsed="false">
      <c r="A257" s="2" t="s">
        <v>14</v>
      </c>
      <c r="B257" s="2" t="s">
        <v>458</v>
      </c>
      <c r="C257" s="2" t="s">
        <v>459</v>
      </c>
      <c r="D257" s="2" t="s">
        <v>460</v>
      </c>
      <c r="E257" s="4" t="n">
        <v>104.41</v>
      </c>
      <c r="F257" s="4" t="n">
        <v>9.49</v>
      </c>
      <c r="G257" s="4" t="n">
        <v>94.92</v>
      </c>
      <c r="H257" s="2" t="s">
        <v>1381</v>
      </c>
    </row>
    <row r="258" customFormat="false" ht="15" hidden="false" customHeight="false" outlineLevel="0" collapsed="false">
      <c r="A258" s="2" t="s">
        <v>14</v>
      </c>
      <c r="B258" s="2" t="s">
        <v>1946</v>
      </c>
      <c r="C258" s="2" t="s">
        <v>1947</v>
      </c>
      <c r="D258" s="2" t="s">
        <v>1948</v>
      </c>
      <c r="E258" s="4" t="n">
        <v>197.81</v>
      </c>
      <c r="F258" s="4" t="n">
        <v>17.99</v>
      </c>
      <c r="G258" s="4" t="n">
        <v>179.82</v>
      </c>
      <c r="H258" s="2" t="s">
        <v>1385</v>
      </c>
    </row>
    <row r="259" customFormat="false" ht="15" hidden="false" customHeight="false" outlineLevel="0" collapsed="false">
      <c r="A259" s="2" t="s">
        <v>14</v>
      </c>
      <c r="B259" s="2" t="s">
        <v>1949</v>
      </c>
      <c r="C259" s="2" t="s">
        <v>1950</v>
      </c>
      <c r="D259" s="2" t="s">
        <v>1951</v>
      </c>
      <c r="E259" s="4" t="n">
        <v>100.06</v>
      </c>
      <c r="F259" s="4" t="n">
        <v>9.1</v>
      </c>
      <c r="G259" s="4" t="n">
        <v>90.96</v>
      </c>
      <c r="H259" s="2" t="s">
        <v>1385</v>
      </c>
    </row>
    <row r="260" customFormat="false" ht="15" hidden="false" customHeight="false" outlineLevel="0" collapsed="false">
      <c r="A260" s="2" t="s">
        <v>14</v>
      </c>
      <c r="B260" s="2" t="s">
        <v>367</v>
      </c>
      <c r="C260" s="2" t="s">
        <v>368</v>
      </c>
      <c r="D260" s="2" t="s">
        <v>369</v>
      </c>
      <c r="E260" s="4" t="n">
        <v>140.15</v>
      </c>
      <c r="F260" s="4" t="n">
        <v>12.75</v>
      </c>
      <c r="G260" s="4" t="n">
        <v>127.4</v>
      </c>
      <c r="H260" s="2" t="s">
        <v>1381</v>
      </c>
    </row>
    <row r="261" customFormat="false" ht="15" hidden="false" customHeight="false" outlineLevel="0" collapsed="false">
      <c r="A261" s="2" t="s">
        <v>14</v>
      </c>
      <c r="B261" s="2" t="s">
        <v>1952</v>
      </c>
      <c r="C261" s="2" t="s">
        <v>1953</v>
      </c>
      <c r="D261" s="2" t="s">
        <v>1954</v>
      </c>
      <c r="E261" s="4" t="n">
        <v>402.13</v>
      </c>
      <c r="F261" s="4" t="n">
        <v>36.55</v>
      </c>
      <c r="G261" s="4" t="n">
        <v>365.58</v>
      </c>
      <c r="H261" s="2" t="s">
        <v>1385</v>
      </c>
    </row>
    <row r="262" customFormat="false" ht="15" hidden="false" customHeight="false" outlineLevel="0" collapsed="false">
      <c r="A262" s="2" t="s">
        <v>14</v>
      </c>
      <c r="B262" s="2" t="s">
        <v>264</v>
      </c>
      <c r="C262" s="2" t="s">
        <v>265</v>
      </c>
      <c r="D262" s="2" t="s">
        <v>266</v>
      </c>
      <c r="E262" s="4" t="n">
        <v>132.05</v>
      </c>
      <c r="F262" s="4" t="n">
        <v>12.01</v>
      </c>
      <c r="G262" s="4" t="n">
        <v>120.04</v>
      </c>
      <c r="H262" s="2" t="s">
        <v>1381</v>
      </c>
    </row>
    <row r="263" customFormat="false" ht="15" hidden="false" customHeight="false" outlineLevel="0" collapsed="false">
      <c r="A263" s="2" t="s">
        <v>14</v>
      </c>
      <c r="B263" s="2" t="s">
        <v>1955</v>
      </c>
      <c r="C263" s="2" t="s">
        <v>1956</v>
      </c>
      <c r="D263" s="2" t="s">
        <v>1957</v>
      </c>
      <c r="E263" s="4" t="n">
        <v>1599.23</v>
      </c>
      <c r="F263" s="4" t="n">
        <v>145.39</v>
      </c>
      <c r="G263" s="4" t="n">
        <v>1453.84</v>
      </c>
      <c r="H263" s="2" t="s">
        <v>1385</v>
      </c>
    </row>
    <row r="264" customFormat="false" ht="15" hidden="false" customHeight="false" outlineLevel="0" collapsed="false">
      <c r="A264" s="2" t="s">
        <v>14</v>
      </c>
      <c r="B264" s="2" t="s">
        <v>1958</v>
      </c>
      <c r="C264" s="2" t="s">
        <v>1959</v>
      </c>
      <c r="D264" s="2" t="s">
        <v>1960</v>
      </c>
      <c r="E264" s="4" t="n">
        <v>339.39</v>
      </c>
      <c r="F264" s="4" t="n">
        <v>30.85</v>
      </c>
      <c r="G264" s="4" t="n">
        <v>308.54</v>
      </c>
      <c r="H264" s="2" t="s">
        <v>1385</v>
      </c>
    </row>
    <row r="265" customFormat="false" ht="15" hidden="false" customHeight="false" outlineLevel="0" collapsed="false">
      <c r="A265" s="2" t="s">
        <v>14</v>
      </c>
      <c r="B265" s="2" t="s">
        <v>600</v>
      </c>
      <c r="C265" s="2" t="s">
        <v>622</v>
      </c>
      <c r="D265" s="2" t="s">
        <v>602</v>
      </c>
      <c r="E265" s="4" t="n">
        <v>124.21</v>
      </c>
      <c r="F265" s="4" t="n">
        <v>11.29</v>
      </c>
      <c r="G265" s="4" t="n">
        <v>112.92</v>
      </c>
      <c r="H265" s="2" t="s">
        <v>1381</v>
      </c>
    </row>
    <row r="266" customFormat="false" ht="15" hidden="false" customHeight="false" outlineLevel="0" collapsed="false">
      <c r="A266" s="2" t="s">
        <v>14</v>
      </c>
      <c r="B266" s="2" t="s">
        <v>512</v>
      </c>
      <c r="C266" s="2" t="s">
        <v>552</v>
      </c>
      <c r="D266" s="2" t="s">
        <v>514</v>
      </c>
      <c r="E266" s="4" t="n">
        <v>125.17</v>
      </c>
      <c r="F266" s="4" t="n">
        <v>11.39</v>
      </c>
      <c r="G266" s="4" t="n">
        <v>113.78</v>
      </c>
      <c r="H266" s="2" t="s">
        <v>1381</v>
      </c>
    </row>
    <row r="267" customFormat="false" ht="15" hidden="false" customHeight="false" outlineLevel="0" collapsed="false">
      <c r="A267" s="2" t="s">
        <v>14</v>
      </c>
      <c r="B267" s="2" t="s">
        <v>99</v>
      </c>
      <c r="C267" s="2" t="s">
        <v>100</v>
      </c>
      <c r="D267" s="2" t="s">
        <v>101</v>
      </c>
      <c r="E267" s="4" t="n">
        <v>452.94</v>
      </c>
      <c r="F267" s="4" t="n">
        <v>41.18</v>
      </c>
      <c r="G267" s="4" t="n">
        <v>411.76</v>
      </c>
      <c r="H267" s="2" t="s">
        <v>1381</v>
      </c>
    </row>
    <row r="268" customFormat="false" ht="15" hidden="false" customHeight="false" outlineLevel="0" collapsed="false">
      <c r="A268" s="2" t="s">
        <v>14</v>
      </c>
      <c r="B268" s="2" t="s">
        <v>1961</v>
      </c>
      <c r="C268" s="2" t="s">
        <v>1962</v>
      </c>
      <c r="D268" s="2" t="s">
        <v>1963</v>
      </c>
      <c r="E268" s="4" t="n">
        <v>855.84</v>
      </c>
      <c r="F268" s="4" t="n">
        <v>77.81</v>
      </c>
      <c r="G268" s="4" t="n">
        <v>778.03</v>
      </c>
      <c r="H268" s="2" t="s">
        <v>1385</v>
      </c>
    </row>
    <row r="269" customFormat="false" ht="15" hidden="false" customHeight="false" outlineLevel="0" collapsed="false">
      <c r="A269" s="2" t="s">
        <v>14</v>
      </c>
      <c r="B269" s="2" t="s">
        <v>420</v>
      </c>
      <c r="C269" s="2" t="s">
        <v>426</v>
      </c>
      <c r="D269" s="2" t="s">
        <v>422</v>
      </c>
      <c r="E269" s="4" t="n">
        <v>130.8</v>
      </c>
      <c r="F269" s="4" t="n">
        <v>11.89</v>
      </c>
      <c r="G269" s="4" t="n">
        <v>118.91</v>
      </c>
      <c r="H269" s="2" t="s">
        <v>1381</v>
      </c>
    </row>
    <row r="270" customFormat="false" ht="15" hidden="false" customHeight="false" outlineLevel="0" collapsed="false">
      <c r="A270" s="2" t="s">
        <v>14</v>
      </c>
      <c r="B270" s="2" t="s">
        <v>1964</v>
      </c>
      <c r="C270" s="2" t="s">
        <v>1965</v>
      </c>
      <c r="D270" s="2" t="s">
        <v>1966</v>
      </c>
      <c r="E270" s="4" t="n">
        <v>2117.6</v>
      </c>
      <c r="F270" s="4" t="n">
        <v>192.51</v>
      </c>
      <c r="G270" s="4" t="n">
        <v>1925.09</v>
      </c>
      <c r="H270" s="2" t="s">
        <v>1385</v>
      </c>
    </row>
    <row r="271" customFormat="false" ht="15" hidden="false" customHeight="false" outlineLevel="0" collapsed="false">
      <c r="A271" s="2" t="s">
        <v>14</v>
      </c>
      <c r="B271" s="2" t="s">
        <v>336</v>
      </c>
      <c r="C271" s="2" t="s">
        <v>345</v>
      </c>
      <c r="D271" s="2" t="s">
        <v>338</v>
      </c>
      <c r="E271" s="4" t="n">
        <v>102.87</v>
      </c>
      <c r="F271" s="4" t="n">
        <v>9.36</v>
      </c>
      <c r="G271" s="4" t="n">
        <v>93.51</v>
      </c>
      <c r="H271" s="2" t="s">
        <v>1381</v>
      </c>
    </row>
    <row r="272" customFormat="false" ht="15" hidden="false" customHeight="false" outlineLevel="0" collapsed="false">
      <c r="A272" s="2" t="s">
        <v>14</v>
      </c>
      <c r="B272" s="2" t="s">
        <v>1967</v>
      </c>
      <c r="C272" s="2" t="s">
        <v>1968</v>
      </c>
      <c r="D272" s="2" t="s">
        <v>1588</v>
      </c>
      <c r="E272" s="4" t="n">
        <v>401.56</v>
      </c>
      <c r="F272" s="4" t="n">
        <v>36.51</v>
      </c>
      <c r="G272" s="4" t="n">
        <v>365.05</v>
      </c>
      <c r="H272" s="2" t="s">
        <v>1385</v>
      </c>
    </row>
    <row r="273" customFormat="false" ht="15" hidden="false" customHeight="false" outlineLevel="0" collapsed="false">
      <c r="A273" s="2" t="s">
        <v>14</v>
      </c>
      <c r="B273" s="2" t="s">
        <v>465</v>
      </c>
      <c r="C273" s="2" t="s">
        <v>579</v>
      </c>
      <c r="D273" s="2" t="s">
        <v>467</v>
      </c>
      <c r="E273" s="4" t="n">
        <v>182.95</v>
      </c>
      <c r="F273" s="4" t="n">
        <v>16.63</v>
      </c>
      <c r="G273" s="4" t="n">
        <v>166.32</v>
      </c>
      <c r="H273" s="2" t="s">
        <v>1381</v>
      </c>
    </row>
    <row r="274" customFormat="false" ht="15" hidden="false" customHeight="false" outlineLevel="0" collapsed="false">
      <c r="A274" s="2" t="s">
        <v>14</v>
      </c>
      <c r="B274" s="2" t="s">
        <v>1969</v>
      </c>
      <c r="C274" s="2" t="s">
        <v>1970</v>
      </c>
      <c r="D274" s="2" t="s">
        <v>1588</v>
      </c>
      <c r="E274" s="4" t="n">
        <v>617.62</v>
      </c>
      <c r="F274" s="4" t="n">
        <v>56.15</v>
      </c>
      <c r="G274" s="4" t="n">
        <v>561.47</v>
      </c>
      <c r="H274" s="2" t="s">
        <v>1385</v>
      </c>
    </row>
    <row r="275" customFormat="false" ht="15" hidden="false" customHeight="false" outlineLevel="0" collapsed="false">
      <c r="A275" s="2" t="s">
        <v>14</v>
      </c>
      <c r="B275" s="2" t="s">
        <v>1971</v>
      </c>
      <c r="C275" s="2" t="s">
        <v>1972</v>
      </c>
      <c r="D275" s="2" t="s">
        <v>1973</v>
      </c>
      <c r="E275" s="4" t="n">
        <v>422.77</v>
      </c>
      <c r="F275" s="4" t="n">
        <v>38.43</v>
      </c>
      <c r="G275" s="4" t="n">
        <v>384.34</v>
      </c>
      <c r="H275" s="2" t="s">
        <v>1385</v>
      </c>
    </row>
    <row r="276" customFormat="false" ht="15" hidden="false" customHeight="false" outlineLevel="0" collapsed="false">
      <c r="A276" s="2" t="s">
        <v>14</v>
      </c>
      <c r="B276" s="2" t="s">
        <v>493</v>
      </c>
      <c r="C276" s="2" t="s">
        <v>1974</v>
      </c>
      <c r="D276" s="2" t="s">
        <v>495</v>
      </c>
      <c r="E276" s="4" t="n">
        <v>0</v>
      </c>
      <c r="F276" s="4" t="n">
        <v>0</v>
      </c>
      <c r="G276" s="4" t="n">
        <v>0</v>
      </c>
      <c r="H276" s="2" t="s">
        <v>1385</v>
      </c>
    </row>
    <row r="277" customFormat="false" ht="15" hidden="false" customHeight="false" outlineLevel="0" collapsed="false">
      <c r="A277" s="2" t="s">
        <v>14</v>
      </c>
      <c r="B277" s="2" t="s">
        <v>1975</v>
      </c>
      <c r="C277" s="2" t="s">
        <v>1976</v>
      </c>
      <c r="D277" s="2" t="s">
        <v>1977</v>
      </c>
      <c r="E277" s="4" t="n">
        <v>199.35</v>
      </c>
      <c r="F277" s="4" t="n">
        <v>18.13</v>
      </c>
      <c r="G277" s="4" t="n">
        <v>181.22</v>
      </c>
      <c r="H277" s="2" t="s">
        <v>1385</v>
      </c>
    </row>
    <row r="278" customFormat="false" ht="15" hidden="false" customHeight="false" outlineLevel="0" collapsed="false">
      <c r="A278" s="2" t="s">
        <v>14</v>
      </c>
      <c r="B278" s="2" t="s">
        <v>393</v>
      </c>
      <c r="C278" s="2" t="s">
        <v>398</v>
      </c>
      <c r="D278" s="2" t="s">
        <v>395</v>
      </c>
      <c r="E278" s="4" t="n">
        <v>107.64</v>
      </c>
      <c r="F278" s="4" t="n">
        <v>9.79</v>
      </c>
      <c r="G278" s="4" t="n">
        <v>97.85</v>
      </c>
      <c r="H278" s="2" t="s">
        <v>1381</v>
      </c>
    </row>
    <row r="279" customFormat="false" ht="15" hidden="false" customHeight="false" outlineLevel="0" collapsed="false">
      <c r="A279" s="2" t="s">
        <v>14</v>
      </c>
      <c r="B279" s="2" t="s">
        <v>1978</v>
      </c>
      <c r="C279" s="2" t="s">
        <v>1979</v>
      </c>
      <c r="D279" s="2" t="s">
        <v>1980</v>
      </c>
      <c r="E279" s="4" t="n">
        <v>427.25</v>
      </c>
      <c r="F279" s="4" t="n">
        <v>38.84</v>
      </c>
      <c r="G279" s="4" t="n">
        <v>388.41</v>
      </c>
      <c r="H279" s="2" t="s">
        <v>1385</v>
      </c>
    </row>
    <row r="280" customFormat="false" ht="15" hidden="false" customHeight="false" outlineLevel="0" collapsed="false">
      <c r="A280" s="2" t="s">
        <v>14</v>
      </c>
      <c r="B280" s="2" t="s">
        <v>88</v>
      </c>
      <c r="C280" s="2" t="s">
        <v>89</v>
      </c>
      <c r="D280" s="2" t="s">
        <v>90</v>
      </c>
      <c r="E280" s="4" t="n">
        <v>753.57</v>
      </c>
      <c r="F280" s="4" t="n">
        <v>68.52</v>
      </c>
      <c r="G280" s="4" t="n">
        <v>685.05</v>
      </c>
      <c r="H280" s="2" t="s">
        <v>1381</v>
      </c>
    </row>
    <row r="281" customFormat="false" ht="15" hidden="false" customHeight="false" outlineLevel="0" collapsed="false">
      <c r="A281" s="2" t="s">
        <v>14</v>
      </c>
      <c r="B281" s="2" t="s">
        <v>1981</v>
      </c>
      <c r="C281" s="2" t="s">
        <v>1982</v>
      </c>
      <c r="D281" s="2" t="s">
        <v>1983</v>
      </c>
      <c r="E281" s="4" t="n">
        <v>0</v>
      </c>
      <c r="F281" s="4" t="n">
        <v>0</v>
      </c>
      <c r="G281" s="4" t="n">
        <v>0</v>
      </c>
      <c r="H281" s="2" t="s">
        <v>1385</v>
      </c>
    </row>
    <row r="282" customFormat="false" ht="15" hidden="false" customHeight="false" outlineLevel="0" collapsed="false">
      <c r="A282" s="2" t="s">
        <v>14</v>
      </c>
      <c r="B282" s="2" t="s">
        <v>1984</v>
      </c>
      <c r="C282" s="2" t="s">
        <v>1985</v>
      </c>
      <c r="D282" s="2" t="s">
        <v>1986</v>
      </c>
      <c r="E282" s="4" t="n">
        <v>355.81</v>
      </c>
      <c r="F282" s="4" t="n">
        <v>32.36</v>
      </c>
      <c r="G282" s="4" t="n">
        <v>323.45</v>
      </c>
      <c r="H282" s="2" t="s">
        <v>1385</v>
      </c>
    </row>
    <row r="283" customFormat="false" ht="15" hidden="false" customHeight="false" outlineLevel="0" collapsed="false">
      <c r="A283" s="2" t="s">
        <v>14</v>
      </c>
      <c r="B283" s="2" t="s">
        <v>1987</v>
      </c>
      <c r="C283" s="2" t="s">
        <v>1988</v>
      </c>
      <c r="D283" s="2" t="s">
        <v>1989</v>
      </c>
      <c r="E283" s="4" t="n">
        <v>780.16</v>
      </c>
      <c r="F283" s="4" t="n">
        <v>70.93</v>
      </c>
      <c r="G283" s="4" t="n">
        <v>709.23</v>
      </c>
      <c r="H283" s="2" t="s">
        <v>1385</v>
      </c>
    </row>
    <row r="284" customFormat="false" ht="15" hidden="false" customHeight="false" outlineLevel="0" collapsed="false">
      <c r="A284" s="2" t="s">
        <v>14</v>
      </c>
      <c r="B284" s="2" t="s">
        <v>1990</v>
      </c>
      <c r="C284" s="2" t="s">
        <v>1991</v>
      </c>
      <c r="D284" s="2" t="s">
        <v>1992</v>
      </c>
      <c r="E284" s="4" t="n">
        <v>696.82</v>
      </c>
      <c r="F284" s="4" t="n">
        <v>63.35</v>
      </c>
      <c r="G284" s="4" t="n">
        <v>633.47</v>
      </c>
      <c r="H284" s="2" t="s">
        <v>1385</v>
      </c>
    </row>
    <row r="285" customFormat="false" ht="15" hidden="false" customHeight="false" outlineLevel="0" collapsed="false">
      <c r="A285" s="2" t="s">
        <v>14</v>
      </c>
      <c r="B285" s="2" t="s">
        <v>292</v>
      </c>
      <c r="C285" s="2" t="s">
        <v>341</v>
      </c>
      <c r="D285" s="2" t="s">
        <v>294</v>
      </c>
      <c r="E285" s="4" t="n">
        <v>150.96</v>
      </c>
      <c r="F285" s="4" t="n">
        <v>13.72</v>
      </c>
      <c r="G285" s="4" t="n">
        <v>137.24</v>
      </c>
      <c r="H285" s="2" t="s">
        <v>1381</v>
      </c>
    </row>
    <row r="286" customFormat="false" ht="15" hidden="false" customHeight="false" outlineLevel="0" collapsed="false">
      <c r="A286" s="2" t="s">
        <v>14</v>
      </c>
      <c r="B286" s="2" t="s">
        <v>1993</v>
      </c>
      <c r="C286" s="2" t="s">
        <v>1994</v>
      </c>
      <c r="D286" s="2" t="s">
        <v>1995</v>
      </c>
      <c r="E286" s="4" t="n">
        <v>4464.09</v>
      </c>
      <c r="F286" s="4" t="n">
        <v>405.83</v>
      </c>
      <c r="G286" s="4" t="n">
        <v>4058.26</v>
      </c>
      <c r="H286" s="2" t="s">
        <v>1385</v>
      </c>
    </row>
    <row r="287" customFormat="false" ht="15" hidden="false" customHeight="false" outlineLevel="0" collapsed="false">
      <c r="A287" s="2" t="s">
        <v>14</v>
      </c>
      <c r="B287" s="2" t="s">
        <v>1996</v>
      </c>
      <c r="C287" s="2" t="s">
        <v>1997</v>
      </c>
      <c r="D287" s="2" t="s">
        <v>1998</v>
      </c>
      <c r="E287" s="4" t="n">
        <v>215.33</v>
      </c>
      <c r="F287" s="4" t="n">
        <v>19.58</v>
      </c>
      <c r="G287" s="4" t="n">
        <v>195.75</v>
      </c>
      <c r="H287" s="2" t="s">
        <v>1385</v>
      </c>
    </row>
    <row r="288" customFormat="false" ht="15" hidden="false" customHeight="false" outlineLevel="0" collapsed="false">
      <c r="A288" s="2" t="s">
        <v>14</v>
      </c>
      <c r="B288" s="2" t="s">
        <v>220</v>
      </c>
      <c r="C288" s="2" t="s">
        <v>259</v>
      </c>
      <c r="D288" s="2" t="s">
        <v>222</v>
      </c>
      <c r="E288" s="4" t="n">
        <v>112.64</v>
      </c>
      <c r="F288" s="4" t="n">
        <v>10.24</v>
      </c>
      <c r="G288" s="4" t="n">
        <v>102.4</v>
      </c>
      <c r="H288" s="2" t="s">
        <v>1381</v>
      </c>
    </row>
    <row r="289" customFormat="false" ht="15" hidden="false" customHeight="false" outlineLevel="0" collapsed="false">
      <c r="A289" s="2" t="s">
        <v>14</v>
      </c>
      <c r="B289" s="2" t="s">
        <v>1999</v>
      </c>
      <c r="C289" s="2" t="s">
        <v>2000</v>
      </c>
      <c r="D289" s="2" t="s">
        <v>2001</v>
      </c>
      <c r="E289" s="4" t="n">
        <v>160.11</v>
      </c>
      <c r="F289" s="4" t="n">
        <v>14.56</v>
      </c>
      <c r="G289" s="4" t="n">
        <v>145.55</v>
      </c>
      <c r="H289" s="2" t="s">
        <v>1385</v>
      </c>
    </row>
    <row r="290" customFormat="false" ht="15" hidden="false" customHeight="false" outlineLevel="0" collapsed="false">
      <c r="A290" s="2" t="s">
        <v>14</v>
      </c>
      <c r="B290" s="2" t="s">
        <v>2002</v>
      </c>
      <c r="C290" s="2" t="s">
        <v>2003</v>
      </c>
      <c r="D290" s="2" t="s">
        <v>2004</v>
      </c>
      <c r="E290" s="4" t="n">
        <v>255.99</v>
      </c>
      <c r="F290" s="4" t="n">
        <v>23.28</v>
      </c>
      <c r="G290" s="4" t="n">
        <v>232.71</v>
      </c>
      <c r="H290" s="2" t="s">
        <v>1385</v>
      </c>
    </row>
    <row r="291" customFormat="false" ht="15" hidden="false" customHeight="false" outlineLevel="0" collapsed="false">
      <c r="A291" s="2" t="s">
        <v>14</v>
      </c>
      <c r="B291" s="2" t="s">
        <v>500</v>
      </c>
      <c r="C291" s="2" t="s">
        <v>501</v>
      </c>
      <c r="D291" s="2" t="s">
        <v>502</v>
      </c>
      <c r="E291" s="4" t="n">
        <v>103.3</v>
      </c>
      <c r="F291" s="4" t="n">
        <v>9.4</v>
      </c>
      <c r="G291" s="4" t="n">
        <v>93.9</v>
      </c>
      <c r="H291" s="2" t="s">
        <v>1381</v>
      </c>
    </row>
    <row r="292" customFormat="false" ht="15" hidden="false" customHeight="false" outlineLevel="0" collapsed="false">
      <c r="A292" s="2" t="s">
        <v>14</v>
      </c>
      <c r="B292" s="2" t="s">
        <v>52</v>
      </c>
      <c r="C292" s="2" t="s">
        <v>2005</v>
      </c>
      <c r="D292" s="2" t="s">
        <v>54</v>
      </c>
      <c r="E292" s="4" t="n">
        <v>0</v>
      </c>
      <c r="F292" s="4" t="n">
        <v>0</v>
      </c>
      <c r="G292" s="4" t="n">
        <v>0</v>
      </c>
      <c r="H292" s="2" t="s">
        <v>1385</v>
      </c>
    </row>
    <row r="293" customFormat="false" ht="15" hidden="false" customHeight="false" outlineLevel="0" collapsed="false">
      <c r="A293" s="2" t="s">
        <v>14</v>
      </c>
      <c r="B293" s="2" t="s">
        <v>242</v>
      </c>
      <c r="C293" s="2" t="s">
        <v>2006</v>
      </c>
      <c r="D293" s="2" t="s">
        <v>244</v>
      </c>
      <c r="E293" s="4" t="n">
        <v>0</v>
      </c>
      <c r="F293" s="4" t="n">
        <v>0</v>
      </c>
      <c r="G293" s="4" t="n">
        <v>0</v>
      </c>
      <c r="H293" s="2" t="s">
        <v>1385</v>
      </c>
    </row>
    <row r="294" customFormat="false" ht="15" hidden="false" customHeight="false" outlineLevel="0" collapsed="false">
      <c r="A294" s="2" t="s">
        <v>14</v>
      </c>
      <c r="B294" s="2" t="s">
        <v>226</v>
      </c>
      <c r="C294" s="2" t="s">
        <v>2007</v>
      </c>
      <c r="D294" s="2" t="s">
        <v>228</v>
      </c>
      <c r="E294" s="4" t="n">
        <v>0</v>
      </c>
      <c r="F294" s="4" t="n">
        <v>0</v>
      </c>
      <c r="G294" s="4" t="n">
        <v>0</v>
      </c>
      <c r="H294" s="2" t="s">
        <v>1385</v>
      </c>
    </row>
    <row r="295" customFormat="false" ht="15" hidden="false" customHeight="false" outlineLevel="0" collapsed="false">
      <c r="A295" s="2" t="s">
        <v>14</v>
      </c>
      <c r="B295" s="2" t="s">
        <v>2008</v>
      </c>
      <c r="C295" s="2" t="s">
        <v>2009</v>
      </c>
      <c r="D295" s="2" t="s">
        <v>2010</v>
      </c>
      <c r="E295" s="4" t="n">
        <v>803.35</v>
      </c>
      <c r="F295" s="4" t="n">
        <v>73.04</v>
      </c>
      <c r="G295" s="4" t="n">
        <v>730.31</v>
      </c>
      <c r="H295" s="2" t="s">
        <v>1385</v>
      </c>
    </row>
    <row r="296" customFormat="false" ht="15" hidden="false" customHeight="false" outlineLevel="0" collapsed="false">
      <c r="A296" s="2" t="s">
        <v>14</v>
      </c>
      <c r="B296" s="2" t="s">
        <v>2011</v>
      </c>
      <c r="C296" s="2" t="s">
        <v>2012</v>
      </c>
      <c r="D296" s="2" t="s">
        <v>2013</v>
      </c>
      <c r="E296" s="4" t="n">
        <v>0</v>
      </c>
      <c r="F296" s="4" t="n">
        <v>0</v>
      </c>
      <c r="G296" s="4" t="n">
        <v>0</v>
      </c>
      <c r="H296" s="2" t="s">
        <v>1385</v>
      </c>
    </row>
    <row r="297" customFormat="false" ht="15" hidden="false" customHeight="false" outlineLevel="0" collapsed="false">
      <c r="A297" s="2" t="s">
        <v>14</v>
      </c>
      <c r="B297" s="2" t="s">
        <v>2014</v>
      </c>
      <c r="C297" s="2" t="s">
        <v>2015</v>
      </c>
      <c r="D297" s="2" t="s">
        <v>2016</v>
      </c>
      <c r="E297" s="4" t="n">
        <v>0</v>
      </c>
      <c r="F297" s="4" t="n">
        <v>0</v>
      </c>
      <c r="G297" s="4" t="n">
        <v>0</v>
      </c>
      <c r="H297" s="2" t="s">
        <v>1385</v>
      </c>
    </row>
    <row r="298" customFormat="false" ht="15" hidden="false" customHeight="false" outlineLevel="0" collapsed="false">
      <c r="A298" s="2" t="s">
        <v>14</v>
      </c>
      <c r="B298" s="2" t="s">
        <v>2017</v>
      </c>
      <c r="C298" s="2" t="s">
        <v>2018</v>
      </c>
      <c r="D298" s="2" t="s">
        <v>2019</v>
      </c>
      <c r="E298" s="4" t="n">
        <v>0</v>
      </c>
      <c r="F298" s="4" t="n">
        <v>0</v>
      </c>
      <c r="G298" s="4" t="n">
        <v>0</v>
      </c>
      <c r="H298" s="2" t="s">
        <v>1385</v>
      </c>
    </row>
    <row r="299" customFormat="false" ht="15" hidden="false" customHeight="false" outlineLevel="0" collapsed="false">
      <c r="A299" s="2" t="s">
        <v>14</v>
      </c>
      <c r="B299" s="2" t="s">
        <v>2020</v>
      </c>
      <c r="C299" s="2" t="s">
        <v>2021</v>
      </c>
      <c r="D299" s="2" t="s">
        <v>2022</v>
      </c>
      <c r="E299" s="4" t="n">
        <v>0</v>
      </c>
      <c r="F299" s="4" t="n">
        <v>0</v>
      </c>
      <c r="G299" s="4" t="n">
        <v>0</v>
      </c>
      <c r="H299" s="2" t="s">
        <v>1385</v>
      </c>
    </row>
    <row r="300" customFormat="false" ht="15" hidden="false" customHeight="false" outlineLevel="0" collapsed="false">
      <c r="A300" s="2" t="s">
        <v>14</v>
      </c>
      <c r="B300" s="2" t="s">
        <v>2023</v>
      </c>
      <c r="C300" s="2" t="s">
        <v>2024</v>
      </c>
      <c r="D300" s="2" t="s">
        <v>2025</v>
      </c>
      <c r="E300" s="4" t="n">
        <v>894.56</v>
      </c>
      <c r="F300" s="4" t="n">
        <v>81.33</v>
      </c>
      <c r="G300" s="4" t="n">
        <v>813.23</v>
      </c>
      <c r="H300" s="2" t="s">
        <v>1385</v>
      </c>
    </row>
    <row r="301" customFormat="false" ht="15" hidden="false" customHeight="false" outlineLevel="0" collapsed="false">
      <c r="A301" s="2" t="s">
        <v>14</v>
      </c>
      <c r="B301" s="2" t="s">
        <v>2026</v>
      </c>
      <c r="C301" s="2" t="s">
        <v>2027</v>
      </c>
      <c r="D301" s="2" t="s">
        <v>2028</v>
      </c>
      <c r="E301" s="4" t="n">
        <v>0</v>
      </c>
      <c r="F301" s="4" t="n">
        <v>0</v>
      </c>
      <c r="G301" s="4" t="n">
        <v>0</v>
      </c>
      <c r="H301" s="2" t="s">
        <v>1385</v>
      </c>
    </row>
    <row r="302" customFormat="false" ht="15" hidden="false" customHeight="false" outlineLevel="0" collapsed="false">
      <c r="A302" s="2" t="s">
        <v>14</v>
      </c>
      <c r="B302" s="2" t="s">
        <v>2029</v>
      </c>
      <c r="C302" s="2" t="s">
        <v>2030</v>
      </c>
      <c r="D302" s="2" t="s">
        <v>2031</v>
      </c>
      <c r="E302" s="4" t="n">
        <v>0</v>
      </c>
      <c r="F302" s="4" t="n">
        <v>0</v>
      </c>
      <c r="G302" s="4" t="n">
        <v>0</v>
      </c>
      <c r="H302" s="2" t="s">
        <v>1385</v>
      </c>
    </row>
    <row r="303" customFormat="false" ht="15" hidden="false" customHeight="false" outlineLevel="0" collapsed="false">
      <c r="A303" s="2" t="s">
        <v>14</v>
      </c>
      <c r="B303" s="2" t="s">
        <v>2032</v>
      </c>
      <c r="C303" s="2" t="s">
        <v>2033</v>
      </c>
      <c r="D303" s="2" t="s">
        <v>2034</v>
      </c>
      <c r="E303" s="4" t="n">
        <v>0</v>
      </c>
      <c r="F303" s="4" t="n">
        <v>0</v>
      </c>
      <c r="G303" s="4" t="n">
        <v>0</v>
      </c>
      <c r="H303" s="2" t="s">
        <v>1385</v>
      </c>
    </row>
    <row r="304" customFormat="false" ht="15" hidden="false" customHeight="false" outlineLevel="0" collapsed="false">
      <c r="A304" s="2" t="s">
        <v>14</v>
      </c>
      <c r="B304" s="2" t="s">
        <v>270</v>
      </c>
      <c r="C304" s="2" t="s">
        <v>2035</v>
      </c>
      <c r="D304" s="2" t="s">
        <v>272</v>
      </c>
      <c r="E304" s="4" t="n">
        <v>0</v>
      </c>
      <c r="F304" s="4" t="n">
        <v>0</v>
      </c>
      <c r="G304" s="4" t="n">
        <v>0</v>
      </c>
      <c r="H304" s="2" t="s">
        <v>1385</v>
      </c>
    </row>
    <row r="305" customFormat="false" ht="15" hidden="false" customHeight="false" outlineLevel="0" collapsed="false">
      <c r="A305" s="2" t="s">
        <v>14</v>
      </c>
      <c r="B305" s="2" t="s">
        <v>167</v>
      </c>
      <c r="C305" s="2" t="s">
        <v>2036</v>
      </c>
      <c r="D305" s="2" t="s">
        <v>169</v>
      </c>
      <c r="E305" s="4" t="n">
        <v>0</v>
      </c>
      <c r="F305" s="4" t="n">
        <v>0</v>
      </c>
      <c r="G305" s="4" t="n">
        <v>0</v>
      </c>
      <c r="H305" s="2" t="s">
        <v>1385</v>
      </c>
    </row>
    <row r="306" customFormat="false" ht="15" hidden="false" customHeight="false" outlineLevel="0" collapsed="false">
      <c r="A306" s="2" t="s">
        <v>14</v>
      </c>
      <c r="B306" s="2" t="s">
        <v>2037</v>
      </c>
      <c r="C306" s="2" t="s">
        <v>2038</v>
      </c>
      <c r="D306" s="2" t="s">
        <v>2039</v>
      </c>
      <c r="E306" s="4" t="n">
        <v>0</v>
      </c>
      <c r="F306" s="4" t="n">
        <v>0</v>
      </c>
      <c r="G306" s="4" t="n">
        <v>0</v>
      </c>
      <c r="H306" s="2" t="s">
        <v>1385</v>
      </c>
    </row>
    <row r="307" customFormat="false" ht="15" hidden="false" customHeight="false" outlineLevel="0" collapsed="false">
      <c r="A307" s="2" t="s">
        <v>14</v>
      </c>
      <c r="B307" s="2" t="s">
        <v>2040</v>
      </c>
      <c r="C307" s="2" t="s">
        <v>2041</v>
      </c>
      <c r="D307" s="2" t="s">
        <v>2042</v>
      </c>
      <c r="E307" s="4" t="n">
        <v>0</v>
      </c>
      <c r="F307" s="4" t="n">
        <v>0</v>
      </c>
      <c r="G307" s="4" t="n">
        <v>0</v>
      </c>
      <c r="H307" s="2" t="s">
        <v>1385</v>
      </c>
    </row>
    <row r="308" customFormat="false" ht="15" hidden="false" customHeight="false" outlineLevel="0" collapsed="false">
      <c r="A308" s="2" t="s">
        <v>14</v>
      </c>
      <c r="B308" s="2" t="s">
        <v>2043</v>
      </c>
      <c r="C308" s="2" t="s">
        <v>2044</v>
      </c>
      <c r="D308" s="2" t="s">
        <v>2045</v>
      </c>
      <c r="E308" s="4" t="n">
        <v>0</v>
      </c>
      <c r="F308" s="4" t="n">
        <v>0</v>
      </c>
      <c r="G308" s="4" t="n">
        <v>0</v>
      </c>
      <c r="H308" s="2" t="s">
        <v>1385</v>
      </c>
    </row>
    <row r="309" customFormat="false" ht="15" hidden="false" customHeight="false" outlineLevel="0" collapsed="false">
      <c r="A309" s="2" t="s">
        <v>14</v>
      </c>
      <c r="B309" s="2" t="s">
        <v>233</v>
      </c>
      <c r="C309" s="2" t="s">
        <v>2046</v>
      </c>
      <c r="D309" s="2" t="s">
        <v>235</v>
      </c>
      <c r="E309" s="4" t="n">
        <v>0</v>
      </c>
      <c r="F309" s="4" t="n">
        <v>0</v>
      </c>
      <c r="G309" s="4" t="n">
        <v>0</v>
      </c>
      <c r="H309" s="2" t="s">
        <v>1385</v>
      </c>
    </row>
    <row r="310" customFormat="false" ht="15" hidden="false" customHeight="false" outlineLevel="0" collapsed="false">
      <c r="A310" s="2" t="s">
        <v>14</v>
      </c>
      <c r="B310" s="2" t="s">
        <v>2047</v>
      </c>
      <c r="C310" s="2" t="s">
        <v>2048</v>
      </c>
      <c r="D310" s="2" t="s">
        <v>2049</v>
      </c>
      <c r="E310" s="4" t="n">
        <v>0</v>
      </c>
      <c r="F310" s="4" t="n">
        <v>0</v>
      </c>
      <c r="G310" s="4" t="n">
        <v>0</v>
      </c>
      <c r="H310" s="2" t="s">
        <v>1385</v>
      </c>
    </row>
    <row r="311" customFormat="false" ht="15" hidden="false" customHeight="false" outlineLevel="0" collapsed="false">
      <c r="A311" s="2" t="s">
        <v>14</v>
      </c>
      <c r="B311" s="2" t="s">
        <v>2050</v>
      </c>
      <c r="C311" s="2" t="s">
        <v>2051</v>
      </c>
      <c r="D311" s="2" t="s">
        <v>2052</v>
      </c>
      <c r="E311" s="4" t="n">
        <v>0</v>
      </c>
      <c r="F311" s="4" t="n">
        <v>0</v>
      </c>
      <c r="G311" s="4" t="n">
        <v>0</v>
      </c>
      <c r="H311" s="2" t="s">
        <v>1385</v>
      </c>
    </row>
    <row r="312" customFormat="false" ht="15" hidden="false" customHeight="false" outlineLevel="0" collapsed="false">
      <c r="A312" s="2" t="s">
        <v>14</v>
      </c>
      <c r="B312" s="2" t="s">
        <v>2053</v>
      </c>
      <c r="C312" s="2" t="s">
        <v>2054</v>
      </c>
      <c r="D312" s="2" t="s">
        <v>2055</v>
      </c>
      <c r="E312" s="4" t="n">
        <v>0</v>
      </c>
      <c r="F312" s="4" t="n">
        <v>0</v>
      </c>
      <c r="G312" s="4" t="n">
        <v>0</v>
      </c>
      <c r="H312" s="2" t="s">
        <v>1385</v>
      </c>
    </row>
    <row r="313" customFormat="false" ht="15" hidden="false" customHeight="false" outlineLevel="0" collapsed="false">
      <c r="A313" s="2" t="s">
        <v>14</v>
      </c>
      <c r="B313" s="2" t="s">
        <v>2056</v>
      </c>
      <c r="C313" s="2" t="s">
        <v>2057</v>
      </c>
      <c r="D313" s="2" t="s">
        <v>2058</v>
      </c>
      <c r="E313" s="4" t="n">
        <v>0</v>
      </c>
      <c r="F313" s="4" t="n">
        <v>0</v>
      </c>
      <c r="G313" s="4" t="n">
        <v>0</v>
      </c>
      <c r="H313" s="2" t="s">
        <v>1385</v>
      </c>
    </row>
    <row r="314" customFormat="false" ht="15" hidden="false" customHeight="false" outlineLevel="0" collapsed="false">
      <c r="A314" s="2" t="s">
        <v>14</v>
      </c>
      <c r="B314" s="2" t="s">
        <v>2059</v>
      </c>
      <c r="C314" s="2" t="s">
        <v>2060</v>
      </c>
      <c r="D314" s="2" t="s">
        <v>2061</v>
      </c>
      <c r="E314" s="4" t="n">
        <v>0</v>
      </c>
      <c r="F314" s="4" t="n">
        <v>0</v>
      </c>
      <c r="G314" s="4" t="n">
        <v>0</v>
      </c>
      <c r="H314" s="2" t="s">
        <v>1385</v>
      </c>
    </row>
    <row r="315" customFormat="false" ht="15" hidden="false" customHeight="false" outlineLevel="0" collapsed="false">
      <c r="A315" s="2" t="s">
        <v>14</v>
      </c>
      <c r="B315" s="2" t="s">
        <v>2062</v>
      </c>
      <c r="C315" s="2" t="s">
        <v>2063</v>
      </c>
      <c r="D315" s="2" t="s">
        <v>2064</v>
      </c>
      <c r="E315" s="4" t="n">
        <v>0</v>
      </c>
      <c r="F315" s="4" t="n">
        <v>0</v>
      </c>
      <c r="G315" s="4" t="n">
        <v>0</v>
      </c>
      <c r="H315" s="2" t="s">
        <v>1385</v>
      </c>
    </row>
    <row r="316" customFormat="false" ht="15" hidden="false" customHeight="false" outlineLevel="0" collapsed="false">
      <c r="A316" s="2" t="s">
        <v>14</v>
      </c>
      <c r="B316" s="2" t="s">
        <v>2065</v>
      </c>
      <c r="C316" s="2" t="s">
        <v>2066</v>
      </c>
      <c r="D316" s="2" t="s">
        <v>2067</v>
      </c>
      <c r="E316" s="4" t="n">
        <v>0</v>
      </c>
      <c r="F316" s="4" t="n">
        <v>0</v>
      </c>
      <c r="G316" s="4" t="n">
        <v>0</v>
      </c>
      <c r="H316" s="2" t="s">
        <v>1385</v>
      </c>
    </row>
    <row r="317" customFormat="false" ht="15" hidden="false" customHeight="false" outlineLevel="0" collapsed="false">
      <c r="A317" s="2" t="s">
        <v>14</v>
      </c>
      <c r="B317" s="2" t="s">
        <v>2068</v>
      </c>
      <c r="C317" s="2" t="s">
        <v>2069</v>
      </c>
      <c r="D317" s="2" t="s">
        <v>2070</v>
      </c>
      <c r="E317" s="4" t="n">
        <v>0</v>
      </c>
      <c r="F317" s="4" t="n">
        <v>0</v>
      </c>
      <c r="G317" s="4" t="n">
        <v>0</v>
      </c>
      <c r="H317" s="2" t="s">
        <v>1385</v>
      </c>
    </row>
    <row r="318" customFormat="false" ht="15" hidden="false" customHeight="false" outlineLevel="0" collapsed="false">
      <c r="A318" s="2" t="s">
        <v>14</v>
      </c>
      <c r="B318" s="2" t="s">
        <v>2071</v>
      </c>
      <c r="C318" s="2" t="s">
        <v>2072</v>
      </c>
      <c r="D318" s="2" t="s">
        <v>2073</v>
      </c>
      <c r="E318" s="4" t="n">
        <v>0</v>
      </c>
      <c r="F318" s="4" t="n">
        <v>0</v>
      </c>
      <c r="G318" s="4" t="n">
        <v>0</v>
      </c>
      <c r="H318" s="2" t="s">
        <v>1385</v>
      </c>
    </row>
    <row r="319" customFormat="false" ht="15" hidden="false" customHeight="false" outlineLevel="0" collapsed="false">
      <c r="A319" s="2" t="s">
        <v>14</v>
      </c>
      <c r="B319" s="2" t="s">
        <v>305</v>
      </c>
      <c r="C319" s="2" t="s">
        <v>2074</v>
      </c>
      <c r="D319" s="2" t="s">
        <v>307</v>
      </c>
      <c r="E319" s="4" t="n">
        <v>0</v>
      </c>
      <c r="F319" s="4" t="n">
        <v>0</v>
      </c>
      <c r="G319" s="4" t="n">
        <v>0</v>
      </c>
      <c r="H319" s="2" t="s">
        <v>1385</v>
      </c>
    </row>
    <row r="320" customFormat="false" ht="15" hidden="false" customHeight="false" outlineLevel="0" collapsed="false">
      <c r="A320" s="2" t="s">
        <v>14</v>
      </c>
      <c r="B320" s="2" t="s">
        <v>298</v>
      </c>
      <c r="C320" s="2" t="s">
        <v>2075</v>
      </c>
      <c r="D320" s="2" t="s">
        <v>300</v>
      </c>
      <c r="E320" s="4" t="n">
        <v>0</v>
      </c>
      <c r="F320" s="4" t="n">
        <v>0</v>
      </c>
      <c r="G320" s="4" t="n">
        <v>0</v>
      </c>
      <c r="H320" s="2" t="s">
        <v>1385</v>
      </c>
    </row>
    <row r="321" customFormat="false" ht="15" hidden="false" customHeight="false" outlineLevel="0" collapsed="false">
      <c r="A321" s="2" t="s">
        <v>14</v>
      </c>
      <c r="B321" s="2" t="s">
        <v>160</v>
      </c>
      <c r="C321" s="2" t="s">
        <v>2076</v>
      </c>
      <c r="D321" s="2" t="s">
        <v>162</v>
      </c>
      <c r="E321" s="4" t="n">
        <v>0</v>
      </c>
      <c r="F321" s="4" t="n">
        <v>0</v>
      </c>
      <c r="G321" s="4" t="n">
        <v>0</v>
      </c>
      <c r="H321" s="2" t="s">
        <v>1385</v>
      </c>
    </row>
    <row r="322" customFormat="false" ht="15" hidden="false" customHeight="false" outlineLevel="0" collapsed="false">
      <c r="A322" s="2" t="s">
        <v>14</v>
      </c>
      <c r="B322" s="2" t="s">
        <v>582</v>
      </c>
      <c r="C322" s="2" t="s">
        <v>2077</v>
      </c>
      <c r="D322" s="2" t="s">
        <v>584</v>
      </c>
      <c r="E322" s="4" t="n">
        <v>0</v>
      </c>
      <c r="F322" s="4" t="n">
        <v>0</v>
      </c>
      <c r="G322" s="4" t="n">
        <v>0</v>
      </c>
      <c r="H322" s="2" t="s">
        <v>1385</v>
      </c>
    </row>
    <row r="323" customFormat="false" ht="15" hidden="false" customHeight="false" outlineLevel="0" collapsed="false">
      <c r="A323" s="2" t="s">
        <v>14</v>
      </c>
      <c r="B323" s="2" t="s">
        <v>316</v>
      </c>
      <c r="C323" s="2" t="s">
        <v>2078</v>
      </c>
      <c r="D323" s="2" t="s">
        <v>318</v>
      </c>
      <c r="E323" s="4" t="n">
        <v>0</v>
      </c>
      <c r="F323" s="4" t="n">
        <v>0</v>
      </c>
      <c r="G323" s="4" t="n">
        <v>0</v>
      </c>
      <c r="H323" s="2" t="s">
        <v>1385</v>
      </c>
    </row>
    <row r="324" customFormat="false" ht="15" hidden="false" customHeight="false" outlineLevel="0" collapsed="false">
      <c r="A324" s="2" t="s">
        <v>14</v>
      </c>
      <c r="B324" s="2" t="s">
        <v>2079</v>
      </c>
      <c r="C324" s="2" t="s">
        <v>2080</v>
      </c>
      <c r="D324" s="2" t="s">
        <v>2081</v>
      </c>
      <c r="E324" s="4" t="n">
        <v>0</v>
      </c>
      <c r="F324" s="4" t="n">
        <v>0</v>
      </c>
      <c r="G324" s="4" t="n">
        <v>0</v>
      </c>
      <c r="H324" s="2" t="s">
        <v>1385</v>
      </c>
    </row>
    <row r="325" customFormat="false" ht="15" hidden="false" customHeight="false" outlineLevel="0" collapsed="false">
      <c r="A325" s="2" t="s">
        <v>14</v>
      </c>
      <c r="B325" s="2" t="s">
        <v>2082</v>
      </c>
      <c r="C325" s="2" t="s">
        <v>2083</v>
      </c>
      <c r="D325" s="2" t="s">
        <v>2084</v>
      </c>
      <c r="E325" s="4" t="n">
        <v>0</v>
      </c>
      <c r="F325" s="4" t="n">
        <v>0</v>
      </c>
      <c r="G325" s="4" t="n">
        <v>0</v>
      </c>
      <c r="H325" s="2" t="s">
        <v>1385</v>
      </c>
    </row>
    <row r="326" customFormat="false" ht="15" hidden="false" customHeight="false" outlineLevel="0" collapsed="false">
      <c r="A326" s="2" t="s">
        <v>14</v>
      </c>
      <c r="B326" s="2" t="s">
        <v>204</v>
      </c>
      <c r="C326" s="2" t="s">
        <v>2085</v>
      </c>
      <c r="D326" s="2" t="s">
        <v>206</v>
      </c>
      <c r="E326" s="4" t="n">
        <v>0</v>
      </c>
      <c r="F326" s="4" t="n">
        <v>0</v>
      </c>
      <c r="G326" s="4" t="n">
        <v>0</v>
      </c>
      <c r="H326" s="2" t="s">
        <v>1385</v>
      </c>
    </row>
    <row r="327" customFormat="false" ht="15" hidden="false" customHeight="false" outlineLevel="0" collapsed="false">
      <c r="A327" s="2" t="s">
        <v>14</v>
      </c>
      <c r="B327" s="2" t="s">
        <v>323</v>
      </c>
      <c r="C327" s="2" t="s">
        <v>2086</v>
      </c>
      <c r="D327" s="2" t="s">
        <v>325</v>
      </c>
      <c r="E327" s="4" t="n">
        <v>0</v>
      </c>
      <c r="F327" s="4" t="n">
        <v>0</v>
      </c>
      <c r="G327" s="4" t="n">
        <v>0</v>
      </c>
      <c r="H327" s="2" t="s">
        <v>1385</v>
      </c>
    </row>
    <row r="328" customFormat="false" ht="15" hidden="false" customHeight="false" outlineLevel="0" collapsed="false">
      <c r="A328" s="2" t="s">
        <v>14</v>
      </c>
      <c r="B328" s="2" t="s">
        <v>2087</v>
      </c>
      <c r="C328" s="2" t="s">
        <v>2088</v>
      </c>
      <c r="D328" s="2" t="s">
        <v>2089</v>
      </c>
      <c r="E328" s="4" t="n">
        <v>0</v>
      </c>
      <c r="F328" s="4" t="n">
        <v>0</v>
      </c>
      <c r="G328" s="4" t="n">
        <v>0</v>
      </c>
      <c r="H328" s="2" t="s">
        <v>1385</v>
      </c>
    </row>
    <row r="329" customFormat="false" ht="15" hidden="false" customHeight="false" outlineLevel="0" collapsed="false">
      <c r="A329" s="2" t="s">
        <v>14</v>
      </c>
      <c r="B329" s="2" t="s">
        <v>69</v>
      </c>
      <c r="C329" s="2" t="s">
        <v>2090</v>
      </c>
      <c r="D329" s="2" t="s">
        <v>71</v>
      </c>
      <c r="E329" s="4" t="n">
        <v>0</v>
      </c>
      <c r="F329" s="4" t="n">
        <v>0</v>
      </c>
      <c r="G329" s="4" t="n">
        <v>0</v>
      </c>
      <c r="H329" s="2" t="s">
        <v>1385</v>
      </c>
    </row>
    <row r="330" customFormat="false" ht="15" hidden="false" customHeight="false" outlineLevel="0" collapsed="false">
      <c r="A330" s="2" t="s">
        <v>14</v>
      </c>
      <c r="B330" s="2" t="s">
        <v>2091</v>
      </c>
      <c r="C330" s="2" t="s">
        <v>2092</v>
      </c>
      <c r="D330" s="2" t="s">
        <v>2093</v>
      </c>
      <c r="E330" s="4" t="n">
        <v>0</v>
      </c>
      <c r="F330" s="4" t="n">
        <v>0</v>
      </c>
      <c r="G330" s="4" t="n">
        <v>0</v>
      </c>
      <c r="H330" s="2" t="s">
        <v>1385</v>
      </c>
    </row>
    <row r="331" customFormat="false" ht="15" hidden="false" customHeight="false" outlineLevel="0" collapsed="false">
      <c r="A331" s="2" t="s">
        <v>14</v>
      </c>
      <c r="B331" s="2" t="s">
        <v>311</v>
      </c>
      <c r="C331" s="2" t="s">
        <v>2094</v>
      </c>
      <c r="D331" s="2" t="s">
        <v>313</v>
      </c>
      <c r="E331" s="4" t="n">
        <v>0</v>
      </c>
      <c r="F331" s="4" t="n">
        <v>0</v>
      </c>
      <c r="G331" s="4" t="n">
        <v>0</v>
      </c>
      <c r="H331" s="2" t="s">
        <v>1385</v>
      </c>
    </row>
    <row r="332" customFormat="false" ht="15" hidden="false" customHeight="false" outlineLevel="0" collapsed="false">
      <c r="A332" s="2" t="s">
        <v>14</v>
      </c>
      <c r="B332" s="2" t="s">
        <v>330</v>
      </c>
      <c r="C332" s="2" t="s">
        <v>2095</v>
      </c>
      <c r="D332" s="2" t="s">
        <v>332</v>
      </c>
      <c r="E332" s="4" t="n">
        <v>0</v>
      </c>
      <c r="F332" s="4" t="n">
        <v>0</v>
      </c>
      <c r="G332" s="4" t="n">
        <v>0</v>
      </c>
      <c r="H332" s="2" t="s">
        <v>1385</v>
      </c>
    </row>
    <row r="333" customFormat="false" ht="15" hidden="false" customHeight="false" outlineLevel="0" collapsed="false">
      <c r="A333" s="2" t="s">
        <v>14</v>
      </c>
      <c r="B333" s="2" t="s">
        <v>2096</v>
      </c>
      <c r="C333" s="2" t="s">
        <v>2097</v>
      </c>
      <c r="D333" s="2" t="s">
        <v>2098</v>
      </c>
      <c r="E333" s="4" t="n">
        <v>0</v>
      </c>
      <c r="F333" s="4" t="n">
        <v>0</v>
      </c>
      <c r="G333" s="4" t="n">
        <v>0</v>
      </c>
      <c r="H333" s="2" t="s">
        <v>1385</v>
      </c>
    </row>
    <row r="334" customFormat="false" ht="15" hidden="false" customHeight="false" outlineLevel="0" collapsed="false">
      <c r="A334" s="2" t="s">
        <v>14</v>
      </c>
      <c r="B334" s="2" t="s">
        <v>2099</v>
      </c>
      <c r="C334" s="2" t="s">
        <v>2100</v>
      </c>
      <c r="D334" s="2" t="s">
        <v>2101</v>
      </c>
      <c r="E334" s="4" t="n">
        <v>0</v>
      </c>
      <c r="F334" s="4" t="n">
        <v>0</v>
      </c>
      <c r="G334" s="4" t="n">
        <v>0</v>
      </c>
      <c r="H334" s="2" t="s">
        <v>1385</v>
      </c>
    </row>
    <row r="335" customFormat="false" ht="15" hidden="false" customHeight="false" outlineLevel="0" collapsed="false">
      <c r="A335" s="2" t="s">
        <v>14</v>
      </c>
      <c r="B335" s="2" t="s">
        <v>123</v>
      </c>
      <c r="C335" s="2" t="s">
        <v>2102</v>
      </c>
      <c r="D335" s="2" t="s">
        <v>125</v>
      </c>
      <c r="E335" s="4" t="n">
        <v>0</v>
      </c>
      <c r="F335" s="4" t="n">
        <v>0</v>
      </c>
      <c r="G335" s="4" t="n">
        <v>0</v>
      </c>
      <c r="H335" s="2" t="s">
        <v>1385</v>
      </c>
    </row>
    <row r="336" customFormat="false" ht="15" hidden="false" customHeight="false" outlineLevel="0" collapsed="false">
      <c r="A336" s="2" t="s">
        <v>14</v>
      </c>
      <c r="B336" s="2" t="s">
        <v>2103</v>
      </c>
      <c r="C336" s="2" t="s">
        <v>2104</v>
      </c>
      <c r="D336" s="2" t="s">
        <v>2105</v>
      </c>
      <c r="E336" s="4" t="n">
        <v>0</v>
      </c>
      <c r="F336" s="4" t="n">
        <v>0</v>
      </c>
      <c r="G336" s="4" t="n">
        <v>0</v>
      </c>
      <c r="H336" s="2" t="s">
        <v>1385</v>
      </c>
    </row>
    <row r="337" customFormat="false" ht="15" hidden="false" customHeight="false" outlineLevel="0" collapsed="false">
      <c r="A337" s="2" t="s">
        <v>14</v>
      </c>
      <c r="B337" s="2" t="s">
        <v>2106</v>
      </c>
      <c r="C337" s="2" t="s">
        <v>2107</v>
      </c>
      <c r="D337" s="2" t="s">
        <v>2108</v>
      </c>
      <c r="E337" s="4" t="n">
        <v>0</v>
      </c>
      <c r="F337" s="4" t="n">
        <v>0</v>
      </c>
      <c r="G337" s="4" t="n">
        <v>0</v>
      </c>
      <c r="H337" s="2" t="s">
        <v>1385</v>
      </c>
    </row>
    <row r="338" customFormat="false" ht="15" hidden="false" customHeight="false" outlineLevel="0" collapsed="false">
      <c r="A338" s="2" t="s">
        <v>14</v>
      </c>
      <c r="B338" s="2" t="s">
        <v>61</v>
      </c>
      <c r="C338" s="2" t="s">
        <v>2109</v>
      </c>
      <c r="D338" s="2" t="s">
        <v>63</v>
      </c>
      <c r="E338" s="4" t="n">
        <v>0</v>
      </c>
      <c r="F338" s="4" t="n">
        <v>0</v>
      </c>
      <c r="G338" s="4" t="n">
        <v>0</v>
      </c>
      <c r="H338" s="2" t="s">
        <v>1385</v>
      </c>
    </row>
    <row r="339" customFormat="false" ht="15" hidden="false" customHeight="false" outlineLevel="0" collapsed="false">
      <c r="A339" s="2" t="s">
        <v>14</v>
      </c>
      <c r="B339" s="2" t="s">
        <v>2110</v>
      </c>
      <c r="C339" s="2" t="s">
        <v>2111</v>
      </c>
      <c r="D339" s="2" t="s">
        <v>2112</v>
      </c>
      <c r="E339" s="4" t="n">
        <v>0</v>
      </c>
      <c r="F339" s="4" t="n">
        <v>0</v>
      </c>
      <c r="G339" s="4" t="n">
        <v>0</v>
      </c>
      <c r="H339" s="2" t="s">
        <v>1385</v>
      </c>
    </row>
    <row r="340" customFormat="false" ht="15" hidden="false" customHeight="false" outlineLevel="0" collapsed="false">
      <c r="A340" s="2" t="s">
        <v>14</v>
      </c>
      <c r="B340" s="2" t="s">
        <v>2113</v>
      </c>
      <c r="C340" s="2" t="s">
        <v>2114</v>
      </c>
      <c r="D340" s="2" t="s">
        <v>2115</v>
      </c>
      <c r="E340" s="4" t="n">
        <v>0</v>
      </c>
      <c r="F340" s="4" t="n">
        <v>0</v>
      </c>
      <c r="G340" s="4" t="n">
        <v>0</v>
      </c>
      <c r="H340" s="2" t="s">
        <v>1385</v>
      </c>
    </row>
    <row r="341" customFormat="false" ht="15" hidden="false" customHeight="false" outlineLevel="0" collapsed="false">
      <c r="A341" s="2" t="s">
        <v>14</v>
      </c>
      <c r="B341" s="2" t="s">
        <v>2116</v>
      </c>
      <c r="C341" s="2" t="s">
        <v>2117</v>
      </c>
      <c r="D341" s="2" t="s">
        <v>2118</v>
      </c>
      <c r="E341" s="4" t="n">
        <v>0</v>
      </c>
      <c r="F341" s="4" t="n">
        <v>0</v>
      </c>
      <c r="G341" s="4" t="n">
        <v>0</v>
      </c>
      <c r="H341" s="2" t="s">
        <v>1385</v>
      </c>
    </row>
    <row r="342" customFormat="false" ht="15" hidden="false" customHeight="false" outlineLevel="0" collapsed="false">
      <c r="A342" s="2" t="s">
        <v>14</v>
      </c>
      <c r="B342" s="2" t="s">
        <v>2119</v>
      </c>
      <c r="C342" s="2" t="s">
        <v>2120</v>
      </c>
      <c r="D342" s="2" t="s">
        <v>2121</v>
      </c>
      <c r="E342" s="4" t="n">
        <v>0</v>
      </c>
      <c r="F342" s="4" t="n">
        <v>0</v>
      </c>
      <c r="G342" s="4" t="n">
        <v>0</v>
      </c>
      <c r="H342" s="2" t="s">
        <v>1385</v>
      </c>
    </row>
    <row r="343" customFormat="false" ht="15" hidden="false" customHeight="false" outlineLevel="0" collapsed="false">
      <c r="A343" s="2" t="s">
        <v>14</v>
      </c>
      <c r="B343" s="2" t="s">
        <v>2122</v>
      </c>
      <c r="C343" s="2" t="s">
        <v>2123</v>
      </c>
      <c r="D343" s="2" t="s">
        <v>2124</v>
      </c>
      <c r="E343" s="4" t="n">
        <v>0</v>
      </c>
      <c r="F343" s="4" t="n">
        <v>0</v>
      </c>
      <c r="G343" s="4" t="n">
        <v>0</v>
      </c>
      <c r="H343" s="2" t="s">
        <v>1385</v>
      </c>
    </row>
    <row r="344" customFormat="false" ht="15" hidden="false" customHeight="false" outlineLevel="0" collapsed="false">
      <c r="A344" s="2" t="s">
        <v>14</v>
      </c>
      <c r="B344" s="2" t="s">
        <v>354</v>
      </c>
      <c r="C344" s="2" t="s">
        <v>2125</v>
      </c>
      <c r="D344" s="2" t="s">
        <v>356</v>
      </c>
      <c r="E344" s="4" t="n">
        <v>0</v>
      </c>
      <c r="F344" s="4" t="n">
        <v>0</v>
      </c>
      <c r="G344" s="4" t="n">
        <v>0</v>
      </c>
      <c r="H344" s="2" t="s">
        <v>1385</v>
      </c>
    </row>
    <row r="345" customFormat="false" ht="15" hidden="false" customHeight="false" outlineLevel="0" collapsed="false">
      <c r="A345" s="2" t="s">
        <v>14</v>
      </c>
      <c r="B345" s="2" t="s">
        <v>2126</v>
      </c>
      <c r="C345" s="2" t="s">
        <v>2127</v>
      </c>
      <c r="D345" s="2" t="s">
        <v>2128</v>
      </c>
      <c r="E345" s="4" t="n">
        <v>0</v>
      </c>
      <c r="F345" s="4" t="n">
        <v>0</v>
      </c>
      <c r="G345" s="4" t="n">
        <v>0</v>
      </c>
      <c r="H345" s="2" t="s">
        <v>1385</v>
      </c>
    </row>
    <row r="346" customFormat="false" ht="15" hidden="false" customHeight="false" outlineLevel="0" collapsed="false">
      <c r="A346" s="2" t="s">
        <v>14</v>
      </c>
      <c r="B346" s="2" t="s">
        <v>378</v>
      </c>
      <c r="C346" s="2" t="s">
        <v>2129</v>
      </c>
      <c r="D346" s="2" t="s">
        <v>380</v>
      </c>
      <c r="E346" s="4" t="n">
        <v>0</v>
      </c>
      <c r="F346" s="4" t="n">
        <v>0</v>
      </c>
      <c r="G346" s="4" t="n">
        <v>0</v>
      </c>
      <c r="H346" s="2" t="s">
        <v>1385</v>
      </c>
    </row>
    <row r="347" customFormat="false" ht="15" hidden="false" customHeight="false" outlineLevel="0" collapsed="false">
      <c r="A347" s="2" t="s">
        <v>14</v>
      </c>
      <c r="B347" s="2" t="s">
        <v>384</v>
      </c>
      <c r="C347" s="2" t="s">
        <v>2130</v>
      </c>
      <c r="D347" s="2" t="s">
        <v>386</v>
      </c>
      <c r="E347" s="4" t="n">
        <v>0</v>
      </c>
      <c r="F347" s="4" t="n">
        <v>0</v>
      </c>
      <c r="G347" s="4" t="n">
        <v>0</v>
      </c>
      <c r="H347" s="2" t="s">
        <v>1385</v>
      </c>
    </row>
    <row r="348" customFormat="false" ht="15" hidden="false" customHeight="false" outlineLevel="0" collapsed="false">
      <c r="A348" s="2" t="s">
        <v>14</v>
      </c>
      <c r="B348" s="2" t="s">
        <v>2131</v>
      </c>
      <c r="C348" s="2" t="s">
        <v>2132</v>
      </c>
      <c r="D348" s="2" t="s">
        <v>2133</v>
      </c>
      <c r="E348" s="4" t="n">
        <v>0</v>
      </c>
      <c r="F348" s="4" t="n">
        <v>0</v>
      </c>
      <c r="G348" s="4" t="n">
        <v>0</v>
      </c>
      <c r="H348" s="2" t="s">
        <v>1385</v>
      </c>
    </row>
    <row r="349" customFormat="false" ht="15" hidden="false" customHeight="false" outlineLevel="0" collapsed="false">
      <c r="A349" s="2" t="s">
        <v>14</v>
      </c>
      <c r="B349" s="2" t="s">
        <v>2134</v>
      </c>
      <c r="C349" s="2" t="s">
        <v>2135</v>
      </c>
      <c r="D349" s="2" t="s">
        <v>2136</v>
      </c>
      <c r="E349" s="4" t="n">
        <v>0</v>
      </c>
      <c r="F349" s="4" t="n">
        <v>0</v>
      </c>
      <c r="G349" s="4" t="n">
        <v>0</v>
      </c>
      <c r="H349" s="2" t="s">
        <v>1385</v>
      </c>
    </row>
    <row r="350" customFormat="false" ht="15" hidden="false" customHeight="false" outlineLevel="0" collapsed="false">
      <c r="A350" s="2" t="s">
        <v>14</v>
      </c>
      <c r="B350" s="2" t="s">
        <v>2137</v>
      </c>
      <c r="C350" s="2" t="s">
        <v>2138</v>
      </c>
      <c r="D350" s="2" t="s">
        <v>2139</v>
      </c>
      <c r="E350" s="4" t="n">
        <v>0</v>
      </c>
      <c r="F350" s="4" t="n">
        <v>0</v>
      </c>
      <c r="G350" s="4" t="n">
        <v>0</v>
      </c>
      <c r="H350" s="2" t="s">
        <v>1385</v>
      </c>
    </row>
    <row r="351" customFormat="false" ht="15" hidden="false" customHeight="false" outlineLevel="0" collapsed="false">
      <c r="A351" s="2" t="s">
        <v>14</v>
      </c>
      <c r="B351" s="2" t="s">
        <v>2140</v>
      </c>
      <c r="C351" s="2" t="s">
        <v>2141</v>
      </c>
      <c r="D351" s="2" t="s">
        <v>2142</v>
      </c>
      <c r="E351" s="4" t="n">
        <v>0</v>
      </c>
      <c r="F351" s="4" t="n">
        <v>0</v>
      </c>
      <c r="G351" s="4" t="n">
        <v>0</v>
      </c>
      <c r="H351" s="2" t="s">
        <v>1385</v>
      </c>
    </row>
    <row r="352" customFormat="false" ht="15" hidden="false" customHeight="false" outlineLevel="0" collapsed="false">
      <c r="A352" s="2" t="s">
        <v>14</v>
      </c>
      <c r="B352" s="2" t="s">
        <v>2143</v>
      </c>
      <c r="C352" s="2" t="s">
        <v>2144</v>
      </c>
      <c r="D352" s="2" t="s">
        <v>2145</v>
      </c>
      <c r="E352" s="4" t="n">
        <v>0</v>
      </c>
      <c r="F352" s="4" t="n">
        <v>0</v>
      </c>
      <c r="G352" s="4" t="n">
        <v>0</v>
      </c>
      <c r="H352" s="2" t="s">
        <v>1385</v>
      </c>
    </row>
    <row r="353" customFormat="false" ht="15" hidden="false" customHeight="false" outlineLevel="0" collapsed="false">
      <c r="A353" s="2" t="s">
        <v>14</v>
      </c>
      <c r="B353" s="2" t="s">
        <v>405</v>
      </c>
      <c r="C353" s="2" t="s">
        <v>2146</v>
      </c>
      <c r="D353" s="2" t="s">
        <v>407</v>
      </c>
      <c r="E353" s="4" t="n">
        <v>0</v>
      </c>
      <c r="F353" s="4" t="n">
        <v>0</v>
      </c>
      <c r="G353" s="4" t="n">
        <v>0</v>
      </c>
      <c r="H353" s="2" t="s">
        <v>1385</v>
      </c>
    </row>
    <row r="354" customFormat="false" ht="15" hidden="false" customHeight="false" outlineLevel="0" collapsed="false">
      <c r="A354" s="2" t="s">
        <v>14</v>
      </c>
      <c r="B354" s="2" t="s">
        <v>412</v>
      </c>
      <c r="C354" s="2" t="s">
        <v>2147</v>
      </c>
      <c r="D354" s="2" t="s">
        <v>414</v>
      </c>
      <c r="E354" s="4" t="n">
        <v>0</v>
      </c>
      <c r="F354" s="4" t="n">
        <v>0</v>
      </c>
      <c r="G354" s="4" t="n">
        <v>0</v>
      </c>
      <c r="H354" s="2" t="s">
        <v>1385</v>
      </c>
    </row>
    <row r="355" customFormat="false" ht="15" hidden="false" customHeight="false" outlineLevel="0" collapsed="false">
      <c r="A355" s="2" t="s">
        <v>14</v>
      </c>
      <c r="B355" s="2" t="s">
        <v>2148</v>
      </c>
      <c r="C355" s="2" t="s">
        <v>2149</v>
      </c>
      <c r="D355" s="2" t="s">
        <v>2150</v>
      </c>
      <c r="E355" s="4" t="n">
        <v>0</v>
      </c>
      <c r="F355" s="4" t="n">
        <v>0</v>
      </c>
      <c r="G355" s="4" t="n">
        <v>0</v>
      </c>
      <c r="H355" s="2" t="s">
        <v>1385</v>
      </c>
    </row>
    <row r="356" customFormat="false" ht="15" hidden="false" customHeight="false" outlineLevel="0" collapsed="false">
      <c r="A356" s="2" t="s">
        <v>14</v>
      </c>
      <c r="B356" s="2" t="s">
        <v>444</v>
      </c>
      <c r="C356" s="2" t="s">
        <v>2151</v>
      </c>
      <c r="D356" s="2" t="s">
        <v>446</v>
      </c>
      <c r="E356" s="4" t="n">
        <v>0</v>
      </c>
      <c r="F356" s="4" t="n">
        <v>0</v>
      </c>
      <c r="G356" s="4" t="n">
        <v>0</v>
      </c>
      <c r="H356" s="2" t="s">
        <v>1385</v>
      </c>
    </row>
    <row r="357" customFormat="false" ht="15" hidden="false" customHeight="false" outlineLevel="0" collapsed="false">
      <c r="A357" s="2" t="s">
        <v>14</v>
      </c>
      <c r="B357" s="2" t="s">
        <v>436</v>
      </c>
      <c r="C357" s="2" t="s">
        <v>2152</v>
      </c>
      <c r="D357" s="2" t="s">
        <v>438</v>
      </c>
      <c r="E357" s="4" t="n">
        <v>0</v>
      </c>
      <c r="F357" s="4" t="n">
        <v>0</v>
      </c>
      <c r="G357" s="4" t="n">
        <v>0</v>
      </c>
      <c r="H357" s="2" t="s">
        <v>1385</v>
      </c>
    </row>
    <row r="358" customFormat="false" ht="15" hidden="false" customHeight="false" outlineLevel="0" collapsed="false">
      <c r="A358" s="2" t="s">
        <v>14</v>
      </c>
      <c r="B358" s="2" t="s">
        <v>429</v>
      </c>
      <c r="C358" s="2" t="s">
        <v>2153</v>
      </c>
      <c r="D358" s="2" t="s">
        <v>431</v>
      </c>
      <c r="E358" s="4" t="n">
        <v>0</v>
      </c>
      <c r="F358" s="4" t="n">
        <v>0</v>
      </c>
      <c r="G358" s="4" t="n">
        <v>0</v>
      </c>
      <c r="H358" s="2" t="s">
        <v>1385</v>
      </c>
    </row>
    <row r="359" customFormat="false" ht="15" hidden="false" customHeight="false" outlineLevel="0" collapsed="false">
      <c r="A359" s="2" t="s">
        <v>14</v>
      </c>
      <c r="B359" s="2" t="s">
        <v>2154</v>
      </c>
      <c r="C359" s="2" t="s">
        <v>2155</v>
      </c>
      <c r="D359" s="2" t="s">
        <v>2156</v>
      </c>
      <c r="E359" s="4" t="n">
        <v>0</v>
      </c>
      <c r="F359" s="4" t="n">
        <v>0</v>
      </c>
      <c r="G359" s="4" t="n">
        <v>0</v>
      </c>
      <c r="H359" s="2" t="s">
        <v>1385</v>
      </c>
    </row>
    <row r="360" customFormat="false" ht="15" hidden="false" customHeight="false" outlineLevel="0" collapsed="false">
      <c r="A360" s="2" t="s">
        <v>14</v>
      </c>
      <c r="B360" s="2" t="s">
        <v>2157</v>
      </c>
      <c r="C360" s="2" t="s">
        <v>2158</v>
      </c>
      <c r="D360" s="2" t="s">
        <v>2159</v>
      </c>
      <c r="E360" s="4" t="n">
        <v>0</v>
      </c>
      <c r="F360" s="4" t="n">
        <v>0</v>
      </c>
      <c r="G360" s="4" t="n">
        <v>0</v>
      </c>
      <c r="H360" s="2" t="s">
        <v>1385</v>
      </c>
    </row>
    <row r="361" customFormat="false" ht="15" hidden="false" customHeight="false" outlineLevel="0" collapsed="false">
      <c r="A361" s="2" t="s">
        <v>14</v>
      </c>
      <c r="B361" s="2" t="s">
        <v>2160</v>
      </c>
      <c r="C361" s="2" t="s">
        <v>2161</v>
      </c>
      <c r="D361" s="2" t="s">
        <v>2162</v>
      </c>
      <c r="E361" s="4" t="n">
        <v>0</v>
      </c>
      <c r="F361" s="4" t="n">
        <v>0</v>
      </c>
      <c r="G361" s="4" t="n">
        <v>0</v>
      </c>
      <c r="H361" s="2" t="s">
        <v>1385</v>
      </c>
    </row>
    <row r="362" customFormat="false" ht="15" hidden="false" customHeight="false" outlineLevel="0" collapsed="false">
      <c r="A362" s="2" t="s">
        <v>14</v>
      </c>
      <c r="B362" s="2" t="s">
        <v>2163</v>
      </c>
      <c r="C362" s="2" t="s">
        <v>2164</v>
      </c>
      <c r="D362" s="2" t="s">
        <v>2165</v>
      </c>
      <c r="E362" s="4" t="n">
        <v>0</v>
      </c>
      <c r="F362" s="4" t="n">
        <v>0</v>
      </c>
      <c r="G362" s="4" t="n">
        <v>0</v>
      </c>
      <c r="H362" s="2" t="s">
        <v>1385</v>
      </c>
    </row>
    <row r="363" customFormat="false" ht="15" hidden="false" customHeight="false" outlineLevel="0" collapsed="false">
      <c r="A363" s="2" t="s">
        <v>14</v>
      </c>
      <c r="B363" s="2" t="s">
        <v>2166</v>
      </c>
      <c r="C363" s="2" t="s">
        <v>2167</v>
      </c>
      <c r="D363" s="2" t="s">
        <v>2168</v>
      </c>
      <c r="E363" s="4" t="n">
        <v>0</v>
      </c>
      <c r="F363" s="4" t="n">
        <v>0</v>
      </c>
      <c r="G363" s="4" t="n">
        <v>0</v>
      </c>
      <c r="H363" s="2" t="s">
        <v>1385</v>
      </c>
    </row>
    <row r="364" customFormat="false" ht="15" hidden="false" customHeight="false" outlineLevel="0" collapsed="false">
      <c r="A364" s="2" t="s">
        <v>14</v>
      </c>
      <c r="B364" s="2" t="s">
        <v>697</v>
      </c>
      <c r="C364" s="2" t="s">
        <v>2169</v>
      </c>
      <c r="D364" s="2" t="s">
        <v>699</v>
      </c>
      <c r="E364" s="4" t="n">
        <v>0</v>
      </c>
      <c r="F364" s="4" t="n">
        <v>0</v>
      </c>
      <c r="G364" s="4" t="n">
        <v>0</v>
      </c>
      <c r="H364" s="2" t="s">
        <v>1385</v>
      </c>
    </row>
    <row r="365" customFormat="false" ht="15" hidden="false" customHeight="false" outlineLevel="0" collapsed="false">
      <c r="A365" s="2" t="s">
        <v>14</v>
      </c>
      <c r="B365" s="2" t="s">
        <v>2170</v>
      </c>
      <c r="C365" s="2" t="s">
        <v>2171</v>
      </c>
      <c r="D365" s="2" t="s">
        <v>2172</v>
      </c>
      <c r="E365" s="4" t="n">
        <v>0</v>
      </c>
      <c r="F365" s="4" t="n">
        <v>0</v>
      </c>
      <c r="G365" s="4" t="n">
        <v>0</v>
      </c>
      <c r="H365" s="2" t="s">
        <v>1385</v>
      </c>
    </row>
    <row r="366" customFormat="false" ht="15" hidden="false" customHeight="false" outlineLevel="0" collapsed="false">
      <c r="A366" s="2" t="s">
        <v>14</v>
      </c>
      <c r="B366" s="2" t="s">
        <v>2173</v>
      </c>
      <c r="C366" s="2" t="s">
        <v>2174</v>
      </c>
      <c r="D366" s="2" t="s">
        <v>2175</v>
      </c>
      <c r="E366" s="4" t="n">
        <v>0</v>
      </c>
      <c r="F366" s="4" t="n">
        <v>0</v>
      </c>
      <c r="G366" s="4" t="n">
        <v>0</v>
      </c>
      <c r="H366" s="2" t="s">
        <v>1385</v>
      </c>
    </row>
    <row r="367" customFormat="false" ht="15" hidden="false" customHeight="false" outlineLevel="0" collapsed="false">
      <c r="A367" s="2" t="s">
        <v>14</v>
      </c>
      <c r="B367" s="2" t="s">
        <v>2176</v>
      </c>
      <c r="C367" s="2" t="s">
        <v>2177</v>
      </c>
      <c r="D367" s="2" t="s">
        <v>2178</v>
      </c>
      <c r="E367" s="4" t="n">
        <v>0</v>
      </c>
      <c r="F367" s="4" t="n">
        <v>0</v>
      </c>
      <c r="G367" s="4" t="n">
        <v>0</v>
      </c>
      <c r="H367" s="2" t="s">
        <v>1385</v>
      </c>
    </row>
    <row r="368" customFormat="false" ht="15" hidden="false" customHeight="false" outlineLevel="0" collapsed="false">
      <c r="A368" s="2" t="s">
        <v>14</v>
      </c>
      <c r="B368" s="2" t="s">
        <v>2179</v>
      </c>
      <c r="C368" s="2" t="s">
        <v>2180</v>
      </c>
      <c r="D368" s="2" t="s">
        <v>2181</v>
      </c>
      <c r="E368" s="4" t="n">
        <v>0</v>
      </c>
      <c r="F368" s="4" t="n">
        <v>0</v>
      </c>
      <c r="G368" s="4" t="n">
        <v>0</v>
      </c>
      <c r="H368" s="2" t="s">
        <v>1385</v>
      </c>
    </row>
    <row r="369" customFormat="false" ht="15" hidden="false" customHeight="false" outlineLevel="0" collapsed="false">
      <c r="A369" s="2" t="s">
        <v>14</v>
      </c>
      <c r="B369" s="2" t="s">
        <v>2182</v>
      </c>
      <c r="C369" s="2" t="s">
        <v>2183</v>
      </c>
      <c r="D369" s="2" t="s">
        <v>2184</v>
      </c>
      <c r="E369" s="4" t="n">
        <v>0</v>
      </c>
      <c r="F369" s="4" t="n">
        <v>0</v>
      </c>
      <c r="G369" s="4" t="n">
        <v>0</v>
      </c>
      <c r="H369" s="2" t="s">
        <v>1385</v>
      </c>
    </row>
    <row r="370" customFormat="false" ht="15" hidden="false" customHeight="false" outlineLevel="0" collapsed="false">
      <c r="A370" s="2" t="s">
        <v>14</v>
      </c>
      <c r="B370" s="2" t="s">
        <v>2185</v>
      </c>
      <c r="C370" s="2" t="s">
        <v>2186</v>
      </c>
      <c r="D370" s="2" t="s">
        <v>2187</v>
      </c>
      <c r="E370" s="4" t="n">
        <v>0</v>
      </c>
      <c r="F370" s="4" t="n">
        <v>0</v>
      </c>
      <c r="G370" s="4" t="n">
        <v>0</v>
      </c>
      <c r="H370" s="2" t="s">
        <v>1385</v>
      </c>
    </row>
    <row r="371" customFormat="false" ht="15" hidden="false" customHeight="false" outlineLevel="0" collapsed="false">
      <c r="A371" s="2" t="s">
        <v>14</v>
      </c>
      <c r="B371" s="2" t="s">
        <v>2188</v>
      </c>
      <c r="C371" s="2" t="s">
        <v>2189</v>
      </c>
      <c r="D371" s="2" t="s">
        <v>2190</v>
      </c>
      <c r="E371" s="4" t="n">
        <v>0</v>
      </c>
      <c r="F371" s="4" t="n">
        <v>0</v>
      </c>
      <c r="G371" s="4" t="n">
        <v>0</v>
      </c>
      <c r="H371" s="2" t="s">
        <v>1385</v>
      </c>
    </row>
    <row r="372" customFormat="false" ht="15" hidden="false" customHeight="false" outlineLevel="0" collapsed="false">
      <c r="A372" s="2" t="s">
        <v>14</v>
      </c>
      <c r="B372" s="2" t="s">
        <v>2191</v>
      </c>
      <c r="C372" s="2" t="s">
        <v>2192</v>
      </c>
      <c r="D372" s="2" t="s">
        <v>2193</v>
      </c>
      <c r="E372" s="4" t="n">
        <v>0</v>
      </c>
      <c r="F372" s="4" t="n">
        <v>0</v>
      </c>
      <c r="G372" s="4" t="n">
        <v>0</v>
      </c>
      <c r="H372" s="2" t="s">
        <v>1385</v>
      </c>
    </row>
    <row r="373" customFormat="false" ht="15" hidden="false" customHeight="false" outlineLevel="0" collapsed="false">
      <c r="A373" s="2" t="s">
        <v>14</v>
      </c>
      <c r="B373" s="2" t="s">
        <v>109</v>
      </c>
      <c r="C373" s="2" t="s">
        <v>2194</v>
      </c>
      <c r="D373" s="2" t="s">
        <v>111</v>
      </c>
      <c r="E373" s="4" t="n">
        <v>0</v>
      </c>
      <c r="F373" s="4" t="n">
        <v>0</v>
      </c>
      <c r="G373" s="4" t="n">
        <v>0</v>
      </c>
      <c r="H373" s="2" t="s">
        <v>1385</v>
      </c>
    </row>
    <row r="374" customFormat="false" ht="15" hidden="false" customHeight="false" outlineLevel="0" collapsed="false">
      <c r="A374" s="2" t="s">
        <v>14</v>
      </c>
      <c r="B374" s="2" t="s">
        <v>2195</v>
      </c>
      <c r="C374" s="2" t="s">
        <v>2196</v>
      </c>
      <c r="D374" s="2" t="s">
        <v>2197</v>
      </c>
      <c r="E374" s="4" t="n">
        <v>0</v>
      </c>
      <c r="F374" s="4" t="n">
        <v>0</v>
      </c>
      <c r="G374" s="4" t="n">
        <v>0</v>
      </c>
      <c r="H374" s="2" t="s">
        <v>1385</v>
      </c>
    </row>
    <row r="375" customFormat="false" ht="15" hidden="false" customHeight="false" outlineLevel="0" collapsed="false">
      <c r="A375" s="2" t="s">
        <v>14</v>
      </c>
      <c r="B375" s="2" t="s">
        <v>2198</v>
      </c>
      <c r="C375" s="2" t="s">
        <v>2199</v>
      </c>
      <c r="D375" s="2" t="s">
        <v>2200</v>
      </c>
      <c r="E375" s="4" t="n">
        <v>0</v>
      </c>
      <c r="F375" s="4" t="n">
        <v>0</v>
      </c>
      <c r="G375" s="4" t="n">
        <v>0</v>
      </c>
      <c r="H375" s="2" t="s">
        <v>1385</v>
      </c>
    </row>
    <row r="376" customFormat="false" ht="15" hidden="false" customHeight="false" outlineLevel="0" collapsed="false">
      <c r="A376" s="2" t="s">
        <v>14</v>
      </c>
      <c r="B376" s="2" t="s">
        <v>546</v>
      </c>
      <c r="C376" s="2" t="s">
        <v>2201</v>
      </c>
      <c r="D376" s="2" t="s">
        <v>548</v>
      </c>
      <c r="E376" s="4" t="n">
        <v>0</v>
      </c>
      <c r="F376" s="4" t="n">
        <v>0</v>
      </c>
      <c r="G376" s="4" t="n">
        <v>0</v>
      </c>
      <c r="H376" s="2" t="s">
        <v>1385</v>
      </c>
    </row>
    <row r="377" customFormat="false" ht="15" hidden="false" customHeight="false" outlineLevel="0" collapsed="false">
      <c r="A377" s="2" t="s">
        <v>14</v>
      </c>
      <c r="B377" s="2" t="s">
        <v>526</v>
      </c>
      <c r="C377" s="2" t="s">
        <v>2202</v>
      </c>
      <c r="D377" s="2" t="s">
        <v>528</v>
      </c>
      <c r="E377" s="4" t="n">
        <v>0</v>
      </c>
      <c r="F377" s="4" t="n">
        <v>0</v>
      </c>
      <c r="G377" s="4" t="n">
        <v>0</v>
      </c>
      <c r="H377" s="2" t="s">
        <v>1385</v>
      </c>
    </row>
    <row r="378" customFormat="false" ht="15" hidden="false" customHeight="false" outlineLevel="0" collapsed="false">
      <c r="A378" s="2" t="s">
        <v>14</v>
      </c>
      <c r="B378" s="2" t="s">
        <v>2203</v>
      </c>
      <c r="C378" s="2" t="s">
        <v>2204</v>
      </c>
      <c r="D378" s="2" t="s">
        <v>2205</v>
      </c>
      <c r="E378" s="4" t="n">
        <v>0</v>
      </c>
      <c r="F378" s="4" t="n">
        <v>0</v>
      </c>
      <c r="G378" s="4" t="n">
        <v>0</v>
      </c>
      <c r="H378" s="2" t="s">
        <v>1385</v>
      </c>
    </row>
    <row r="379" customFormat="false" ht="15" hidden="false" customHeight="false" outlineLevel="0" collapsed="false">
      <c r="A379" s="2" t="s">
        <v>14</v>
      </c>
      <c r="B379" s="2" t="s">
        <v>564</v>
      </c>
      <c r="C379" s="2" t="s">
        <v>2206</v>
      </c>
      <c r="D379" s="2" t="s">
        <v>566</v>
      </c>
      <c r="E379" s="4" t="n">
        <v>0</v>
      </c>
      <c r="F379" s="4" t="n">
        <v>0</v>
      </c>
      <c r="G379" s="4" t="n">
        <v>0</v>
      </c>
      <c r="H379" s="2" t="s">
        <v>1385</v>
      </c>
    </row>
    <row r="380" customFormat="false" ht="15" hidden="false" customHeight="false" outlineLevel="0" collapsed="false">
      <c r="A380" s="2" t="s">
        <v>14</v>
      </c>
      <c r="B380" s="2" t="s">
        <v>571</v>
      </c>
      <c r="C380" s="2" t="s">
        <v>2207</v>
      </c>
      <c r="D380" s="2" t="s">
        <v>573</v>
      </c>
      <c r="E380" s="4" t="n">
        <v>0</v>
      </c>
      <c r="F380" s="4" t="n">
        <v>0</v>
      </c>
      <c r="G380" s="4" t="n">
        <v>0</v>
      </c>
      <c r="H380" s="2" t="s">
        <v>1385</v>
      </c>
    </row>
    <row r="381" customFormat="false" ht="15" hidden="false" customHeight="false" outlineLevel="0" collapsed="false">
      <c r="A381" s="2" t="s">
        <v>14</v>
      </c>
      <c r="B381" s="2" t="s">
        <v>2208</v>
      </c>
      <c r="C381" s="2" t="s">
        <v>2209</v>
      </c>
      <c r="D381" s="2" t="s">
        <v>2210</v>
      </c>
      <c r="E381" s="4" t="n">
        <v>0</v>
      </c>
      <c r="F381" s="4" t="n">
        <v>0</v>
      </c>
      <c r="G381" s="4" t="n">
        <v>0</v>
      </c>
      <c r="H381" s="2" t="s">
        <v>1385</v>
      </c>
    </row>
    <row r="382" customFormat="false" ht="15" hidden="false" customHeight="false" outlineLevel="0" collapsed="false">
      <c r="A382" s="2" t="s">
        <v>14</v>
      </c>
      <c r="B382" s="2" t="s">
        <v>130</v>
      </c>
      <c r="C382" s="2" t="s">
        <v>2211</v>
      </c>
      <c r="D382" s="2" t="s">
        <v>132</v>
      </c>
      <c r="E382" s="4" t="n">
        <v>0</v>
      </c>
      <c r="F382" s="4" t="n">
        <v>0</v>
      </c>
      <c r="G382" s="4" t="n">
        <v>0</v>
      </c>
      <c r="H382" s="2" t="s">
        <v>1385</v>
      </c>
    </row>
    <row r="383" customFormat="false" ht="15" hidden="false" customHeight="false" outlineLevel="0" collapsed="false">
      <c r="A383" s="2" t="s">
        <v>14</v>
      </c>
      <c r="B383" s="2" t="s">
        <v>2212</v>
      </c>
      <c r="C383" s="2" t="s">
        <v>2213</v>
      </c>
      <c r="D383" s="2" t="s">
        <v>2214</v>
      </c>
      <c r="E383" s="4" t="n">
        <v>0</v>
      </c>
      <c r="F383" s="4" t="n">
        <v>0</v>
      </c>
      <c r="G383" s="4" t="n">
        <v>0</v>
      </c>
      <c r="H383" s="2" t="s">
        <v>1385</v>
      </c>
    </row>
    <row r="384" customFormat="false" ht="15" hidden="false" customHeight="false" outlineLevel="0" collapsed="false">
      <c r="A384" s="2" t="s">
        <v>14</v>
      </c>
      <c r="B384" s="2" t="s">
        <v>591</v>
      </c>
      <c r="C384" s="2" t="s">
        <v>2215</v>
      </c>
      <c r="D384" s="2" t="s">
        <v>593</v>
      </c>
      <c r="E384" s="4" t="n">
        <v>0</v>
      </c>
      <c r="F384" s="4" t="n">
        <v>0</v>
      </c>
      <c r="G384" s="4" t="n">
        <v>0</v>
      </c>
      <c r="H384" s="2" t="s">
        <v>1385</v>
      </c>
    </row>
    <row r="385" customFormat="false" ht="15" hidden="false" customHeight="false" outlineLevel="0" collapsed="false">
      <c r="A385" s="2" t="s">
        <v>14</v>
      </c>
      <c r="B385" s="2" t="s">
        <v>2216</v>
      </c>
      <c r="C385" s="2" t="s">
        <v>2217</v>
      </c>
      <c r="D385" s="2" t="s">
        <v>2218</v>
      </c>
      <c r="E385" s="4" t="n">
        <v>0</v>
      </c>
      <c r="F385" s="4" t="n">
        <v>0</v>
      </c>
      <c r="G385" s="4" t="n">
        <v>0</v>
      </c>
      <c r="H385" s="2" t="s">
        <v>1385</v>
      </c>
    </row>
    <row r="386" customFormat="false" ht="15" hidden="false" customHeight="false" outlineLevel="0" collapsed="false">
      <c r="A386" s="2" t="s">
        <v>14</v>
      </c>
      <c r="B386" s="2" t="s">
        <v>2219</v>
      </c>
      <c r="C386" s="2" t="s">
        <v>2220</v>
      </c>
      <c r="D386" s="2" t="s">
        <v>2221</v>
      </c>
      <c r="E386" s="4" t="n">
        <v>0</v>
      </c>
      <c r="F386" s="4" t="n">
        <v>0</v>
      </c>
      <c r="G386" s="4" t="n">
        <v>0</v>
      </c>
      <c r="H386" s="2" t="s">
        <v>1385</v>
      </c>
    </row>
    <row r="387" customFormat="false" ht="15" hidden="false" customHeight="false" outlineLevel="0" collapsed="false">
      <c r="A387" s="2" t="s">
        <v>14</v>
      </c>
      <c r="B387" s="2" t="s">
        <v>1748</v>
      </c>
      <c r="C387" s="2" t="s">
        <v>2222</v>
      </c>
      <c r="D387" s="2" t="s">
        <v>1750</v>
      </c>
      <c r="E387" s="4" t="n">
        <v>181.23</v>
      </c>
      <c r="F387" s="4" t="n">
        <v>16.48</v>
      </c>
      <c r="G387" s="4" t="n">
        <v>164.75</v>
      </c>
      <c r="H387" s="2" t="s">
        <v>1385</v>
      </c>
    </row>
    <row r="388" customFormat="false" ht="15" hidden="false" customHeight="false" outlineLevel="0" collapsed="false">
      <c r="A388" s="2" t="s">
        <v>14</v>
      </c>
      <c r="B388" s="2" t="s">
        <v>1628</v>
      </c>
      <c r="C388" s="2" t="s">
        <v>2223</v>
      </c>
      <c r="D388" s="2" t="s">
        <v>1630</v>
      </c>
      <c r="E388" s="4" t="n">
        <v>120.61</v>
      </c>
      <c r="F388" s="4" t="n">
        <v>10.97</v>
      </c>
      <c r="G388" s="4" t="n">
        <v>109.64</v>
      </c>
      <c r="H388" s="2" t="s">
        <v>1385</v>
      </c>
    </row>
    <row r="389" customFormat="false" ht="15" hidden="false" customHeight="false" outlineLevel="0" collapsed="false">
      <c r="A389" s="2" t="s">
        <v>14</v>
      </c>
      <c r="B389" s="2" t="s">
        <v>938</v>
      </c>
      <c r="C389" s="2" t="s">
        <v>1106</v>
      </c>
      <c r="D389" s="2" t="s">
        <v>940</v>
      </c>
      <c r="E389" s="4" t="n">
        <v>57.13</v>
      </c>
      <c r="F389" s="4" t="n">
        <v>5.2</v>
      </c>
      <c r="G389" s="4" t="n">
        <v>51.93</v>
      </c>
      <c r="H389" s="2" t="s">
        <v>1381</v>
      </c>
    </row>
    <row r="390" customFormat="false" ht="15" hidden="false" customHeight="false" outlineLevel="0" collapsed="false">
      <c r="A390" s="2" t="s">
        <v>14</v>
      </c>
      <c r="B390" s="2" t="s">
        <v>1497</v>
      </c>
      <c r="C390" s="2" t="s">
        <v>2224</v>
      </c>
      <c r="D390" s="2" t="s">
        <v>1499</v>
      </c>
      <c r="E390" s="4" t="n">
        <v>138.63</v>
      </c>
      <c r="F390" s="4" t="n">
        <v>12.6</v>
      </c>
      <c r="G390" s="4" t="n">
        <v>126.03</v>
      </c>
      <c r="H390" s="2" t="s">
        <v>1385</v>
      </c>
    </row>
    <row r="391" customFormat="false" ht="15" hidden="false" customHeight="false" outlineLevel="0" collapsed="false">
      <c r="A391" s="2" t="s">
        <v>14</v>
      </c>
      <c r="B391" s="2" t="s">
        <v>1604</v>
      </c>
      <c r="C391" s="2" t="s">
        <v>2225</v>
      </c>
      <c r="D391" s="2" t="s">
        <v>1606</v>
      </c>
      <c r="E391" s="4" t="n">
        <v>1344.72</v>
      </c>
      <c r="F391" s="4" t="n">
        <v>122.25</v>
      </c>
      <c r="G391" s="4" t="n">
        <v>1222.47</v>
      </c>
      <c r="H391" s="2" t="s">
        <v>1385</v>
      </c>
    </row>
    <row r="392" customFormat="false" ht="15" hidden="false" customHeight="false" outlineLevel="0" collapsed="false">
      <c r="A392" s="2" t="s">
        <v>14</v>
      </c>
      <c r="B392" s="2" t="s">
        <v>945</v>
      </c>
      <c r="C392" s="2" t="s">
        <v>1090</v>
      </c>
      <c r="D392" s="2" t="s">
        <v>947</v>
      </c>
      <c r="E392" s="4" t="n">
        <v>37.12</v>
      </c>
      <c r="F392" s="4" t="n">
        <v>3.38</v>
      </c>
      <c r="G392" s="4" t="n">
        <v>33.74</v>
      </c>
      <c r="H392" s="2" t="s">
        <v>1381</v>
      </c>
    </row>
    <row r="393" customFormat="false" ht="15" hidden="false" customHeight="false" outlineLevel="0" collapsed="false">
      <c r="A393" s="2" t="s">
        <v>14</v>
      </c>
      <c r="B393" s="2" t="s">
        <v>1862</v>
      </c>
      <c r="C393" s="2" t="s">
        <v>2226</v>
      </c>
      <c r="D393" s="2" t="s">
        <v>1864</v>
      </c>
      <c r="E393" s="4" t="n">
        <v>2561.19</v>
      </c>
      <c r="F393" s="4" t="n">
        <v>232.84</v>
      </c>
      <c r="G393" s="4" t="n">
        <v>2328.35</v>
      </c>
      <c r="H393" s="2" t="s">
        <v>1385</v>
      </c>
    </row>
    <row r="394" customFormat="false" ht="15" hidden="false" customHeight="false" outlineLevel="0" collapsed="false">
      <c r="A394" s="2" t="s">
        <v>14</v>
      </c>
      <c r="B394" s="2" t="s">
        <v>1868</v>
      </c>
      <c r="C394" s="2" t="s">
        <v>2227</v>
      </c>
      <c r="D394" s="2" t="s">
        <v>1870</v>
      </c>
      <c r="E394" s="4" t="n">
        <v>340.46</v>
      </c>
      <c r="F394" s="4" t="n">
        <v>30.96</v>
      </c>
      <c r="G394" s="4" t="n">
        <v>309.5</v>
      </c>
      <c r="H394" s="2" t="s">
        <v>1385</v>
      </c>
    </row>
    <row r="395" customFormat="false" ht="15" hidden="false" customHeight="false" outlineLevel="0" collapsed="false">
      <c r="A395" s="2" t="s">
        <v>14</v>
      </c>
      <c r="B395" s="2" t="s">
        <v>1673</v>
      </c>
      <c r="C395" s="2" t="s">
        <v>2228</v>
      </c>
      <c r="D395" s="2" t="s">
        <v>1675</v>
      </c>
      <c r="E395" s="4" t="n">
        <v>328</v>
      </c>
      <c r="F395" s="4" t="n">
        <v>29.82</v>
      </c>
      <c r="G395" s="4" t="n">
        <v>298.18</v>
      </c>
      <c r="H395" s="2" t="s">
        <v>1385</v>
      </c>
    </row>
    <row r="396" customFormat="false" ht="15" hidden="false" customHeight="false" outlineLevel="0" collapsed="false">
      <c r="A396" s="2" t="s">
        <v>14</v>
      </c>
      <c r="B396" s="2" t="s">
        <v>1703</v>
      </c>
      <c r="C396" s="2" t="s">
        <v>2229</v>
      </c>
      <c r="D396" s="2" t="s">
        <v>1705</v>
      </c>
      <c r="E396" s="4" t="n">
        <v>97.48</v>
      </c>
      <c r="F396" s="4" t="n">
        <v>8.87</v>
      </c>
      <c r="G396" s="4" t="n">
        <v>88.61</v>
      </c>
      <c r="H396" s="2" t="s">
        <v>1385</v>
      </c>
    </row>
    <row r="397" customFormat="false" ht="15" hidden="false" customHeight="false" outlineLevel="0" collapsed="false">
      <c r="A397" s="2" t="s">
        <v>14</v>
      </c>
      <c r="B397" s="2" t="s">
        <v>1871</v>
      </c>
      <c r="C397" s="2" t="s">
        <v>2230</v>
      </c>
      <c r="D397" s="2" t="s">
        <v>1873</v>
      </c>
      <c r="E397" s="4" t="n">
        <v>95.13</v>
      </c>
      <c r="F397" s="4" t="n">
        <v>8.65</v>
      </c>
      <c r="G397" s="4" t="n">
        <v>86.48</v>
      </c>
      <c r="H397" s="2" t="s">
        <v>1385</v>
      </c>
    </row>
    <row r="398" customFormat="false" ht="15" hidden="false" customHeight="false" outlineLevel="0" collapsed="false">
      <c r="A398" s="2" t="s">
        <v>14</v>
      </c>
      <c r="B398" s="2" t="s">
        <v>1607</v>
      </c>
      <c r="C398" s="2" t="s">
        <v>2231</v>
      </c>
      <c r="D398" s="2" t="s">
        <v>1609</v>
      </c>
      <c r="E398" s="4" t="n">
        <v>55.04</v>
      </c>
      <c r="F398" s="4" t="n">
        <v>5.01</v>
      </c>
      <c r="G398" s="4" t="n">
        <v>50.03</v>
      </c>
      <c r="H398" s="2" t="s">
        <v>1385</v>
      </c>
    </row>
    <row r="399" customFormat="false" ht="15" hidden="false" customHeight="false" outlineLevel="0" collapsed="false">
      <c r="A399" s="2" t="s">
        <v>14</v>
      </c>
      <c r="B399" s="2" t="s">
        <v>1598</v>
      </c>
      <c r="C399" s="2" t="s">
        <v>2232</v>
      </c>
      <c r="D399" s="2" t="s">
        <v>1600</v>
      </c>
      <c r="E399" s="4" t="n">
        <v>66.07</v>
      </c>
      <c r="F399" s="4" t="n">
        <v>6.01</v>
      </c>
      <c r="G399" s="4" t="n">
        <v>60.06</v>
      </c>
      <c r="H399" s="2" t="s">
        <v>1385</v>
      </c>
    </row>
    <row r="400" customFormat="false" ht="15" hidden="false" customHeight="false" outlineLevel="0" collapsed="false">
      <c r="A400" s="2" t="s">
        <v>14</v>
      </c>
      <c r="B400" s="2" t="s">
        <v>1571</v>
      </c>
      <c r="C400" s="2" t="s">
        <v>2233</v>
      </c>
      <c r="D400" s="2" t="s">
        <v>1573</v>
      </c>
      <c r="E400" s="4" t="n">
        <v>174.8</v>
      </c>
      <c r="F400" s="4" t="n">
        <v>15.9</v>
      </c>
      <c r="G400" s="4" t="n">
        <v>158.9</v>
      </c>
      <c r="H400" s="2" t="s">
        <v>1385</v>
      </c>
    </row>
    <row r="401" customFormat="false" ht="15" hidden="false" customHeight="false" outlineLevel="0" collapsed="false">
      <c r="A401" s="2" t="s">
        <v>14</v>
      </c>
      <c r="B401" s="2" t="s">
        <v>1658</v>
      </c>
      <c r="C401" s="2" t="s">
        <v>2234</v>
      </c>
      <c r="D401" s="2" t="s">
        <v>1660</v>
      </c>
      <c r="E401" s="4" t="n">
        <v>88.69</v>
      </c>
      <c r="F401" s="4" t="n">
        <v>8.07</v>
      </c>
      <c r="G401" s="4" t="n">
        <v>80.62</v>
      </c>
      <c r="H401" s="2" t="s">
        <v>1385</v>
      </c>
    </row>
    <row r="402" customFormat="false" ht="15" hidden="false" customHeight="false" outlineLevel="0" collapsed="false">
      <c r="A402" s="2" t="s">
        <v>14</v>
      </c>
      <c r="B402" s="2" t="s">
        <v>1790</v>
      </c>
      <c r="C402" s="2" t="s">
        <v>2235</v>
      </c>
      <c r="D402" s="2" t="s">
        <v>1792</v>
      </c>
      <c r="E402" s="4" t="n">
        <v>70.88</v>
      </c>
      <c r="F402" s="4" t="n">
        <v>6.45</v>
      </c>
      <c r="G402" s="4" t="n">
        <v>64.43</v>
      </c>
      <c r="H402" s="2" t="s">
        <v>1385</v>
      </c>
    </row>
    <row r="403" customFormat="false" ht="15" hidden="false" customHeight="false" outlineLevel="0" collapsed="false">
      <c r="A403" s="2" t="s">
        <v>14</v>
      </c>
      <c r="B403" s="2" t="s">
        <v>1787</v>
      </c>
      <c r="C403" s="2" t="s">
        <v>2236</v>
      </c>
      <c r="D403" s="2" t="s">
        <v>1789</v>
      </c>
      <c r="E403" s="4" t="n">
        <v>81.76</v>
      </c>
      <c r="F403" s="4" t="n">
        <v>7.44</v>
      </c>
      <c r="G403" s="4" t="n">
        <v>74.32</v>
      </c>
      <c r="H403" s="2" t="s">
        <v>1385</v>
      </c>
    </row>
    <row r="404" customFormat="false" ht="15" hidden="false" customHeight="false" outlineLevel="0" collapsed="false">
      <c r="A404" s="2" t="s">
        <v>14</v>
      </c>
      <c r="B404" s="2" t="s">
        <v>999</v>
      </c>
      <c r="C404" s="2" t="s">
        <v>1110</v>
      </c>
      <c r="D404" s="2" t="s">
        <v>1001</v>
      </c>
      <c r="E404" s="4" t="n">
        <v>35.98</v>
      </c>
      <c r="F404" s="4" t="n">
        <v>3.28</v>
      </c>
      <c r="G404" s="4" t="n">
        <v>32.7</v>
      </c>
      <c r="H404" s="2" t="s">
        <v>1381</v>
      </c>
    </row>
    <row r="405" customFormat="false" ht="15" hidden="false" customHeight="false" outlineLevel="0" collapsed="false">
      <c r="A405" s="2" t="s">
        <v>14</v>
      </c>
      <c r="B405" s="2" t="s">
        <v>1005</v>
      </c>
      <c r="C405" s="2" t="s">
        <v>1112</v>
      </c>
      <c r="D405" s="2" t="s">
        <v>1007</v>
      </c>
      <c r="E405" s="4" t="n">
        <v>61.34</v>
      </c>
      <c r="F405" s="4" t="n">
        <v>5.58</v>
      </c>
      <c r="G405" s="4" t="n">
        <v>55.76</v>
      </c>
      <c r="H405" s="2" t="s">
        <v>1381</v>
      </c>
    </row>
    <row r="406" customFormat="false" ht="15" hidden="false" customHeight="false" outlineLevel="0" collapsed="false">
      <c r="A406" s="2" t="s">
        <v>14</v>
      </c>
      <c r="B406" s="2" t="s">
        <v>1012</v>
      </c>
      <c r="C406" s="2" t="s">
        <v>1114</v>
      </c>
      <c r="D406" s="2" t="s">
        <v>1014</v>
      </c>
      <c r="E406" s="4" t="n">
        <v>35.81</v>
      </c>
      <c r="F406" s="4" t="n">
        <v>3.26</v>
      </c>
      <c r="G406" s="4" t="n">
        <v>32.55</v>
      </c>
      <c r="H406" s="2" t="s">
        <v>1381</v>
      </c>
    </row>
    <row r="407" customFormat="false" ht="15" hidden="false" customHeight="false" outlineLevel="0" collapsed="false">
      <c r="A407" s="2" t="s">
        <v>14</v>
      </c>
      <c r="B407" s="2" t="s">
        <v>1841</v>
      </c>
      <c r="C407" s="2" t="s">
        <v>2237</v>
      </c>
      <c r="D407" s="2" t="s">
        <v>1843</v>
      </c>
      <c r="E407" s="4" t="n">
        <v>36.35</v>
      </c>
      <c r="F407" s="4" t="n">
        <v>3.31</v>
      </c>
      <c r="G407" s="4" t="n">
        <v>33.04</v>
      </c>
      <c r="H407" s="2" t="s">
        <v>1385</v>
      </c>
    </row>
    <row r="408" customFormat="false" ht="15" hidden="false" customHeight="false" outlineLevel="0" collapsed="false">
      <c r="A408" s="2" t="s">
        <v>14</v>
      </c>
      <c r="B408" s="2" t="s">
        <v>1823</v>
      </c>
      <c r="C408" s="2" t="s">
        <v>2238</v>
      </c>
      <c r="D408" s="2" t="s">
        <v>1825</v>
      </c>
      <c r="E408" s="4" t="n">
        <v>121.28</v>
      </c>
      <c r="F408" s="4" t="n">
        <v>11.03</v>
      </c>
      <c r="G408" s="4" t="n">
        <v>110.25</v>
      </c>
      <c r="H408" s="2" t="s">
        <v>1385</v>
      </c>
    </row>
    <row r="409" customFormat="false" ht="15" hidden="false" customHeight="false" outlineLevel="0" collapsed="false">
      <c r="A409" s="2" t="s">
        <v>14</v>
      </c>
      <c r="B409" s="2" t="s">
        <v>822</v>
      </c>
      <c r="C409" s="2" t="s">
        <v>823</v>
      </c>
      <c r="D409" s="2" t="s">
        <v>824</v>
      </c>
      <c r="E409" s="4" t="n">
        <v>89.42</v>
      </c>
      <c r="F409" s="4" t="n">
        <v>8.13</v>
      </c>
      <c r="G409" s="4" t="n">
        <v>81.29</v>
      </c>
      <c r="H409" s="2" t="s">
        <v>1381</v>
      </c>
    </row>
    <row r="410" customFormat="false" ht="15" hidden="false" customHeight="false" outlineLevel="0" collapsed="false">
      <c r="A410" s="2" t="s">
        <v>14</v>
      </c>
      <c r="B410" s="2" t="s">
        <v>1616</v>
      </c>
      <c r="C410" s="2" t="s">
        <v>2239</v>
      </c>
      <c r="D410" s="2" t="s">
        <v>1618</v>
      </c>
      <c r="E410" s="4" t="n">
        <v>224.5</v>
      </c>
      <c r="F410" s="4" t="n">
        <v>20.41</v>
      </c>
      <c r="G410" s="4" t="n">
        <v>204.09</v>
      </c>
      <c r="H410" s="2" t="s">
        <v>1385</v>
      </c>
    </row>
    <row r="411" customFormat="false" ht="15" hidden="false" customHeight="false" outlineLevel="0" collapsed="false">
      <c r="A411" s="2" t="s">
        <v>14</v>
      </c>
      <c r="B411" s="2" t="s">
        <v>1712</v>
      </c>
      <c r="C411" s="2" t="s">
        <v>2240</v>
      </c>
      <c r="D411" s="2" t="s">
        <v>1714</v>
      </c>
      <c r="E411" s="4" t="n">
        <v>1400.71</v>
      </c>
      <c r="F411" s="4" t="n">
        <v>127.34</v>
      </c>
      <c r="G411" s="4" t="n">
        <v>1273.37</v>
      </c>
      <c r="H411" s="2" t="s">
        <v>1385</v>
      </c>
    </row>
    <row r="412" customFormat="false" ht="15" hidden="false" customHeight="false" outlineLevel="0" collapsed="false">
      <c r="A412" s="2" t="s">
        <v>14</v>
      </c>
      <c r="B412" s="2" t="s">
        <v>1688</v>
      </c>
      <c r="C412" s="2" t="s">
        <v>2241</v>
      </c>
      <c r="D412" s="2" t="s">
        <v>1690</v>
      </c>
      <c r="E412" s="4" t="n">
        <v>360.01</v>
      </c>
      <c r="F412" s="4" t="n">
        <v>32.73</v>
      </c>
      <c r="G412" s="4" t="n">
        <v>327.28</v>
      </c>
      <c r="H412" s="2" t="s">
        <v>1385</v>
      </c>
    </row>
    <row r="413" customFormat="false" ht="15" hidden="false" customHeight="false" outlineLevel="0" collapsed="false">
      <c r="A413" s="2" t="s">
        <v>14</v>
      </c>
      <c r="B413" s="2" t="s">
        <v>1772</v>
      </c>
      <c r="C413" s="2" t="s">
        <v>2242</v>
      </c>
      <c r="D413" s="2" t="s">
        <v>1774</v>
      </c>
      <c r="E413" s="4" t="n">
        <v>105.92</v>
      </c>
      <c r="F413" s="4" t="n">
        <v>9.63</v>
      </c>
      <c r="G413" s="4" t="n">
        <v>96.29</v>
      </c>
      <c r="H413" s="2" t="s">
        <v>1385</v>
      </c>
    </row>
    <row r="414" customFormat="false" ht="15" hidden="false" customHeight="false" outlineLevel="0" collapsed="false">
      <c r="A414" s="2" t="s">
        <v>14</v>
      </c>
      <c r="B414" s="2" t="s">
        <v>1619</v>
      </c>
      <c r="C414" s="2" t="s">
        <v>2243</v>
      </c>
      <c r="D414" s="2" t="s">
        <v>1621</v>
      </c>
      <c r="E414" s="4" t="n">
        <v>75.6</v>
      </c>
      <c r="F414" s="4" t="n">
        <v>6.88</v>
      </c>
      <c r="G414" s="4" t="n">
        <v>68.72</v>
      </c>
      <c r="H414" s="2" t="s">
        <v>1385</v>
      </c>
    </row>
    <row r="415" customFormat="false" ht="15" hidden="false" customHeight="false" outlineLevel="0" collapsed="false">
      <c r="A415" s="2" t="s">
        <v>14</v>
      </c>
      <c r="B415" s="2" t="s">
        <v>1544</v>
      </c>
      <c r="C415" s="2" t="s">
        <v>2244</v>
      </c>
      <c r="D415" s="2" t="s">
        <v>1546</v>
      </c>
      <c r="E415" s="4" t="n">
        <v>57.43</v>
      </c>
      <c r="F415" s="4" t="n">
        <v>5.22</v>
      </c>
      <c r="G415" s="4" t="n">
        <v>52.21</v>
      </c>
      <c r="H415" s="2" t="s">
        <v>1385</v>
      </c>
    </row>
    <row r="416" customFormat="false" ht="15" hidden="false" customHeight="false" outlineLevel="0" collapsed="false">
      <c r="A416" s="2" t="s">
        <v>14</v>
      </c>
      <c r="B416" s="2" t="s">
        <v>958</v>
      </c>
      <c r="C416" s="2" t="s">
        <v>1094</v>
      </c>
      <c r="D416" s="2" t="s">
        <v>960</v>
      </c>
      <c r="E416" s="4" t="n">
        <v>45.95</v>
      </c>
      <c r="F416" s="4" t="n">
        <v>4.18</v>
      </c>
      <c r="G416" s="4" t="n">
        <v>41.77</v>
      </c>
      <c r="H416" s="2" t="s">
        <v>1381</v>
      </c>
    </row>
    <row r="417" customFormat="false" ht="15" hidden="false" customHeight="false" outlineLevel="0" collapsed="false">
      <c r="A417" s="2" t="s">
        <v>14</v>
      </c>
      <c r="B417" s="2" t="s">
        <v>1559</v>
      </c>
      <c r="C417" s="2" t="s">
        <v>2245</v>
      </c>
      <c r="D417" s="2" t="s">
        <v>1561</v>
      </c>
      <c r="E417" s="4" t="n">
        <v>53.41</v>
      </c>
      <c r="F417" s="4" t="n">
        <v>4.86</v>
      </c>
      <c r="G417" s="4" t="n">
        <v>48.55</v>
      </c>
      <c r="H417" s="2" t="s">
        <v>1385</v>
      </c>
    </row>
    <row r="418" customFormat="false" ht="15" hidden="false" customHeight="false" outlineLevel="0" collapsed="false">
      <c r="A418" s="2" t="s">
        <v>14</v>
      </c>
      <c r="B418" s="2" t="s">
        <v>1832</v>
      </c>
      <c r="C418" s="2" t="s">
        <v>2246</v>
      </c>
      <c r="D418" s="2" t="s">
        <v>1834</v>
      </c>
      <c r="E418" s="4" t="n">
        <v>412.11</v>
      </c>
      <c r="F418" s="4" t="n">
        <v>37.47</v>
      </c>
      <c r="G418" s="4" t="n">
        <v>374.64</v>
      </c>
      <c r="H418" s="2" t="s">
        <v>1385</v>
      </c>
    </row>
    <row r="419" customFormat="false" ht="15" hidden="false" customHeight="false" outlineLevel="0" collapsed="false">
      <c r="A419" s="2" t="s">
        <v>14</v>
      </c>
      <c r="B419" s="2" t="s">
        <v>1256</v>
      </c>
      <c r="C419" s="2" t="s">
        <v>1298</v>
      </c>
      <c r="D419" s="2" t="s">
        <v>1258</v>
      </c>
      <c r="E419" s="4" t="n">
        <v>27.79</v>
      </c>
      <c r="F419" s="4" t="n">
        <v>2.53</v>
      </c>
      <c r="G419" s="4" t="n">
        <v>25.26</v>
      </c>
      <c r="H419" s="2" t="s">
        <v>1381</v>
      </c>
    </row>
    <row r="420" customFormat="false" ht="15" hidden="false" customHeight="false" outlineLevel="0" collapsed="false">
      <c r="A420" s="2" t="s">
        <v>14</v>
      </c>
      <c r="B420" s="2" t="s">
        <v>1649</v>
      </c>
      <c r="C420" s="2" t="s">
        <v>2247</v>
      </c>
      <c r="D420" s="2" t="s">
        <v>1651</v>
      </c>
      <c r="E420" s="4" t="n">
        <v>30.09</v>
      </c>
      <c r="F420" s="4" t="n">
        <v>2.74</v>
      </c>
      <c r="G420" s="4" t="n">
        <v>27.35</v>
      </c>
      <c r="H420" s="2" t="s">
        <v>1385</v>
      </c>
    </row>
    <row r="421" customFormat="false" ht="15" hidden="false" customHeight="false" outlineLevel="0" collapsed="false">
      <c r="A421" s="2" t="s">
        <v>14</v>
      </c>
      <c r="B421" s="2" t="s">
        <v>1754</v>
      </c>
      <c r="C421" s="2" t="s">
        <v>2248</v>
      </c>
      <c r="D421" s="2" t="s">
        <v>1756</v>
      </c>
      <c r="E421" s="4" t="n">
        <v>101.31</v>
      </c>
      <c r="F421" s="4" t="n">
        <v>9.21</v>
      </c>
      <c r="G421" s="4" t="n">
        <v>92.1</v>
      </c>
      <c r="H421" s="2" t="s">
        <v>1385</v>
      </c>
    </row>
    <row r="422" customFormat="false" ht="15" hidden="false" customHeight="false" outlineLevel="0" collapsed="false">
      <c r="A422" s="2" t="s">
        <v>14</v>
      </c>
      <c r="B422" s="2" t="s">
        <v>1766</v>
      </c>
      <c r="C422" s="2" t="s">
        <v>2249</v>
      </c>
      <c r="D422" s="2" t="s">
        <v>1768</v>
      </c>
      <c r="E422" s="4" t="n">
        <v>444.74</v>
      </c>
      <c r="F422" s="4" t="n">
        <v>40.44</v>
      </c>
      <c r="G422" s="4" t="n">
        <v>404.3</v>
      </c>
      <c r="H422" s="2" t="s">
        <v>1385</v>
      </c>
    </row>
    <row r="423" customFormat="false" ht="15" hidden="false" customHeight="false" outlineLevel="0" collapsed="false">
      <c r="A423" s="2" t="s">
        <v>14</v>
      </c>
      <c r="B423" s="2" t="s">
        <v>1769</v>
      </c>
      <c r="C423" s="2" t="s">
        <v>2250</v>
      </c>
      <c r="D423" s="2" t="s">
        <v>1771</v>
      </c>
      <c r="E423" s="4" t="n">
        <v>195.03</v>
      </c>
      <c r="F423" s="4" t="n">
        <v>17.73</v>
      </c>
      <c r="G423" s="4" t="n">
        <v>177.3</v>
      </c>
      <c r="H423" s="2" t="s">
        <v>1385</v>
      </c>
    </row>
    <row r="424" customFormat="false" ht="15" hidden="false" customHeight="false" outlineLevel="0" collapsed="false">
      <c r="A424" s="2" t="s">
        <v>14</v>
      </c>
      <c r="B424" s="2" t="s">
        <v>1532</v>
      </c>
      <c r="C424" s="2" t="s">
        <v>2251</v>
      </c>
      <c r="D424" s="2" t="s">
        <v>1534</v>
      </c>
      <c r="E424" s="4" t="n">
        <v>368.23</v>
      </c>
      <c r="F424" s="4" t="n">
        <v>33.48</v>
      </c>
      <c r="G424" s="4" t="n">
        <v>334.75</v>
      </c>
      <c r="H424" s="2" t="s">
        <v>1385</v>
      </c>
    </row>
    <row r="425" customFormat="false" ht="15" hidden="false" customHeight="false" outlineLevel="0" collapsed="false">
      <c r="A425" s="2" t="s">
        <v>14</v>
      </c>
      <c r="B425" s="2" t="s">
        <v>1877</v>
      </c>
      <c r="C425" s="2" t="s">
        <v>2252</v>
      </c>
      <c r="D425" s="2" t="s">
        <v>1879</v>
      </c>
      <c r="E425" s="4" t="n">
        <v>368.23</v>
      </c>
      <c r="F425" s="4" t="n">
        <v>33.48</v>
      </c>
      <c r="G425" s="4" t="n">
        <v>334.75</v>
      </c>
      <c r="H425" s="2" t="s">
        <v>1385</v>
      </c>
    </row>
    <row r="426" customFormat="false" ht="15" hidden="false" customHeight="false" outlineLevel="0" collapsed="false">
      <c r="A426" s="2" t="s">
        <v>14</v>
      </c>
      <c r="B426" s="2" t="s">
        <v>1757</v>
      </c>
      <c r="C426" s="2" t="s">
        <v>2253</v>
      </c>
      <c r="D426" s="2" t="s">
        <v>1759</v>
      </c>
      <c r="E426" s="4" t="n">
        <v>241.33</v>
      </c>
      <c r="F426" s="4" t="n">
        <v>21.94</v>
      </c>
      <c r="G426" s="4" t="n">
        <v>219.39</v>
      </c>
      <c r="H426" s="2" t="s">
        <v>1385</v>
      </c>
    </row>
    <row r="427" customFormat="false" ht="15" hidden="false" customHeight="false" outlineLevel="0" collapsed="false">
      <c r="A427" s="2" t="s">
        <v>14</v>
      </c>
      <c r="B427" s="2" t="s">
        <v>1784</v>
      </c>
      <c r="C427" s="2" t="s">
        <v>2254</v>
      </c>
      <c r="D427" s="2" t="s">
        <v>1786</v>
      </c>
      <c r="E427" s="4" t="n">
        <v>62.48</v>
      </c>
      <c r="F427" s="4" t="n">
        <v>5.68</v>
      </c>
      <c r="G427" s="4" t="n">
        <v>56.8</v>
      </c>
      <c r="H427" s="2" t="s">
        <v>1385</v>
      </c>
    </row>
    <row r="428" customFormat="false" ht="15" hidden="false" customHeight="false" outlineLevel="0" collapsed="false">
      <c r="A428" s="2" t="s">
        <v>14</v>
      </c>
      <c r="B428" s="2" t="s">
        <v>1745</v>
      </c>
      <c r="C428" s="2" t="s">
        <v>2255</v>
      </c>
      <c r="D428" s="2" t="s">
        <v>1747</v>
      </c>
      <c r="E428" s="4" t="n">
        <v>37.58</v>
      </c>
      <c r="F428" s="4" t="n">
        <v>3.42</v>
      </c>
      <c r="G428" s="4" t="n">
        <v>34.16</v>
      </c>
      <c r="H428" s="2" t="s">
        <v>1385</v>
      </c>
    </row>
    <row r="429" customFormat="false" ht="15" hidden="false" customHeight="false" outlineLevel="0" collapsed="false">
      <c r="A429" s="2" t="s">
        <v>14</v>
      </c>
      <c r="B429" s="2" t="s">
        <v>1538</v>
      </c>
      <c r="C429" s="2" t="s">
        <v>2256</v>
      </c>
      <c r="D429" s="2" t="s">
        <v>1540</v>
      </c>
      <c r="E429" s="4" t="n">
        <v>205.38</v>
      </c>
      <c r="F429" s="4" t="n">
        <v>18.68</v>
      </c>
      <c r="G429" s="4" t="n">
        <v>186.7</v>
      </c>
      <c r="H429" s="2" t="s">
        <v>1385</v>
      </c>
    </row>
    <row r="430" customFormat="false" ht="15" hidden="false" customHeight="false" outlineLevel="0" collapsed="false">
      <c r="A430" s="2" t="s">
        <v>14</v>
      </c>
      <c r="B430" s="2" t="s">
        <v>1205</v>
      </c>
      <c r="C430" s="2" t="s">
        <v>1212</v>
      </c>
      <c r="D430" s="2" t="s">
        <v>1207</v>
      </c>
      <c r="E430" s="4" t="n">
        <v>56.75</v>
      </c>
      <c r="F430" s="4" t="n">
        <v>5.16</v>
      </c>
      <c r="G430" s="4" t="n">
        <v>51.59</v>
      </c>
      <c r="H430" s="2" t="s">
        <v>1381</v>
      </c>
    </row>
    <row r="431" customFormat="false" ht="15" hidden="false" customHeight="false" outlineLevel="0" collapsed="false">
      <c r="A431" s="2" t="s">
        <v>14</v>
      </c>
      <c r="B431" s="2" t="s">
        <v>1808</v>
      </c>
      <c r="C431" s="2" t="s">
        <v>2257</v>
      </c>
      <c r="D431" s="2" t="s">
        <v>1810</v>
      </c>
      <c r="E431" s="4" t="n">
        <v>61.28</v>
      </c>
      <c r="F431" s="4" t="n">
        <v>5.58</v>
      </c>
      <c r="G431" s="4" t="n">
        <v>55.7</v>
      </c>
      <c r="H431" s="2" t="s">
        <v>1385</v>
      </c>
    </row>
    <row r="432" customFormat="false" ht="15" hidden="false" customHeight="false" outlineLevel="0" collapsed="false">
      <c r="A432" s="2" t="s">
        <v>14</v>
      </c>
      <c r="B432" s="2" t="s">
        <v>185</v>
      </c>
      <c r="C432" s="2" t="s">
        <v>1304</v>
      </c>
      <c r="D432" s="2" t="s">
        <v>187</v>
      </c>
      <c r="E432" s="4" t="n">
        <v>29.1</v>
      </c>
      <c r="F432" s="4" t="n">
        <v>2.65</v>
      </c>
      <c r="G432" s="4" t="n">
        <v>26.45</v>
      </c>
      <c r="H432" s="2" t="s">
        <v>1381</v>
      </c>
    </row>
    <row r="433" customFormat="false" ht="15" hidden="false" customHeight="false" outlineLevel="0" collapsed="false">
      <c r="A433" s="2" t="s">
        <v>14</v>
      </c>
      <c r="B433" s="2" t="s">
        <v>971</v>
      </c>
      <c r="C433" s="2" t="s">
        <v>1098</v>
      </c>
      <c r="D433" s="2" t="s">
        <v>973</v>
      </c>
      <c r="E433" s="4" t="n">
        <v>36.64</v>
      </c>
      <c r="F433" s="4" t="n">
        <v>3.34</v>
      </c>
      <c r="G433" s="4" t="n">
        <v>33.3</v>
      </c>
      <c r="H433" s="2" t="s">
        <v>1381</v>
      </c>
    </row>
    <row r="434" customFormat="false" ht="15" hidden="false" customHeight="false" outlineLevel="0" collapsed="false">
      <c r="A434" s="2" t="s">
        <v>14</v>
      </c>
      <c r="B434" s="2" t="s">
        <v>1706</v>
      </c>
      <c r="C434" s="2" t="s">
        <v>2258</v>
      </c>
      <c r="D434" s="2" t="s">
        <v>1708</v>
      </c>
      <c r="E434" s="4" t="n">
        <v>45.97</v>
      </c>
      <c r="F434" s="4" t="n">
        <v>4.56</v>
      </c>
      <c r="G434" s="4" t="n">
        <v>41.41</v>
      </c>
      <c r="H434" s="2" t="s">
        <v>1385</v>
      </c>
    </row>
    <row r="435" customFormat="false" ht="15" hidden="false" customHeight="false" outlineLevel="0" collapsed="false">
      <c r="A435" s="2" t="s">
        <v>14</v>
      </c>
      <c r="B435" s="2" t="s">
        <v>1265</v>
      </c>
      <c r="C435" s="2" t="s">
        <v>1300</v>
      </c>
      <c r="D435" s="2" t="s">
        <v>1267</v>
      </c>
      <c r="E435" s="4" t="n">
        <v>32.06</v>
      </c>
      <c r="F435" s="4" t="n">
        <v>2.92</v>
      </c>
      <c r="G435" s="4" t="n">
        <v>29.14</v>
      </c>
      <c r="H435" s="2" t="s">
        <v>1381</v>
      </c>
    </row>
    <row r="436" customFormat="false" ht="15" hidden="false" customHeight="false" outlineLevel="0" collapsed="false">
      <c r="A436" s="2" t="s">
        <v>14</v>
      </c>
      <c r="B436" s="2" t="s">
        <v>1850</v>
      </c>
      <c r="C436" s="2" t="s">
        <v>2259</v>
      </c>
      <c r="D436" s="2" t="s">
        <v>1852</v>
      </c>
      <c r="E436" s="4" t="n">
        <v>83.71</v>
      </c>
      <c r="F436" s="4" t="n">
        <v>7.61</v>
      </c>
      <c r="G436" s="4" t="n">
        <v>76.1</v>
      </c>
      <c r="H436" s="2" t="s">
        <v>1385</v>
      </c>
    </row>
    <row r="437" customFormat="false" ht="15" hidden="false" customHeight="false" outlineLevel="0" collapsed="false">
      <c r="A437" s="2" t="s">
        <v>14</v>
      </c>
      <c r="B437" s="2" t="s">
        <v>1721</v>
      </c>
      <c r="C437" s="2" t="s">
        <v>2260</v>
      </c>
      <c r="D437" s="2" t="s">
        <v>1723</v>
      </c>
      <c r="E437" s="4" t="n">
        <v>36.11</v>
      </c>
      <c r="F437" s="4" t="n">
        <v>3.29</v>
      </c>
      <c r="G437" s="4" t="n">
        <v>32.82</v>
      </c>
      <c r="H437" s="2" t="s">
        <v>1385</v>
      </c>
    </row>
    <row r="438" customFormat="false" ht="15" hidden="false" customHeight="false" outlineLevel="0" collapsed="false">
      <c r="A438" s="2" t="s">
        <v>14</v>
      </c>
      <c r="B438" s="2" t="s">
        <v>1652</v>
      </c>
      <c r="C438" s="2" t="s">
        <v>2261</v>
      </c>
      <c r="D438" s="2" t="s">
        <v>1654</v>
      </c>
      <c r="E438" s="4" t="n">
        <v>75.62</v>
      </c>
      <c r="F438" s="4" t="n">
        <v>6.88</v>
      </c>
      <c r="G438" s="4" t="n">
        <v>68.74</v>
      </c>
      <c r="H438" s="2" t="s">
        <v>1385</v>
      </c>
    </row>
    <row r="439" customFormat="false" ht="15" hidden="false" customHeight="false" outlineLevel="0" collapsed="false">
      <c r="A439" s="2" t="s">
        <v>14</v>
      </c>
      <c r="B439" s="2" t="s">
        <v>1760</v>
      </c>
      <c r="C439" s="2" t="s">
        <v>2262</v>
      </c>
      <c r="D439" s="2" t="s">
        <v>1762</v>
      </c>
      <c r="E439" s="4" t="n">
        <v>172.6</v>
      </c>
      <c r="F439" s="4" t="n">
        <v>15.7</v>
      </c>
      <c r="G439" s="4" t="n">
        <v>156.9</v>
      </c>
      <c r="H439" s="2" t="s">
        <v>1385</v>
      </c>
    </row>
    <row r="440" customFormat="false" ht="15" hidden="false" customHeight="false" outlineLevel="0" collapsed="false">
      <c r="A440" s="2" t="s">
        <v>14</v>
      </c>
      <c r="B440" s="2" t="s">
        <v>1547</v>
      </c>
      <c r="C440" s="2" t="s">
        <v>2263</v>
      </c>
      <c r="D440" s="2" t="s">
        <v>1549</v>
      </c>
      <c r="E440" s="4" t="n">
        <v>89.77</v>
      </c>
      <c r="F440" s="4" t="n">
        <v>8.17</v>
      </c>
      <c r="G440" s="4" t="n">
        <v>81.6</v>
      </c>
      <c r="H440" s="2" t="s">
        <v>1385</v>
      </c>
    </row>
    <row r="441" customFormat="false" ht="15" hidden="false" customHeight="false" outlineLevel="0" collapsed="false">
      <c r="A441" s="2" t="s">
        <v>14</v>
      </c>
      <c r="B441" s="2" t="s">
        <v>1646</v>
      </c>
      <c r="C441" s="2" t="s">
        <v>2264</v>
      </c>
      <c r="D441" s="2" t="s">
        <v>1648</v>
      </c>
      <c r="E441" s="4" t="n">
        <v>35.81</v>
      </c>
      <c r="F441" s="4" t="n">
        <v>3.26</v>
      </c>
      <c r="G441" s="4" t="n">
        <v>32.55</v>
      </c>
      <c r="H441" s="2" t="s">
        <v>1385</v>
      </c>
    </row>
    <row r="442" customFormat="false" ht="15" hidden="false" customHeight="false" outlineLevel="0" collapsed="false">
      <c r="A442" s="2" t="s">
        <v>14</v>
      </c>
      <c r="B442" s="2" t="s">
        <v>1751</v>
      </c>
      <c r="C442" s="2" t="s">
        <v>2265</v>
      </c>
      <c r="D442" s="2" t="s">
        <v>1753</v>
      </c>
      <c r="E442" s="4" t="n">
        <v>94.15</v>
      </c>
      <c r="F442" s="4" t="n">
        <v>8.56</v>
      </c>
      <c r="G442" s="4" t="n">
        <v>85.59</v>
      </c>
      <c r="H442" s="2" t="s">
        <v>1385</v>
      </c>
    </row>
    <row r="443" customFormat="false" ht="15" hidden="false" customHeight="false" outlineLevel="0" collapsed="false">
      <c r="A443" s="2" t="s">
        <v>14</v>
      </c>
      <c r="B443" s="2" t="s">
        <v>1775</v>
      </c>
      <c r="C443" s="2" t="s">
        <v>2266</v>
      </c>
      <c r="D443" s="2" t="s">
        <v>1777</v>
      </c>
      <c r="E443" s="4" t="n">
        <v>35.88</v>
      </c>
      <c r="F443" s="4" t="n">
        <v>3.27</v>
      </c>
      <c r="G443" s="4" t="n">
        <v>32.61</v>
      </c>
      <c r="H443" s="2" t="s">
        <v>1385</v>
      </c>
    </row>
    <row r="444" customFormat="false" ht="15" hidden="false" customHeight="false" outlineLevel="0" collapsed="false">
      <c r="A444" s="2" t="s">
        <v>14</v>
      </c>
      <c r="B444" s="2" t="s">
        <v>1622</v>
      </c>
      <c r="C444" s="2" t="s">
        <v>2267</v>
      </c>
      <c r="D444" s="2" t="s">
        <v>1624</v>
      </c>
      <c r="E444" s="4" t="n">
        <v>114.15</v>
      </c>
      <c r="F444" s="4" t="n">
        <v>10.38</v>
      </c>
      <c r="G444" s="4" t="n">
        <v>103.77</v>
      </c>
      <c r="H444" s="2" t="s">
        <v>1385</v>
      </c>
    </row>
    <row r="445" customFormat="false" ht="15" hidden="false" customHeight="false" outlineLevel="0" collapsed="false">
      <c r="A445" s="2" t="s">
        <v>14</v>
      </c>
      <c r="B445" s="2" t="s">
        <v>1730</v>
      </c>
      <c r="C445" s="2" t="s">
        <v>2268</v>
      </c>
      <c r="D445" s="2" t="s">
        <v>1732</v>
      </c>
      <c r="E445" s="4" t="n">
        <v>129.23</v>
      </c>
      <c r="F445" s="4" t="n">
        <v>11.75</v>
      </c>
      <c r="G445" s="4" t="n">
        <v>117.48</v>
      </c>
      <c r="H445" s="2" t="s">
        <v>1385</v>
      </c>
    </row>
    <row r="446" customFormat="false" ht="15" hidden="false" customHeight="false" outlineLevel="0" collapsed="false">
      <c r="A446" s="2" t="s">
        <v>14</v>
      </c>
      <c r="B446" s="2" t="s">
        <v>1835</v>
      </c>
      <c r="C446" s="2" t="s">
        <v>2269</v>
      </c>
      <c r="D446" s="2" t="s">
        <v>1837</v>
      </c>
      <c r="E446" s="4" t="n">
        <v>85.04</v>
      </c>
      <c r="F446" s="4" t="n">
        <v>7.74</v>
      </c>
      <c r="G446" s="4" t="n">
        <v>77.3</v>
      </c>
      <c r="H446" s="2" t="s">
        <v>1385</v>
      </c>
    </row>
    <row r="447" customFormat="false" ht="15" hidden="false" customHeight="false" outlineLevel="0" collapsed="false">
      <c r="A447" s="2" t="s">
        <v>14</v>
      </c>
      <c r="B447" s="2" t="s">
        <v>1019</v>
      </c>
      <c r="C447" s="2" t="s">
        <v>1116</v>
      </c>
      <c r="D447" s="2" t="s">
        <v>1021</v>
      </c>
      <c r="E447" s="4" t="n">
        <v>67.73</v>
      </c>
      <c r="F447" s="4" t="n">
        <v>6.16</v>
      </c>
      <c r="G447" s="4" t="n">
        <v>61.57</v>
      </c>
      <c r="H447" s="2" t="s">
        <v>1381</v>
      </c>
    </row>
    <row r="448" customFormat="false" ht="15" hidden="false" customHeight="false" outlineLevel="0" collapsed="false">
      <c r="A448" s="2" t="s">
        <v>14</v>
      </c>
      <c r="B448" s="2" t="s">
        <v>1565</v>
      </c>
      <c r="C448" s="2" t="s">
        <v>2270</v>
      </c>
      <c r="D448" s="2" t="s">
        <v>1567</v>
      </c>
      <c r="E448" s="4" t="n">
        <v>420.93</v>
      </c>
      <c r="F448" s="4" t="n">
        <v>38.27</v>
      </c>
      <c r="G448" s="4" t="n">
        <v>382.66</v>
      </c>
      <c r="H448" s="2" t="s">
        <v>1385</v>
      </c>
    </row>
    <row r="449" customFormat="false" ht="15" hidden="false" customHeight="false" outlineLevel="0" collapsed="false">
      <c r="A449" s="2" t="s">
        <v>14</v>
      </c>
      <c r="B449" s="2" t="s">
        <v>1796</v>
      </c>
      <c r="C449" s="2" t="s">
        <v>2271</v>
      </c>
      <c r="D449" s="2" t="s">
        <v>1798</v>
      </c>
      <c r="E449" s="4" t="n">
        <v>287.56</v>
      </c>
      <c r="F449" s="4" t="n">
        <v>26.15</v>
      </c>
      <c r="G449" s="4" t="n">
        <v>261.41</v>
      </c>
      <c r="H449" s="2" t="s">
        <v>1385</v>
      </c>
    </row>
    <row r="450" customFormat="false" ht="15" hidden="false" customHeight="false" outlineLevel="0" collapsed="false">
      <c r="A450" s="2" t="s">
        <v>14</v>
      </c>
      <c r="B450" s="2" t="s">
        <v>1026</v>
      </c>
      <c r="C450" s="2" t="s">
        <v>1118</v>
      </c>
      <c r="D450" s="2" t="s">
        <v>1028</v>
      </c>
      <c r="E450" s="4" t="n">
        <v>61.27</v>
      </c>
      <c r="F450" s="4" t="n">
        <v>5.57</v>
      </c>
      <c r="G450" s="4" t="n">
        <v>55.7</v>
      </c>
      <c r="H450" s="2" t="s">
        <v>1381</v>
      </c>
    </row>
    <row r="451" customFormat="false" ht="15" hidden="false" customHeight="false" outlineLevel="0" collapsed="false">
      <c r="A451" s="2" t="s">
        <v>14</v>
      </c>
      <c r="B451" s="2" t="s">
        <v>1733</v>
      </c>
      <c r="C451" s="2" t="s">
        <v>2272</v>
      </c>
      <c r="D451" s="2" t="s">
        <v>1735</v>
      </c>
      <c r="E451" s="4" t="n">
        <v>2527.91</v>
      </c>
      <c r="F451" s="4" t="n">
        <v>238.58</v>
      </c>
      <c r="G451" s="4" t="n">
        <v>2289.33</v>
      </c>
      <c r="H451" s="2" t="s">
        <v>1385</v>
      </c>
    </row>
    <row r="452" customFormat="false" ht="15" hidden="false" customHeight="false" outlineLevel="0" collapsed="false">
      <c r="A452" s="2" t="s">
        <v>14</v>
      </c>
      <c r="B452" s="2" t="s">
        <v>1778</v>
      </c>
      <c r="C452" s="2" t="s">
        <v>2273</v>
      </c>
      <c r="D452" s="2" t="s">
        <v>1780</v>
      </c>
      <c r="E452" s="4" t="n">
        <v>231.74</v>
      </c>
      <c r="F452" s="4" t="n">
        <v>21.07</v>
      </c>
      <c r="G452" s="4" t="n">
        <v>210.67</v>
      </c>
      <c r="H452" s="2" t="s">
        <v>1385</v>
      </c>
    </row>
    <row r="453" customFormat="false" ht="15" hidden="false" customHeight="false" outlineLevel="0" collapsed="false">
      <c r="A453" s="2" t="s">
        <v>14</v>
      </c>
      <c r="B453" s="2" t="s">
        <v>1739</v>
      </c>
      <c r="C453" s="2" t="s">
        <v>2274</v>
      </c>
      <c r="D453" s="2" t="s">
        <v>1741</v>
      </c>
      <c r="E453" s="4" t="n">
        <v>109.72</v>
      </c>
      <c r="F453" s="4" t="n">
        <v>9.98</v>
      </c>
      <c r="G453" s="4" t="n">
        <v>99.74</v>
      </c>
      <c r="H453" s="2" t="s">
        <v>1385</v>
      </c>
    </row>
    <row r="454" customFormat="false" ht="15" hidden="false" customHeight="false" outlineLevel="0" collapsed="false">
      <c r="A454" s="2" t="s">
        <v>14</v>
      </c>
      <c r="B454" s="2" t="s">
        <v>1634</v>
      </c>
      <c r="C454" s="2" t="s">
        <v>2275</v>
      </c>
      <c r="D454" s="2" t="s">
        <v>1636</v>
      </c>
      <c r="E454" s="4" t="n">
        <v>31.23</v>
      </c>
      <c r="F454" s="4" t="n">
        <v>2.83</v>
      </c>
      <c r="G454" s="4" t="n">
        <v>28.4</v>
      </c>
      <c r="H454" s="2" t="s">
        <v>1385</v>
      </c>
    </row>
    <row r="455" customFormat="false" ht="15" hidden="false" customHeight="false" outlineLevel="0" collapsed="false">
      <c r="A455" s="2" t="s">
        <v>14</v>
      </c>
      <c r="B455" s="2" t="s">
        <v>896</v>
      </c>
      <c r="C455" s="2" t="s">
        <v>897</v>
      </c>
      <c r="D455" s="2" t="s">
        <v>898</v>
      </c>
      <c r="E455" s="4" t="n">
        <v>73.26</v>
      </c>
      <c r="F455" s="4" t="n">
        <v>6.66</v>
      </c>
      <c r="G455" s="4" t="n">
        <v>66.6</v>
      </c>
      <c r="H455" s="2" t="s">
        <v>1381</v>
      </c>
    </row>
    <row r="456" customFormat="false" ht="15" hidden="false" customHeight="false" outlineLevel="0" collapsed="false">
      <c r="A456" s="2" t="s">
        <v>14</v>
      </c>
      <c r="B456" s="2" t="s">
        <v>1640</v>
      </c>
      <c r="C456" s="2" t="s">
        <v>2276</v>
      </c>
      <c r="D456" s="2" t="s">
        <v>1642</v>
      </c>
      <c r="E456" s="4" t="n">
        <v>2281.92</v>
      </c>
      <c r="F456" s="4" t="n">
        <v>207.45</v>
      </c>
      <c r="G456" s="4" t="n">
        <v>2074.47</v>
      </c>
      <c r="H456" s="2" t="s">
        <v>1385</v>
      </c>
    </row>
    <row r="457" customFormat="false" ht="15" hidden="false" customHeight="false" outlineLevel="0" collapsed="false">
      <c r="A457" s="2" t="s">
        <v>14</v>
      </c>
      <c r="B457" s="2" t="s">
        <v>1250</v>
      </c>
      <c r="C457" s="2" t="s">
        <v>1294</v>
      </c>
      <c r="D457" s="2" t="s">
        <v>1252</v>
      </c>
      <c r="E457" s="4" t="n">
        <v>38.85</v>
      </c>
      <c r="F457" s="4" t="n">
        <v>3.54</v>
      </c>
      <c r="G457" s="4" t="n">
        <v>35.31</v>
      </c>
      <c r="H457" s="2" t="s">
        <v>1381</v>
      </c>
    </row>
    <row r="458" customFormat="false" ht="15" hidden="false" customHeight="false" outlineLevel="0" collapsed="false">
      <c r="A458" s="2" t="s">
        <v>14</v>
      </c>
      <c r="B458" s="2" t="s">
        <v>1724</v>
      </c>
      <c r="C458" s="2" t="s">
        <v>2277</v>
      </c>
      <c r="D458" s="2" t="s">
        <v>1726</v>
      </c>
      <c r="E458" s="4" t="n">
        <v>69.05</v>
      </c>
      <c r="F458" s="4" t="n">
        <v>6.28</v>
      </c>
      <c r="G458" s="4" t="n">
        <v>62.77</v>
      </c>
      <c r="H458" s="2" t="s">
        <v>1385</v>
      </c>
    </row>
    <row r="459" customFormat="false" ht="15" hidden="false" customHeight="false" outlineLevel="0" collapsed="false">
      <c r="A459" s="2" t="s">
        <v>14</v>
      </c>
      <c r="B459" s="2" t="s">
        <v>661</v>
      </c>
      <c r="C459" s="2" t="s">
        <v>662</v>
      </c>
      <c r="D459" s="2" t="s">
        <v>663</v>
      </c>
      <c r="E459" s="4" t="n">
        <v>101.24</v>
      </c>
      <c r="F459" s="4" t="n">
        <v>9.21</v>
      </c>
      <c r="G459" s="4" t="n">
        <v>92.03</v>
      </c>
      <c r="H459" s="2" t="s">
        <v>1381</v>
      </c>
    </row>
    <row r="460" customFormat="false" ht="15" hidden="false" customHeight="false" outlineLevel="0" collapsed="false">
      <c r="A460" s="2" t="s">
        <v>14</v>
      </c>
      <c r="B460" s="2" t="s">
        <v>533</v>
      </c>
      <c r="C460" s="2" t="s">
        <v>534</v>
      </c>
      <c r="D460" s="2" t="s">
        <v>535</v>
      </c>
      <c r="E460" s="4" t="n">
        <v>113.51</v>
      </c>
      <c r="F460" s="4" t="n">
        <v>10.32</v>
      </c>
      <c r="G460" s="4" t="n">
        <v>103.19</v>
      </c>
      <c r="H460" s="2" t="s">
        <v>1381</v>
      </c>
    </row>
    <row r="461" customFormat="false" ht="15" hidden="false" customHeight="false" outlineLevel="0" collapsed="false">
      <c r="A461" s="2" t="s">
        <v>14</v>
      </c>
      <c r="B461" s="2" t="s">
        <v>816</v>
      </c>
      <c r="C461" s="2" t="s">
        <v>881</v>
      </c>
      <c r="D461" s="2" t="s">
        <v>818</v>
      </c>
      <c r="E461" s="4" t="n">
        <v>83.91</v>
      </c>
      <c r="F461" s="4" t="n">
        <v>7.63</v>
      </c>
      <c r="G461" s="4" t="n">
        <v>76.28</v>
      </c>
      <c r="H461" s="2" t="s">
        <v>1381</v>
      </c>
    </row>
    <row r="462" customFormat="false" ht="15" hidden="false" customHeight="false" outlineLevel="0" collapsed="false">
      <c r="A462" s="2" t="s">
        <v>14</v>
      </c>
      <c r="B462" s="2" t="s">
        <v>1679</v>
      </c>
      <c r="C462" s="2" t="s">
        <v>2278</v>
      </c>
      <c r="D462" s="2" t="s">
        <v>1681</v>
      </c>
      <c r="E462" s="4" t="n">
        <v>211.28</v>
      </c>
      <c r="F462" s="4" t="n">
        <v>19.21</v>
      </c>
      <c r="G462" s="4" t="n">
        <v>192.07</v>
      </c>
      <c r="H462" s="2" t="s">
        <v>1385</v>
      </c>
    </row>
    <row r="463" customFormat="false" ht="15" hidden="false" customHeight="false" outlineLevel="0" collapsed="false">
      <c r="A463" s="2" t="s">
        <v>14</v>
      </c>
      <c r="B463" s="2" t="s">
        <v>965</v>
      </c>
      <c r="C463" s="2" t="s">
        <v>1096</v>
      </c>
      <c r="D463" s="2" t="s">
        <v>967</v>
      </c>
      <c r="E463" s="4" t="n">
        <v>35.81</v>
      </c>
      <c r="F463" s="4" t="n">
        <v>3.26</v>
      </c>
      <c r="G463" s="4" t="n">
        <v>32.55</v>
      </c>
      <c r="H463" s="2" t="s">
        <v>1381</v>
      </c>
    </row>
    <row r="464" customFormat="false" ht="15" hidden="false" customHeight="false" outlineLevel="0" collapsed="false">
      <c r="A464" s="2" t="s">
        <v>14</v>
      </c>
      <c r="B464" s="2" t="s">
        <v>1829</v>
      </c>
      <c r="C464" s="2" t="s">
        <v>2279</v>
      </c>
      <c r="D464" s="2" t="s">
        <v>1831</v>
      </c>
      <c r="E464" s="4" t="n">
        <v>51.76</v>
      </c>
      <c r="F464" s="4" t="n">
        <v>4.71</v>
      </c>
      <c r="G464" s="4" t="n">
        <v>47.05</v>
      </c>
      <c r="H464" s="2" t="s">
        <v>1385</v>
      </c>
    </row>
    <row r="465" customFormat="false" ht="15" hidden="false" customHeight="false" outlineLevel="0" collapsed="false">
      <c r="A465" s="2" t="s">
        <v>14</v>
      </c>
      <c r="B465" s="2" t="s">
        <v>1655</v>
      </c>
      <c r="C465" s="2" t="s">
        <v>2280</v>
      </c>
      <c r="D465" s="2" t="s">
        <v>1657</v>
      </c>
      <c r="E465" s="4" t="n">
        <v>144.03</v>
      </c>
      <c r="F465" s="4" t="n">
        <v>13.1</v>
      </c>
      <c r="G465" s="4" t="n">
        <v>130.93</v>
      </c>
      <c r="H465" s="2" t="s">
        <v>1385</v>
      </c>
    </row>
    <row r="466" customFormat="false" ht="15" hidden="false" customHeight="false" outlineLevel="0" collapsed="false">
      <c r="A466" s="2" t="s">
        <v>14</v>
      </c>
      <c r="B466" s="2" t="s">
        <v>951</v>
      </c>
      <c r="C466" s="2" t="s">
        <v>1092</v>
      </c>
      <c r="D466" s="2" t="s">
        <v>953</v>
      </c>
      <c r="E466" s="4" t="n">
        <v>35.81</v>
      </c>
      <c r="F466" s="4" t="n">
        <v>3.26</v>
      </c>
      <c r="G466" s="4" t="n">
        <v>32.55</v>
      </c>
      <c r="H466" s="2" t="s">
        <v>1381</v>
      </c>
    </row>
    <row r="467" customFormat="false" ht="15" hidden="false" customHeight="false" outlineLevel="0" collapsed="false">
      <c r="A467" s="2" t="s">
        <v>14</v>
      </c>
      <c r="B467" s="2" t="s">
        <v>875</v>
      </c>
      <c r="C467" s="2" t="s">
        <v>889</v>
      </c>
      <c r="D467" s="2" t="s">
        <v>877</v>
      </c>
      <c r="E467" s="4" t="n">
        <v>73.28</v>
      </c>
      <c r="F467" s="4" t="n">
        <v>6.67</v>
      </c>
      <c r="G467" s="4" t="n">
        <v>66.61</v>
      </c>
      <c r="H467" s="2" t="s">
        <v>1381</v>
      </c>
    </row>
    <row r="468" customFormat="false" ht="15" hidden="false" customHeight="false" outlineLevel="0" collapsed="false">
      <c r="A468" s="2" t="s">
        <v>14</v>
      </c>
      <c r="B468" s="2" t="s">
        <v>1856</v>
      </c>
      <c r="C468" s="2" t="s">
        <v>2281</v>
      </c>
      <c r="D468" s="2" t="s">
        <v>1858</v>
      </c>
      <c r="E468" s="4" t="n">
        <v>116.7</v>
      </c>
      <c r="F468" s="4" t="n">
        <v>10.61</v>
      </c>
      <c r="G468" s="4" t="n">
        <v>106.09</v>
      </c>
      <c r="H468" s="2" t="s">
        <v>1385</v>
      </c>
    </row>
    <row r="469" customFormat="false" ht="15" hidden="false" customHeight="false" outlineLevel="0" collapsed="false">
      <c r="A469" s="2" t="s">
        <v>14</v>
      </c>
      <c r="B469" s="2" t="s">
        <v>1685</v>
      </c>
      <c r="C469" s="2" t="s">
        <v>2282</v>
      </c>
      <c r="D469" s="2" t="s">
        <v>1687</v>
      </c>
      <c r="E469" s="4" t="n">
        <v>105.02</v>
      </c>
      <c r="F469" s="4" t="n">
        <v>9.55</v>
      </c>
      <c r="G469" s="4" t="n">
        <v>95.47</v>
      </c>
      <c r="H469" s="2" t="s">
        <v>1385</v>
      </c>
    </row>
    <row r="470" customFormat="false" ht="15" hidden="false" customHeight="false" outlineLevel="0" collapsed="false">
      <c r="A470" s="2" t="s">
        <v>14</v>
      </c>
      <c r="B470" s="2" t="s">
        <v>1637</v>
      </c>
      <c r="C470" s="2" t="s">
        <v>2283</v>
      </c>
      <c r="D470" s="2" t="s">
        <v>1639</v>
      </c>
      <c r="E470" s="4" t="n">
        <v>35.81</v>
      </c>
      <c r="F470" s="4" t="n">
        <v>3.26</v>
      </c>
      <c r="G470" s="4" t="n">
        <v>32.55</v>
      </c>
      <c r="H470" s="2" t="s">
        <v>1385</v>
      </c>
    </row>
    <row r="471" customFormat="false" ht="15" hidden="false" customHeight="false" outlineLevel="0" collapsed="false">
      <c r="A471" s="2" t="s">
        <v>14</v>
      </c>
      <c r="B471" s="2" t="s">
        <v>1595</v>
      </c>
      <c r="C471" s="2" t="s">
        <v>2284</v>
      </c>
      <c r="D471" s="2" t="s">
        <v>1597</v>
      </c>
      <c r="E471" s="4" t="n">
        <v>42.77</v>
      </c>
      <c r="F471" s="4" t="n">
        <v>3.89</v>
      </c>
      <c r="G471" s="4" t="n">
        <v>38.88</v>
      </c>
      <c r="H471" s="2" t="s">
        <v>1385</v>
      </c>
    </row>
    <row r="472" customFormat="false" ht="15" hidden="false" customHeight="false" outlineLevel="0" collapsed="false">
      <c r="A472" s="2" t="s">
        <v>14</v>
      </c>
      <c r="B472" s="2" t="s">
        <v>1682</v>
      </c>
      <c r="C472" s="2" t="s">
        <v>2285</v>
      </c>
      <c r="D472" s="2" t="s">
        <v>1684</v>
      </c>
      <c r="E472" s="4" t="n">
        <v>156.54</v>
      </c>
      <c r="F472" s="4" t="n">
        <v>14.24</v>
      </c>
      <c r="G472" s="4" t="n">
        <v>142.3</v>
      </c>
      <c r="H472" s="2" t="s">
        <v>1385</v>
      </c>
    </row>
    <row r="473" customFormat="false" ht="15" hidden="false" customHeight="false" outlineLevel="0" collapsed="false">
      <c r="A473" s="2" t="s">
        <v>14</v>
      </c>
      <c r="B473" s="2" t="s">
        <v>1805</v>
      </c>
      <c r="C473" s="2" t="s">
        <v>2286</v>
      </c>
      <c r="D473" s="2" t="s">
        <v>1807</v>
      </c>
      <c r="E473" s="4" t="n">
        <v>121.6</v>
      </c>
      <c r="F473" s="4" t="n">
        <v>11.06</v>
      </c>
      <c r="G473" s="4" t="n">
        <v>110.54</v>
      </c>
      <c r="H473" s="2" t="s">
        <v>1385</v>
      </c>
    </row>
    <row r="474" customFormat="false" ht="15" hidden="false" customHeight="false" outlineLevel="0" collapsed="false">
      <c r="A474" s="2" t="s">
        <v>14</v>
      </c>
      <c r="B474" s="2" t="s">
        <v>1529</v>
      </c>
      <c r="C474" s="2" t="s">
        <v>2287</v>
      </c>
      <c r="D474" s="2" t="s">
        <v>1531</v>
      </c>
      <c r="E474" s="4" t="n">
        <v>255.2</v>
      </c>
      <c r="F474" s="4" t="n">
        <v>29.46</v>
      </c>
      <c r="G474" s="4" t="n">
        <v>225.74</v>
      </c>
      <c r="H474" s="2" t="s">
        <v>1385</v>
      </c>
    </row>
    <row r="475" customFormat="false" ht="15" hidden="false" customHeight="false" outlineLevel="0" collapsed="false">
      <c r="A475" s="2" t="s">
        <v>14</v>
      </c>
      <c r="B475" s="2" t="s">
        <v>1799</v>
      </c>
      <c r="C475" s="2" t="s">
        <v>2288</v>
      </c>
      <c r="D475" s="2" t="s">
        <v>1801</v>
      </c>
      <c r="E475" s="4" t="n">
        <v>35.81</v>
      </c>
      <c r="F475" s="4" t="n">
        <v>3.26</v>
      </c>
      <c r="G475" s="4" t="n">
        <v>32.55</v>
      </c>
      <c r="H475" s="2" t="s">
        <v>1385</v>
      </c>
    </row>
    <row r="476" customFormat="false" ht="15" hidden="false" customHeight="false" outlineLevel="0" collapsed="false">
      <c r="A476" s="2" t="s">
        <v>14</v>
      </c>
      <c r="B476" s="2" t="s">
        <v>1664</v>
      </c>
      <c r="C476" s="2" t="s">
        <v>2289</v>
      </c>
      <c r="D476" s="2" t="s">
        <v>1666</v>
      </c>
      <c r="E476" s="4" t="n">
        <v>35.81</v>
      </c>
      <c r="F476" s="4" t="n">
        <v>3.26</v>
      </c>
      <c r="G476" s="4" t="n">
        <v>32.55</v>
      </c>
      <c r="H476" s="2" t="s">
        <v>1385</v>
      </c>
    </row>
    <row r="477" customFormat="false" ht="15" hidden="false" customHeight="false" outlineLevel="0" collapsed="false">
      <c r="A477" s="2" t="s">
        <v>14</v>
      </c>
      <c r="B477" s="2" t="s">
        <v>1802</v>
      </c>
      <c r="C477" s="2" t="s">
        <v>2290</v>
      </c>
      <c r="D477" s="2" t="s">
        <v>1804</v>
      </c>
      <c r="E477" s="4" t="n">
        <v>149.81</v>
      </c>
      <c r="F477" s="4" t="n">
        <v>14.42</v>
      </c>
      <c r="G477" s="4" t="n">
        <v>135.39</v>
      </c>
      <c r="H477" s="2" t="s">
        <v>1385</v>
      </c>
    </row>
    <row r="478" customFormat="false" ht="15" hidden="false" customHeight="false" outlineLevel="0" collapsed="false">
      <c r="A478" s="2" t="s">
        <v>14</v>
      </c>
      <c r="B478" s="2" t="s">
        <v>978</v>
      </c>
      <c r="C478" s="2" t="s">
        <v>1102</v>
      </c>
      <c r="D478" s="2" t="s">
        <v>980</v>
      </c>
      <c r="E478" s="4" t="n">
        <v>35.81</v>
      </c>
      <c r="F478" s="4" t="n">
        <v>3.26</v>
      </c>
      <c r="G478" s="4" t="n">
        <v>32.55</v>
      </c>
      <c r="H478" s="2" t="s">
        <v>1381</v>
      </c>
    </row>
    <row r="479" customFormat="false" ht="15" hidden="false" customHeight="false" outlineLevel="0" collapsed="false">
      <c r="A479" s="2" t="s">
        <v>14</v>
      </c>
      <c r="B479" s="2" t="s">
        <v>1553</v>
      </c>
      <c r="C479" s="2" t="s">
        <v>2291</v>
      </c>
      <c r="D479" s="2" t="s">
        <v>1555</v>
      </c>
      <c r="E479" s="4" t="n">
        <v>387.91</v>
      </c>
      <c r="F479" s="4" t="n">
        <v>35.27</v>
      </c>
      <c r="G479" s="4" t="n">
        <v>352.64</v>
      </c>
      <c r="H479" s="2" t="s">
        <v>1385</v>
      </c>
    </row>
    <row r="480" customFormat="false" ht="15" hidden="false" customHeight="false" outlineLevel="0" collapsed="false">
      <c r="A480" s="2" t="s">
        <v>14</v>
      </c>
      <c r="B480" s="2" t="s">
        <v>1781</v>
      </c>
      <c r="C480" s="2" t="s">
        <v>2292</v>
      </c>
      <c r="D480" s="2" t="s">
        <v>1783</v>
      </c>
      <c r="E480" s="4" t="n">
        <v>88.61</v>
      </c>
      <c r="F480" s="4" t="n">
        <v>8.06</v>
      </c>
      <c r="G480" s="4" t="n">
        <v>80.55</v>
      </c>
      <c r="H480" s="2" t="s">
        <v>1385</v>
      </c>
    </row>
    <row r="481" customFormat="false" ht="15" hidden="false" customHeight="false" outlineLevel="0" collapsed="false">
      <c r="A481" s="2" t="s">
        <v>14</v>
      </c>
      <c r="B481" s="2" t="s">
        <v>1844</v>
      </c>
      <c r="C481" s="2" t="s">
        <v>2293</v>
      </c>
      <c r="D481" s="2" t="s">
        <v>1846</v>
      </c>
      <c r="E481" s="4" t="n">
        <v>55.99</v>
      </c>
      <c r="F481" s="4" t="n">
        <v>5.09</v>
      </c>
      <c r="G481" s="4" t="n">
        <v>50.9</v>
      </c>
      <c r="H481" s="2" t="s">
        <v>1385</v>
      </c>
    </row>
    <row r="482" customFormat="false" ht="15" hidden="false" customHeight="false" outlineLevel="0" collapsed="false">
      <c r="A482" s="2" t="s">
        <v>14</v>
      </c>
      <c r="B482" s="2" t="s">
        <v>1550</v>
      </c>
      <c r="C482" s="2" t="s">
        <v>2294</v>
      </c>
      <c r="D482" s="2" t="s">
        <v>1552</v>
      </c>
      <c r="E482" s="4" t="n">
        <v>1082.32</v>
      </c>
      <c r="F482" s="4" t="n">
        <v>98.4</v>
      </c>
      <c r="G482" s="4" t="n">
        <v>983.92</v>
      </c>
      <c r="H482" s="2" t="s">
        <v>1385</v>
      </c>
    </row>
    <row r="483" customFormat="false" ht="15" hidden="false" customHeight="false" outlineLevel="0" collapsed="false">
      <c r="A483" s="2" t="s">
        <v>14</v>
      </c>
      <c r="B483" s="2" t="s">
        <v>1700</v>
      </c>
      <c r="C483" s="2" t="s">
        <v>2295</v>
      </c>
      <c r="D483" s="2" t="s">
        <v>1702</v>
      </c>
      <c r="E483" s="4" t="n">
        <v>64.56</v>
      </c>
      <c r="F483" s="4" t="n">
        <v>5.87</v>
      </c>
      <c r="G483" s="4" t="n">
        <v>58.69</v>
      </c>
      <c r="H483" s="2" t="s">
        <v>1385</v>
      </c>
    </row>
    <row r="484" customFormat="false" ht="15" hidden="false" customHeight="false" outlineLevel="0" collapsed="false">
      <c r="A484" s="2" t="s">
        <v>14</v>
      </c>
      <c r="B484" s="2" t="s">
        <v>719</v>
      </c>
      <c r="C484" s="2" t="s">
        <v>917</v>
      </c>
      <c r="D484" s="2" t="s">
        <v>721</v>
      </c>
      <c r="E484" s="4" t="n">
        <v>66.93</v>
      </c>
      <c r="F484" s="4" t="n">
        <v>6.09</v>
      </c>
      <c r="G484" s="4" t="n">
        <v>60.84</v>
      </c>
      <c r="H484" s="2" t="s">
        <v>1381</v>
      </c>
    </row>
    <row r="485" customFormat="false" ht="15" hidden="false" customHeight="false" outlineLevel="0" collapsed="false">
      <c r="A485" s="2" t="s">
        <v>14</v>
      </c>
      <c r="B485" s="2" t="s">
        <v>1523</v>
      </c>
      <c r="C485" s="2" t="s">
        <v>2296</v>
      </c>
      <c r="D485" s="2" t="s">
        <v>1525</v>
      </c>
      <c r="E485" s="4" t="n">
        <v>156.35</v>
      </c>
      <c r="F485" s="4" t="n">
        <v>14.22</v>
      </c>
      <c r="G485" s="4" t="n">
        <v>142.13</v>
      </c>
      <c r="H485" s="2" t="s">
        <v>1385</v>
      </c>
    </row>
    <row r="486" customFormat="false" ht="15" hidden="false" customHeight="false" outlineLevel="0" collapsed="false">
      <c r="A486" s="2" t="s">
        <v>14</v>
      </c>
      <c r="B486" s="2" t="s">
        <v>1589</v>
      </c>
      <c r="C486" s="2" t="s">
        <v>2297</v>
      </c>
      <c r="D486" s="2" t="s">
        <v>1591</v>
      </c>
      <c r="E486" s="4" t="n">
        <v>139.95</v>
      </c>
      <c r="F486" s="4" t="n">
        <v>12.73</v>
      </c>
      <c r="G486" s="4" t="n">
        <v>127.22</v>
      </c>
      <c r="H486" s="2" t="s">
        <v>1385</v>
      </c>
    </row>
    <row r="487" customFormat="false" ht="15" hidden="false" customHeight="false" outlineLevel="0" collapsed="false">
      <c r="A487" s="2" t="s">
        <v>14</v>
      </c>
      <c r="B487" s="2" t="s">
        <v>1820</v>
      </c>
      <c r="C487" s="2" t="s">
        <v>2298</v>
      </c>
      <c r="D487" s="2" t="s">
        <v>1822</v>
      </c>
      <c r="E487" s="4" t="n">
        <v>89.32</v>
      </c>
      <c r="F487" s="4" t="n">
        <v>8.12</v>
      </c>
      <c r="G487" s="4" t="n">
        <v>81.2</v>
      </c>
      <c r="H487" s="2" t="s">
        <v>1385</v>
      </c>
    </row>
    <row r="488" customFormat="false" ht="15" hidden="false" customHeight="false" outlineLevel="0" collapsed="false">
      <c r="A488" s="2" t="s">
        <v>14</v>
      </c>
      <c r="B488" s="2" t="s">
        <v>1541</v>
      </c>
      <c r="C488" s="2" t="s">
        <v>2299</v>
      </c>
      <c r="D488" s="2" t="s">
        <v>1543</v>
      </c>
      <c r="E488" s="4" t="n">
        <v>27.79</v>
      </c>
      <c r="F488" s="4" t="n">
        <v>2.53</v>
      </c>
      <c r="G488" s="4" t="n">
        <v>25.26</v>
      </c>
      <c r="H488" s="2" t="s">
        <v>1385</v>
      </c>
    </row>
    <row r="489" customFormat="false" ht="15" hidden="false" customHeight="false" outlineLevel="0" collapsed="false">
      <c r="A489" s="2" t="s">
        <v>14</v>
      </c>
      <c r="B489" s="2" t="s">
        <v>1494</v>
      </c>
      <c r="C489" s="2" t="s">
        <v>2300</v>
      </c>
      <c r="D489" s="2" t="s">
        <v>1496</v>
      </c>
      <c r="E489" s="4" t="n">
        <v>36.96</v>
      </c>
      <c r="F489" s="4" t="n">
        <v>3.36</v>
      </c>
      <c r="G489" s="4" t="n">
        <v>33.6</v>
      </c>
      <c r="H489" s="2" t="s">
        <v>1385</v>
      </c>
    </row>
    <row r="490" customFormat="false" ht="15" hidden="false" customHeight="false" outlineLevel="0" collapsed="false">
      <c r="A490" s="2" t="s">
        <v>14</v>
      </c>
      <c r="B490" s="2" t="s">
        <v>1793</v>
      </c>
      <c r="C490" s="2" t="s">
        <v>2301</v>
      </c>
      <c r="D490" s="2" t="s">
        <v>1795</v>
      </c>
      <c r="E490" s="4" t="n">
        <v>84</v>
      </c>
      <c r="F490" s="4" t="n">
        <v>7.64</v>
      </c>
      <c r="G490" s="4" t="n">
        <v>76.36</v>
      </c>
      <c r="H490" s="2" t="s">
        <v>1385</v>
      </c>
    </row>
    <row r="491" customFormat="false" ht="15" hidden="false" customHeight="false" outlineLevel="0" collapsed="false">
      <c r="A491" s="2" t="s">
        <v>14</v>
      </c>
      <c r="B491" s="2" t="s">
        <v>2302</v>
      </c>
      <c r="C491" s="2" t="s">
        <v>2303</v>
      </c>
      <c r="D491" s="2" t="s">
        <v>2304</v>
      </c>
      <c r="E491" s="4" t="n">
        <v>175.03</v>
      </c>
      <c r="F491" s="4" t="n">
        <v>15.91</v>
      </c>
      <c r="G491" s="4" t="n">
        <v>159.12</v>
      </c>
      <c r="H491" s="2" t="s">
        <v>1385</v>
      </c>
    </row>
    <row r="492" customFormat="false" ht="15" hidden="false" customHeight="false" outlineLevel="0" collapsed="false">
      <c r="A492" s="2" t="s">
        <v>14</v>
      </c>
      <c r="B492" s="2" t="s">
        <v>1386</v>
      </c>
      <c r="C492" s="2" t="s">
        <v>2305</v>
      </c>
      <c r="D492" s="2" t="s">
        <v>1388</v>
      </c>
      <c r="E492" s="4" t="n">
        <v>84.28</v>
      </c>
      <c r="F492" s="4" t="n">
        <v>7.67</v>
      </c>
      <c r="G492" s="4" t="n">
        <v>76.61</v>
      </c>
      <c r="H492" s="2" t="s">
        <v>1385</v>
      </c>
    </row>
    <row r="493" customFormat="false" ht="15" hidden="false" customHeight="false" outlineLevel="0" collapsed="false">
      <c r="A493" s="2" t="s">
        <v>14</v>
      </c>
      <c r="B493" s="2" t="s">
        <v>993</v>
      </c>
      <c r="C493" s="2" t="s">
        <v>1108</v>
      </c>
      <c r="D493" s="2" t="s">
        <v>995</v>
      </c>
      <c r="E493" s="4" t="n">
        <v>49.47</v>
      </c>
      <c r="F493" s="4" t="n">
        <v>4.5</v>
      </c>
      <c r="G493" s="4" t="n">
        <v>44.97</v>
      </c>
      <c r="H493" s="2" t="s">
        <v>1381</v>
      </c>
    </row>
    <row r="494" customFormat="false" ht="15" hidden="false" customHeight="false" outlineLevel="0" collapsed="false">
      <c r="A494" s="2" t="s">
        <v>14</v>
      </c>
      <c r="B494" s="2" t="s">
        <v>1838</v>
      </c>
      <c r="C494" s="2" t="s">
        <v>2306</v>
      </c>
      <c r="D494" s="2" t="s">
        <v>1840</v>
      </c>
      <c r="E494" s="4" t="n">
        <v>0</v>
      </c>
      <c r="F494" s="4" t="n">
        <v>0</v>
      </c>
      <c r="G494" s="4" t="n">
        <v>0</v>
      </c>
      <c r="H494" s="2" t="s">
        <v>1385</v>
      </c>
    </row>
    <row r="495" customFormat="false" ht="15" hidden="false" customHeight="false" outlineLevel="0" collapsed="false">
      <c r="A495" s="2" t="s">
        <v>14</v>
      </c>
      <c r="B495" s="2" t="s">
        <v>1886</v>
      </c>
      <c r="C495" s="2" t="s">
        <v>2307</v>
      </c>
      <c r="D495" s="2" t="s">
        <v>1888</v>
      </c>
      <c r="E495" s="4" t="n">
        <v>0</v>
      </c>
      <c r="F495" s="4" t="n">
        <v>0</v>
      </c>
      <c r="G495" s="4" t="n">
        <v>0</v>
      </c>
      <c r="H495" s="2" t="s">
        <v>1385</v>
      </c>
    </row>
    <row r="496" customFormat="false" ht="15" hidden="false" customHeight="false" outlineLevel="0" collapsed="false">
      <c r="A496" s="2" t="s">
        <v>14</v>
      </c>
      <c r="B496" s="2" t="s">
        <v>179</v>
      </c>
      <c r="C496" s="2" t="s">
        <v>180</v>
      </c>
      <c r="D496" s="2" t="s">
        <v>181</v>
      </c>
      <c r="E496" s="4" t="n">
        <v>292</v>
      </c>
      <c r="F496" s="4" t="n">
        <v>26.54</v>
      </c>
      <c r="G496" s="4" t="n">
        <v>265.46</v>
      </c>
      <c r="H496" s="2" t="s">
        <v>1381</v>
      </c>
    </row>
    <row r="497" customFormat="false" ht="15" hidden="false" customHeight="false" outlineLevel="0" collapsed="false">
      <c r="A497" s="2" t="s">
        <v>14</v>
      </c>
      <c r="B497" s="2" t="s">
        <v>1817</v>
      </c>
      <c r="C497" s="2" t="s">
        <v>2308</v>
      </c>
      <c r="D497" s="2" t="s">
        <v>1819</v>
      </c>
      <c r="E497" s="4" t="n">
        <v>265.21</v>
      </c>
      <c r="F497" s="4" t="n">
        <v>24.11</v>
      </c>
      <c r="G497" s="4" t="n">
        <v>241.1</v>
      </c>
      <c r="H497" s="2" t="s">
        <v>1385</v>
      </c>
    </row>
    <row r="498" customFormat="false" ht="15" hidden="false" customHeight="false" outlineLevel="0" collapsed="false">
      <c r="A498" s="2" t="s">
        <v>14</v>
      </c>
      <c r="B498" s="2" t="s">
        <v>984</v>
      </c>
      <c r="C498" s="2" t="s">
        <v>1104</v>
      </c>
      <c r="D498" s="2" t="s">
        <v>986</v>
      </c>
      <c r="E498" s="4" t="n">
        <v>36.1</v>
      </c>
      <c r="F498" s="4" t="n">
        <v>3.29</v>
      </c>
      <c r="G498" s="4" t="n">
        <v>32.81</v>
      </c>
      <c r="H498" s="2" t="s">
        <v>1381</v>
      </c>
    </row>
    <row r="499" customFormat="false" ht="15" hidden="false" customHeight="false" outlineLevel="0" collapsed="false">
      <c r="A499" s="2" t="s">
        <v>14</v>
      </c>
      <c r="B499" s="2" t="s">
        <v>1583</v>
      </c>
      <c r="C499" s="2" t="s">
        <v>2309</v>
      </c>
      <c r="D499" s="2" t="s">
        <v>1585</v>
      </c>
      <c r="E499" s="4" t="n">
        <v>169.43</v>
      </c>
      <c r="F499" s="4" t="n">
        <v>15.41</v>
      </c>
      <c r="G499" s="4" t="n">
        <v>154.02</v>
      </c>
      <c r="H499" s="2" t="s">
        <v>1385</v>
      </c>
    </row>
    <row r="500" customFormat="false" ht="15" hidden="false" customHeight="false" outlineLevel="0" collapsed="false">
      <c r="A500" s="2" t="s">
        <v>14</v>
      </c>
      <c r="B500" s="2" t="s">
        <v>924</v>
      </c>
      <c r="C500" s="2" t="s">
        <v>1162</v>
      </c>
      <c r="D500" s="2" t="s">
        <v>926</v>
      </c>
      <c r="E500" s="4" t="n">
        <v>34.65</v>
      </c>
      <c r="F500" s="4" t="n">
        <v>3.15</v>
      </c>
      <c r="G500" s="4" t="n">
        <v>31.5</v>
      </c>
      <c r="H500" s="2" t="s">
        <v>1381</v>
      </c>
    </row>
    <row r="501" customFormat="false" ht="15" hidden="false" customHeight="false" outlineLevel="0" collapsed="false">
      <c r="A501" s="2" t="s">
        <v>14</v>
      </c>
      <c r="B501" s="2" t="s">
        <v>1520</v>
      </c>
      <c r="C501" s="2" t="s">
        <v>2310</v>
      </c>
      <c r="D501" s="2" t="s">
        <v>1522</v>
      </c>
      <c r="E501" s="4" t="n">
        <v>108.97</v>
      </c>
      <c r="F501" s="4" t="n">
        <v>9.91</v>
      </c>
      <c r="G501" s="4" t="n">
        <v>99.06</v>
      </c>
      <c r="H501" s="2" t="s">
        <v>1385</v>
      </c>
    </row>
    <row r="502" customFormat="false" ht="15" hidden="false" customHeight="false" outlineLevel="0" collapsed="false">
      <c r="A502" s="2" t="s">
        <v>14</v>
      </c>
      <c r="B502" s="2" t="s">
        <v>1592</v>
      </c>
      <c r="C502" s="2" t="s">
        <v>2311</v>
      </c>
      <c r="D502" s="2" t="s">
        <v>1594</v>
      </c>
      <c r="E502" s="4" t="n">
        <v>87.79</v>
      </c>
      <c r="F502" s="4" t="n">
        <v>7.99</v>
      </c>
      <c r="G502" s="4" t="n">
        <v>79.8</v>
      </c>
      <c r="H502" s="2" t="s">
        <v>1385</v>
      </c>
    </row>
    <row r="503" customFormat="false" ht="15" hidden="false" customHeight="false" outlineLevel="0" collapsed="false">
      <c r="A503" s="2" t="s">
        <v>14</v>
      </c>
      <c r="B503" s="2" t="s">
        <v>1715</v>
      </c>
      <c r="C503" s="2" t="s">
        <v>2312</v>
      </c>
      <c r="D503" s="2" t="s">
        <v>1717</v>
      </c>
      <c r="E503" s="4" t="n">
        <v>963.32</v>
      </c>
      <c r="F503" s="4" t="n">
        <v>87.58</v>
      </c>
      <c r="G503" s="4" t="n">
        <v>875.74</v>
      </c>
      <c r="H503" s="2" t="s">
        <v>1385</v>
      </c>
    </row>
    <row r="504" customFormat="false" ht="15" hidden="false" customHeight="false" outlineLevel="0" collapsed="false">
      <c r="A504" s="2" t="s">
        <v>14</v>
      </c>
      <c r="B504" s="2" t="s">
        <v>1217</v>
      </c>
      <c r="C504" s="2" t="s">
        <v>1296</v>
      </c>
      <c r="D504" s="2" t="s">
        <v>1219</v>
      </c>
      <c r="E504" s="4" t="n">
        <v>27.79</v>
      </c>
      <c r="F504" s="4" t="n">
        <v>2.53</v>
      </c>
      <c r="G504" s="4" t="n">
        <v>25.26</v>
      </c>
      <c r="H504" s="2" t="s">
        <v>1381</v>
      </c>
    </row>
    <row r="505" customFormat="false" ht="15" hidden="false" customHeight="false" outlineLevel="0" collapsed="false">
      <c r="A505" s="2" t="s">
        <v>14</v>
      </c>
      <c r="B505" s="2" t="s">
        <v>1610</v>
      </c>
      <c r="C505" s="2" t="s">
        <v>2313</v>
      </c>
      <c r="D505" s="2" t="s">
        <v>1612</v>
      </c>
      <c r="E505" s="4" t="n">
        <v>42.8</v>
      </c>
      <c r="F505" s="4" t="n">
        <v>3.9</v>
      </c>
      <c r="G505" s="4" t="n">
        <v>38.9</v>
      </c>
      <c r="H505" s="2" t="s">
        <v>1385</v>
      </c>
    </row>
    <row r="506" customFormat="false" ht="15" hidden="false" customHeight="false" outlineLevel="0" collapsed="false">
      <c r="A506" s="2" t="s">
        <v>14</v>
      </c>
      <c r="B506" s="2" t="s">
        <v>1883</v>
      </c>
      <c r="C506" s="2" t="s">
        <v>2314</v>
      </c>
      <c r="D506" s="2" t="s">
        <v>1885</v>
      </c>
      <c r="E506" s="4" t="n">
        <v>83.13</v>
      </c>
      <c r="F506" s="4" t="n">
        <v>7.56</v>
      </c>
      <c r="G506" s="4" t="n">
        <v>75.57</v>
      </c>
      <c r="H506" s="2" t="s">
        <v>1385</v>
      </c>
    </row>
    <row r="507" customFormat="false" ht="15" hidden="false" customHeight="false" outlineLevel="0" collapsed="false">
      <c r="A507" s="2" t="s">
        <v>14</v>
      </c>
      <c r="B507" s="2" t="s">
        <v>1892</v>
      </c>
      <c r="C507" s="2" t="s">
        <v>2315</v>
      </c>
      <c r="D507" s="2" t="s">
        <v>1894</v>
      </c>
      <c r="E507" s="4" t="n">
        <v>0</v>
      </c>
      <c r="F507" s="4" t="n">
        <v>0</v>
      </c>
      <c r="G507" s="4" t="n">
        <v>0</v>
      </c>
      <c r="H507" s="2" t="s">
        <v>1385</v>
      </c>
    </row>
    <row r="508" customFormat="false" ht="15" hidden="false" customHeight="false" outlineLevel="0" collapsed="false">
      <c r="A508" s="2" t="s">
        <v>14</v>
      </c>
      <c r="B508" s="2" t="s">
        <v>1670</v>
      </c>
      <c r="C508" s="2" t="s">
        <v>2316</v>
      </c>
      <c r="D508" s="2" t="s">
        <v>1672</v>
      </c>
      <c r="E508" s="4" t="n">
        <v>1042.19</v>
      </c>
      <c r="F508" s="4" t="n">
        <v>94.75</v>
      </c>
      <c r="G508" s="4" t="n">
        <v>947.44</v>
      </c>
      <c r="H508" s="2" t="s">
        <v>1385</v>
      </c>
    </row>
    <row r="509" customFormat="false" ht="15" hidden="false" customHeight="false" outlineLevel="0" collapsed="false">
      <c r="A509" s="2" t="s">
        <v>14</v>
      </c>
      <c r="B509" s="2" t="s">
        <v>1224</v>
      </c>
      <c r="C509" s="2" t="s">
        <v>1302</v>
      </c>
      <c r="D509" s="2" t="s">
        <v>1226</v>
      </c>
      <c r="E509" s="4" t="n">
        <v>30.67</v>
      </c>
      <c r="F509" s="4" t="n">
        <v>2.79</v>
      </c>
      <c r="G509" s="4" t="n">
        <v>27.88</v>
      </c>
      <c r="H509" s="2" t="s">
        <v>1381</v>
      </c>
    </row>
    <row r="510" customFormat="false" ht="15" hidden="false" customHeight="false" outlineLevel="0" collapsed="false">
      <c r="A510" s="2" t="s">
        <v>14</v>
      </c>
      <c r="B510" s="2" t="s">
        <v>519</v>
      </c>
      <c r="C510" s="2" t="s">
        <v>520</v>
      </c>
      <c r="D510" s="2" t="s">
        <v>521</v>
      </c>
      <c r="E510" s="4" t="n">
        <v>115.03</v>
      </c>
      <c r="F510" s="4" t="n">
        <v>10.46</v>
      </c>
      <c r="G510" s="4" t="n">
        <v>104.57</v>
      </c>
      <c r="H510" s="2" t="s">
        <v>1381</v>
      </c>
    </row>
    <row r="511" customFormat="false" ht="15" hidden="false" customHeight="false" outlineLevel="0" collapsed="false">
      <c r="A511" s="2" t="s">
        <v>14</v>
      </c>
      <c r="B511" s="2" t="s">
        <v>1577</v>
      </c>
      <c r="C511" s="2" t="s">
        <v>2317</v>
      </c>
      <c r="D511" s="2" t="s">
        <v>1579</v>
      </c>
      <c r="E511" s="4" t="n">
        <v>96.28</v>
      </c>
      <c r="F511" s="4" t="n">
        <v>8.76</v>
      </c>
      <c r="G511" s="4" t="n">
        <v>87.52</v>
      </c>
      <c r="H511" s="2" t="s">
        <v>1385</v>
      </c>
    </row>
    <row r="512" customFormat="false" ht="15" hidden="false" customHeight="false" outlineLevel="0" collapsed="false">
      <c r="A512" s="2" t="s">
        <v>14</v>
      </c>
      <c r="B512" s="2" t="s">
        <v>116</v>
      </c>
      <c r="C512" s="2" t="s">
        <v>117</v>
      </c>
      <c r="D512" s="2" t="s">
        <v>118</v>
      </c>
      <c r="E512" s="4" t="n">
        <v>252.29</v>
      </c>
      <c r="F512" s="4" t="n">
        <v>22.94</v>
      </c>
      <c r="G512" s="4" t="n">
        <v>229.35</v>
      </c>
      <c r="H512" s="2" t="s">
        <v>1381</v>
      </c>
    </row>
    <row r="513" customFormat="false" ht="15" hidden="false" customHeight="false" outlineLevel="0" collapsed="false">
      <c r="A513" s="2" t="s">
        <v>14</v>
      </c>
      <c r="B513" s="2" t="s">
        <v>931</v>
      </c>
      <c r="C513" s="2" t="s">
        <v>1100</v>
      </c>
      <c r="D513" s="2" t="s">
        <v>933</v>
      </c>
      <c r="E513" s="4" t="n">
        <v>39.52</v>
      </c>
      <c r="F513" s="4" t="n">
        <v>3.6</v>
      </c>
      <c r="G513" s="4" t="n">
        <v>35.92</v>
      </c>
      <c r="H513" s="2" t="s">
        <v>1381</v>
      </c>
    </row>
    <row r="514" customFormat="false" ht="15" hidden="false" customHeight="false" outlineLevel="0" collapsed="false">
      <c r="A514" s="2" t="s">
        <v>14</v>
      </c>
      <c r="B514" s="2" t="s">
        <v>1763</v>
      </c>
      <c r="C514" s="2" t="s">
        <v>2318</v>
      </c>
      <c r="D514" s="2" t="s">
        <v>1765</v>
      </c>
      <c r="E514" s="4" t="n">
        <v>60.19</v>
      </c>
      <c r="F514" s="4" t="n">
        <v>5.48</v>
      </c>
      <c r="G514" s="4" t="n">
        <v>54.71</v>
      </c>
      <c r="H514" s="2" t="s">
        <v>1385</v>
      </c>
    </row>
    <row r="515" customFormat="false" ht="15" hidden="false" customHeight="false" outlineLevel="0" collapsed="false">
      <c r="A515" s="2" t="s">
        <v>14</v>
      </c>
      <c r="B515" s="2" t="s">
        <v>1535</v>
      </c>
      <c r="C515" s="2" t="s">
        <v>2319</v>
      </c>
      <c r="D515" s="2" t="s">
        <v>1537</v>
      </c>
      <c r="E515" s="4" t="n">
        <v>112.59</v>
      </c>
      <c r="F515" s="4" t="n">
        <v>10.24</v>
      </c>
      <c r="G515" s="4" t="n">
        <v>102.35</v>
      </c>
      <c r="H515" s="2" t="s">
        <v>1385</v>
      </c>
    </row>
    <row r="516" customFormat="false" ht="15" hidden="false" customHeight="false" outlineLevel="0" collapsed="false">
      <c r="A516" s="2" t="s">
        <v>14</v>
      </c>
      <c r="B516" s="2" t="s">
        <v>1691</v>
      </c>
      <c r="C516" s="2" t="s">
        <v>2320</v>
      </c>
      <c r="D516" s="2" t="s">
        <v>1693</v>
      </c>
      <c r="E516" s="4" t="n">
        <v>1235.97</v>
      </c>
      <c r="F516" s="4" t="n">
        <v>112.37</v>
      </c>
      <c r="G516" s="4" t="n">
        <v>1123.6</v>
      </c>
      <c r="H516" s="2" t="s">
        <v>1385</v>
      </c>
    </row>
    <row r="517" customFormat="false" ht="15" hidden="false" customHeight="false" outlineLevel="0" collapsed="false">
      <c r="A517" s="2" t="s">
        <v>14</v>
      </c>
      <c r="B517" s="2" t="s">
        <v>1826</v>
      </c>
      <c r="C517" s="2" t="s">
        <v>2321</v>
      </c>
      <c r="D517" s="2" t="s">
        <v>1828</v>
      </c>
      <c r="E517" s="4" t="n">
        <v>715.02</v>
      </c>
      <c r="F517" s="4" t="n">
        <v>73.27</v>
      </c>
      <c r="G517" s="4" t="n">
        <v>641.75</v>
      </c>
      <c r="H517" s="2" t="s">
        <v>1385</v>
      </c>
    </row>
    <row r="518" customFormat="false" ht="15" hidden="false" customHeight="false" outlineLevel="0" collapsed="false">
      <c r="A518" s="2" t="s">
        <v>14</v>
      </c>
      <c r="B518" s="2" t="s">
        <v>1613</v>
      </c>
      <c r="C518" s="2" t="s">
        <v>2322</v>
      </c>
      <c r="D518" s="2" t="s">
        <v>1615</v>
      </c>
      <c r="E518" s="4" t="n">
        <v>97.24</v>
      </c>
      <c r="F518" s="4" t="n">
        <v>8.84</v>
      </c>
      <c r="G518" s="4" t="n">
        <v>88.4</v>
      </c>
      <c r="H518" s="2" t="s">
        <v>1385</v>
      </c>
    </row>
    <row r="519" customFormat="false" ht="15" hidden="false" customHeight="false" outlineLevel="0" collapsed="false">
      <c r="A519" s="2" t="s">
        <v>14</v>
      </c>
      <c r="B519" s="2" t="s">
        <v>1243</v>
      </c>
      <c r="C519" s="2" t="s">
        <v>1306</v>
      </c>
      <c r="D519" s="2" t="s">
        <v>1245</v>
      </c>
      <c r="E519" s="4" t="n">
        <v>27.79</v>
      </c>
      <c r="F519" s="4" t="n">
        <v>2.53</v>
      </c>
      <c r="G519" s="4" t="n">
        <v>25.26</v>
      </c>
      <c r="H519" s="2" t="s">
        <v>1381</v>
      </c>
    </row>
    <row r="520" customFormat="false" ht="15" hidden="false" customHeight="false" outlineLevel="0" collapsed="false">
      <c r="A520" s="2" t="s">
        <v>14</v>
      </c>
      <c r="B520" s="2" t="s">
        <v>1742</v>
      </c>
      <c r="C520" s="2" t="s">
        <v>2323</v>
      </c>
      <c r="D520" s="2" t="s">
        <v>1744</v>
      </c>
      <c r="E520" s="4" t="n">
        <v>562.09</v>
      </c>
      <c r="F520" s="4" t="n">
        <v>51.1</v>
      </c>
      <c r="G520" s="4" t="n">
        <v>510.99</v>
      </c>
      <c r="H520" s="2" t="s">
        <v>1385</v>
      </c>
    </row>
    <row r="521" customFormat="false" ht="15" hidden="false" customHeight="false" outlineLevel="0" collapsed="false">
      <c r="A521" s="2" t="s">
        <v>14</v>
      </c>
      <c r="B521" s="2" t="s">
        <v>1811</v>
      </c>
      <c r="C521" s="2" t="s">
        <v>2324</v>
      </c>
      <c r="D521" s="2" t="s">
        <v>1813</v>
      </c>
      <c r="E521" s="4" t="n">
        <v>46.63</v>
      </c>
      <c r="F521" s="4" t="n">
        <v>4.24</v>
      </c>
      <c r="G521" s="4" t="n">
        <v>42.39</v>
      </c>
      <c r="H521" s="2" t="s">
        <v>1385</v>
      </c>
    </row>
    <row r="522" customFormat="false" ht="15" hidden="false" customHeight="false" outlineLevel="0" collapsed="false">
      <c r="A522" s="2" t="s">
        <v>14</v>
      </c>
      <c r="B522" s="2" t="s">
        <v>1574</v>
      </c>
      <c r="C522" s="2" t="s">
        <v>2325</v>
      </c>
      <c r="D522" s="2" t="s">
        <v>1576</v>
      </c>
      <c r="E522" s="4" t="n">
        <v>319.52</v>
      </c>
      <c r="F522" s="4" t="n">
        <v>29.05</v>
      </c>
      <c r="G522" s="4" t="n">
        <v>290.47</v>
      </c>
      <c r="H522" s="2" t="s">
        <v>1385</v>
      </c>
    </row>
    <row r="523" customFormat="false" ht="15" hidden="false" customHeight="false" outlineLevel="0" collapsed="false">
      <c r="A523" s="2" t="s">
        <v>14</v>
      </c>
      <c r="B523" s="2" t="s">
        <v>1847</v>
      </c>
      <c r="C523" s="2" t="s">
        <v>2326</v>
      </c>
      <c r="D523" s="2" t="s">
        <v>1849</v>
      </c>
      <c r="E523" s="4" t="n">
        <v>90.15</v>
      </c>
      <c r="F523" s="4" t="n">
        <v>8.2</v>
      </c>
      <c r="G523" s="4" t="n">
        <v>81.95</v>
      </c>
      <c r="H523" s="2" t="s">
        <v>1385</v>
      </c>
    </row>
    <row r="524" customFormat="false" ht="15" hidden="false" customHeight="false" outlineLevel="0" collapsed="false">
      <c r="A524" s="2" t="s">
        <v>14</v>
      </c>
      <c r="B524" s="2" t="s">
        <v>1859</v>
      </c>
      <c r="C524" s="2" t="s">
        <v>2327</v>
      </c>
      <c r="D524" s="2" t="s">
        <v>1861</v>
      </c>
      <c r="E524" s="4" t="n">
        <v>44.29</v>
      </c>
      <c r="F524" s="4" t="n">
        <v>4.03</v>
      </c>
      <c r="G524" s="4" t="n">
        <v>40.26</v>
      </c>
      <c r="H524" s="2" t="s">
        <v>1385</v>
      </c>
    </row>
    <row r="525" customFormat="false" ht="15" hidden="false" customHeight="false" outlineLevel="0" collapsed="false">
      <c r="A525" s="2" t="s">
        <v>14</v>
      </c>
      <c r="B525" s="2" t="s">
        <v>1601</v>
      </c>
      <c r="C525" s="2" t="s">
        <v>2328</v>
      </c>
      <c r="D525" s="2" t="s">
        <v>1603</v>
      </c>
      <c r="E525" s="4" t="n">
        <v>27.79</v>
      </c>
      <c r="F525" s="4" t="n">
        <v>2.53</v>
      </c>
      <c r="G525" s="4" t="n">
        <v>25.26</v>
      </c>
      <c r="H525" s="2" t="s">
        <v>1385</v>
      </c>
    </row>
    <row r="526" customFormat="false" ht="15" hidden="false" customHeight="false" outlineLevel="0" collapsed="false">
      <c r="A526" s="2" t="s">
        <v>14</v>
      </c>
      <c r="B526" s="2" t="s">
        <v>1580</v>
      </c>
      <c r="C526" s="2" t="s">
        <v>2329</v>
      </c>
      <c r="D526" s="2" t="s">
        <v>1582</v>
      </c>
      <c r="E526" s="4" t="n">
        <v>1191.94</v>
      </c>
      <c r="F526" s="4" t="n">
        <v>108.36</v>
      </c>
      <c r="G526" s="4" t="n">
        <v>1083.58</v>
      </c>
      <c r="H526" s="2" t="s">
        <v>1385</v>
      </c>
    </row>
    <row r="527" customFormat="false" ht="15" hidden="false" customHeight="false" outlineLevel="0" collapsed="false">
      <c r="A527" s="2" t="s">
        <v>14</v>
      </c>
      <c r="B527" s="2" t="s">
        <v>1526</v>
      </c>
      <c r="C527" s="2" t="s">
        <v>2330</v>
      </c>
      <c r="D527" s="2" t="s">
        <v>1528</v>
      </c>
      <c r="E527" s="4" t="n">
        <v>38.81</v>
      </c>
      <c r="F527" s="4" t="n">
        <v>3.53</v>
      </c>
      <c r="G527" s="4" t="n">
        <v>35.28</v>
      </c>
      <c r="H527" s="2" t="s">
        <v>1385</v>
      </c>
    </row>
    <row r="528" customFormat="false" ht="15" hidden="false" customHeight="false" outlineLevel="0" collapsed="false">
      <c r="A528" s="2" t="s">
        <v>14</v>
      </c>
      <c r="B528" s="2" t="s">
        <v>1814</v>
      </c>
      <c r="C528" s="2" t="s">
        <v>2331</v>
      </c>
      <c r="D528" s="2" t="s">
        <v>1816</v>
      </c>
      <c r="E528" s="4" t="n">
        <v>37.96</v>
      </c>
      <c r="F528" s="4" t="n">
        <v>3.46</v>
      </c>
      <c r="G528" s="4" t="n">
        <v>34.5</v>
      </c>
      <c r="H528" s="2" t="s">
        <v>1385</v>
      </c>
    </row>
    <row r="529" customFormat="false" ht="15" hidden="false" customHeight="false" outlineLevel="0" collapsed="false">
      <c r="A529" s="2" t="s">
        <v>14</v>
      </c>
      <c r="B529" s="2" t="s">
        <v>1874</v>
      </c>
      <c r="C529" s="2" t="s">
        <v>2332</v>
      </c>
      <c r="D529" s="2" t="s">
        <v>1876</v>
      </c>
      <c r="E529" s="4" t="n">
        <v>35.82</v>
      </c>
      <c r="F529" s="4" t="n">
        <v>3.26</v>
      </c>
      <c r="G529" s="4" t="n">
        <v>32.56</v>
      </c>
      <c r="H529" s="2" t="s">
        <v>1385</v>
      </c>
    </row>
    <row r="530" customFormat="false" ht="15" hidden="false" customHeight="false" outlineLevel="0" collapsed="false">
      <c r="A530" s="2" t="s">
        <v>14</v>
      </c>
      <c r="B530" s="2" t="s">
        <v>1643</v>
      </c>
      <c r="C530" s="2" t="s">
        <v>2333</v>
      </c>
      <c r="D530" s="2" t="s">
        <v>1645</v>
      </c>
      <c r="E530" s="4" t="n">
        <v>35.83</v>
      </c>
      <c r="F530" s="4" t="n">
        <v>3.26</v>
      </c>
      <c r="G530" s="4" t="n">
        <v>32.57</v>
      </c>
      <c r="H530" s="2" t="s">
        <v>1385</v>
      </c>
    </row>
    <row r="531" customFormat="false" ht="15" hidden="false" customHeight="false" outlineLevel="0" collapsed="false">
      <c r="A531" s="2" t="s">
        <v>14</v>
      </c>
      <c r="B531" s="2" t="s">
        <v>1889</v>
      </c>
      <c r="C531" s="2" t="s">
        <v>2334</v>
      </c>
      <c r="D531" s="2" t="s">
        <v>1891</v>
      </c>
      <c r="E531" s="4" t="n">
        <v>818.1</v>
      </c>
      <c r="F531" s="4" t="n">
        <v>74.38</v>
      </c>
      <c r="G531" s="4" t="n">
        <v>743.72</v>
      </c>
      <c r="H531" s="2" t="s">
        <v>1385</v>
      </c>
    </row>
    <row r="532" customFormat="false" ht="15" hidden="false" customHeight="false" outlineLevel="0" collapsed="false">
      <c r="A532" s="2" t="s">
        <v>14</v>
      </c>
      <c r="B532" s="2" t="s">
        <v>1568</v>
      </c>
      <c r="C532" s="2" t="s">
        <v>2335</v>
      </c>
      <c r="D532" s="2" t="s">
        <v>1570</v>
      </c>
      <c r="E532" s="4" t="n">
        <v>125.68</v>
      </c>
      <c r="F532" s="4" t="n">
        <v>11.43</v>
      </c>
      <c r="G532" s="4" t="n">
        <v>114.25</v>
      </c>
      <c r="H532" s="2" t="s">
        <v>1385</v>
      </c>
    </row>
    <row r="533" customFormat="false" ht="15" hidden="false" customHeight="false" outlineLevel="0" collapsed="false">
      <c r="A533" s="2" t="s">
        <v>14</v>
      </c>
      <c r="B533" s="2" t="s">
        <v>1586</v>
      </c>
      <c r="C533" s="2" t="s">
        <v>2336</v>
      </c>
      <c r="D533" s="2" t="s">
        <v>1588</v>
      </c>
      <c r="E533" s="4" t="n">
        <v>729.8</v>
      </c>
      <c r="F533" s="4" t="n">
        <v>66.34</v>
      </c>
      <c r="G533" s="4" t="n">
        <v>663.46</v>
      </c>
      <c r="H533" s="2" t="s">
        <v>1385</v>
      </c>
    </row>
    <row r="534" customFormat="false" ht="15" hidden="false" customHeight="false" outlineLevel="0" collapsed="false">
      <c r="A534" s="2" t="s">
        <v>14</v>
      </c>
      <c r="B534" s="2" t="s">
        <v>911</v>
      </c>
      <c r="C534" s="2" t="s">
        <v>1156</v>
      </c>
      <c r="D534" s="2" t="s">
        <v>913</v>
      </c>
      <c r="E534" s="4" t="n">
        <v>63.99</v>
      </c>
      <c r="F534" s="4" t="n">
        <v>5.81</v>
      </c>
      <c r="G534" s="4" t="n">
        <v>58.18</v>
      </c>
      <c r="H534" s="2" t="s">
        <v>1381</v>
      </c>
    </row>
    <row r="535" customFormat="false" ht="15" hidden="false" customHeight="false" outlineLevel="0" collapsed="false">
      <c r="A535" s="2" t="s">
        <v>14</v>
      </c>
      <c r="B535" s="2" t="s">
        <v>1694</v>
      </c>
      <c r="C535" s="2" t="s">
        <v>2337</v>
      </c>
      <c r="D535" s="2" t="s">
        <v>1696</v>
      </c>
      <c r="E535" s="4" t="n">
        <v>-133.67</v>
      </c>
      <c r="F535" s="4" t="n">
        <v>-12.15</v>
      </c>
      <c r="G535" s="4" t="n">
        <v>-121.52</v>
      </c>
      <c r="H535" s="2" t="s">
        <v>1385</v>
      </c>
    </row>
    <row r="536" customFormat="false" ht="15" hidden="false" customHeight="false" outlineLevel="0" collapsed="false">
      <c r="A536" s="2" t="s">
        <v>18</v>
      </c>
      <c r="B536" s="2" t="s">
        <v>2338</v>
      </c>
      <c r="C536" s="2" t="s">
        <v>2339</v>
      </c>
      <c r="D536" s="2" t="s">
        <v>2340</v>
      </c>
      <c r="E536" s="4" t="n">
        <v>0</v>
      </c>
      <c r="F536" s="4" t="n">
        <v>0</v>
      </c>
      <c r="G536" s="4" t="n">
        <v>0</v>
      </c>
      <c r="H536" s="2" t="s">
        <v>1385</v>
      </c>
    </row>
    <row r="537" customFormat="false" ht="15" hidden="false" customHeight="false" outlineLevel="0" collapsed="false">
      <c r="A537" s="2" t="s">
        <v>18</v>
      </c>
      <c r="B537" s="2" t="s">
        <v>2341</v>
      </c>
      <c r="C537" s="2" t="s">
        <v>2342</v>
      </c>
      <c r="D537" s="2" t="s">
        <v>2343</v>
      </c>
      <c r="E537" s="4" t="n">
        <v>0</v>
      </c>
      <c r="F537" s="4" t="n">
        <v>0</v>
      </c>
      <c r="G537" s="4" t="n">
        <v>0</v>
      </c>
      <c r="H537" s="2" t="s">
        <v>1385</v>
      </c>
    </row>
    <row r="538" customFormat="false" ht="15" hidden="false" customHeight="false" outlineLevel="0" collapsed="false">
      <c r="A538" s="2" t="s">
        <v>18</v>
      </c>
      <c r="B538" s="2" t="s">
        <v>2344</v>
      </c>
      <c r="C538" s="2" t="s">
        <v>2345</v>
      </c>
      <c r="D538" s="2" t="s">
        <v>2346</v>
      </c>
      <c r="E538" s="4" t="n">
        <v>0</v>
      </c>
      <c r="F538" s="4" t="n">
        <v>0</v>
      </c>
      <c r="G538" s="4" t="n">
        <v>0</v>
      </c>
      <c r="H538" s="2" t="s">
        <v>1385</v>
      </c>
    </row>
    <row r="539" customFormat="false" ht="15" hidden="false" customHeight="false" outlineLevel="0" collapsed="false">
      <c r="A539" s="2" t="s">
        <v>18</v>
      </c>
      <c r="B539" s="2" t="s">
        <v>2347</v>
      </c>
      <c r="C539" s="2" t="s">
        <v>2348</v>
      </c>
      <c r="D539" s="2" t="s">
        <v>2349</v>
      </c>
      <c r="E539" s="4" t="n">
        <v>0</v>
      </c>
      <c r="F539" s="4" t="n">
        <v>0</v>
      </c>
      <c r="G539" s="4" t="n">
        <v>0</v>
      </c>
      <c r="H539" s="2" t="s">
        <v>1385</v>
      </c>
    </row>
    <row r="540" customFormat="false" ht="15" hidden="false" customHeight="false" outlineLevel="0" collapsed="false">
      <c r="A540" s="2" t="s">
        <v>18</v>
      </c>
      <c r="B540" s="2" t="s">
        <v>2350</v>
      </c>
      <c r="C540" s="2" t="s">
        <v>2351</v>
      </c>
      <c r="D540" s="2" t="s">
        <v>2352</v>
      </c>
      <c r="E540" s="4" t="n">
        <v>0</v>
      </c>
      <c r="F540" s="4" t="n">
        <v>0</v>
      </c>
      <c r="G540" s="4" t="n">
        <v>0</v>
      </c>
      <c r="H540" s="2" t="s">
        <v>1385</v>
      </c>
    </row>
    <row r="541" customFormat="false" ht="15" hidden="false" customHeight="false" outlineLevel="0" collapsed="false">
      <c r="A541" s="2" t="s">
        <v>18</v>
      </c>
      <c r="B541" s="2" t="s">
        <v>1389</v>
      </c>
      <c r="C541" s="2" t="s">
        <v>2353</v>
      </c>
      <c r="D541" s="2" t="s">
        <v>1391</v>
      </c>
      <c r="E541" s="4" t="n">
        <v>283.98</v>
      </c>
      <c r="F541" s="4" t="n">
        <v>25.82</v>
      </c>
      <c r="G541" s="4" t="n">
        <v>258.16</v>
      </c>
      <c r="H541" s="2" t="s">
        <v>1385</v>
      </c>
    </row>
    <row r="542" customFormat="false" ht="15" hidden="false" customHeight="false" outlineLevel="0" collapsed="false">
      <c r="A542" s="2" t="s">
        <v>18</v>
      </c>
      <c r="B542" s="2" t="s">
        <v>1853</v>
      </c>
      <c r="C542" s="2" t="s">
        <v>2354</v>
      </c>
      <c r="D542" s="2" t="s">
        <v>1855</v>
      </c>
      <c r="E542" s="4" t="n">
        <v>2355.94</v>
      </c>
      <c r="F542" s="4" t="n">
        <v>214.18</v>
      </c>
      <c r="G542" s="4" t="n">
        <v>2141.76</v>
      </c>
      <c r="H542" s="2" t="s">
        <v>1385</v>
      </c>
    </row>
    <row r="543" customFormat="false" ht="15" hidden="false" customHeight="false" outlineLevel="0" collapsed="false">
      <c r="A543" s="2" t="s">
        <v>18</v>
      </c>
      <c r="B543" s="2" t="s">
        <v>609</v>
      </c>
      <c r="C543" s="2" t="s">
        <v>610</v>
      </c>
      <c r="D543" s="2" t="s">
        <v>611</v>
      </c>
      <c r="E543" s="4" t="n">
        <v>109.73</v>
      </c>
      <c r="F543" s="4" t="n">
        <v>9.98</v>
      </c>
      <c r="G543" s="4" t="n">
        <v>99.75</v>
      </c>
      <c r="H543" s="2" t="s">
        <v>1381</v>
      </c>
    </row>
    <row r="544" customFormat="false" ht="15" hidden="false" customHeight="false" outlineLevel="0" collapsed="false">
      <c r="A544" s="2" t="s">
        <v>18</v>
      </c>
      <c r="B544" s="2" t="s">
        <v>1392</v>
      </c>
      <c r="C544" s="2" t="s">
        <v>2355</v>
      </c>
      <c r="D544" s="2" t="s">
        <v>1394</v>
      </c>
      <c r="E544" s="4" t="n">
        <v>163.12</v>
      </c>
      <c r="F544" s="4" t="n">
        <v>14.83</v>
      </c>
      <c r="G544" s="4" t="n">
        <v>148.29</v>
      </c>
      <c r="H544" s="2" t="s">
        <v>1385</v>
      </c>
    </row>
    <row r="545" customFormat="false" ht="15" hidden="false" customHeight="false" outlineLevel="0" collapsed="false">
      <c r="A545" s="2" t="s">
        <v>18</v>
      </c>
      <c r="B545" s="2" t="s">
        <v>1676</v>
      </c>
      <c r="C545" s="2" t="s">
        <v>2356</v>
      </c>
      <c r="D545" s="2" t="s">
        <v>1678</v>
      </c>
      <c r="E545" s="4" t="n">
        <v>3123.99</v>
      </c>
      <c r="F545" s="4" t="n">
        <v>284</v>
      </c>
      <c r="G545" s="4" t="n">
        <v>2839.99</v>
      </c>
      <c r="H545" s="2" t="s">
        <v>1385</v>
      </c>
    </row>
    <row r="546" customFormat="false" ht="15" hidden="false" customHeight="false" outlineLevel="0" collapsed="false">
      <c r="A546" s="2" t="s">
        <v>18</v>
      </c>
      <c r="B546" s="2" t="s">
        <v>1382</v>
      </c>
      <c r="C546" s="2" t="s">
        <v>2357</v>
      </c>
      <c r="D546" s="2" t="s">
        <v>1384</v>
      </c>
      <c r="E546" s="4" t="n">
        <v>190.02</v>
      </c>
      <c r="F546" s="4" t="n">
        <v>17.27</v>
      </c>
      <c r="G546" s="4" t="n">
        <v>172.75</v>
      </c>
      <c r="H546" s="2" t="s">
        <v>1385</v>
      </c>
    </row>
    <row r="547" customFormat="false" ht="15" hidden="false" customHeight="false" outlineLevel="0" collapsed="false">
      <c r="A547" s="2" t="s">
        <v>18</v>
      </c>
      <c r="B547" s="2" t="s">
        <v>1398</v>
      </c>
      <c r="C547" s="2" t="s">
        <v>2358</v>
      </c>
      <c r="D547" s="2" t="s">
        <v>1400</v>
      </c>
      <c r="E547" s="4" t="n">
        <v>390.23</v>
      </c>
      <c r="F547" s="4" t="n">
        <v>35.48</v>
      </c>
      <c r="G547" s="4" t="n">
        <v>354.75</v>
      </c>
      <c r="H547" s="2" t="s">
        <v>1385</v>
      </c>
    </row>
    <row r="548" customFormat="false" ht="15" hidden="false" customHeight="false" outlineLevel="0" collapsed="false">
      <c r="A548" s="2" t="s">
        <v>18</v>
      </c>
      <c r="B548" s="2" t="s">
        <v>1401</v>
      </c>
      <c r="C548" s="2" t="s">
        <v>2359</v>
      </c>
      <c r="D548" s="2" t="s">
        <v>1403</v>
      </c>
      <c r="E548" s="4" t="n">
        <v>194.2</v>
      </c>
      <c r="F548" s="4" t="n">
        <v>17.65</v>
      </c>
      <c r="G548" s="4" t="n">
        <v>176.55</v>
      </c>
      <c r="H548" s="2" t="s">
        <v>1385</v>
      </c>
    </row>
    <row r="549" customFormat="false" ht="15" hidden="false" customHeight="false" outlineLevel="0" collapsed="false">
      <c r="A549" s="2" t="s">
        <v>18</v>
      </c>
      <c r="B549" s="2" t="s">
        <v>616</v>
      </c>
      <c r="C549" s="2" t="s">
        <v>617</v>
      </c>
      <c r="D549" s="2" t="s">
        <v>618</v>
      </c>
      <c r="E549" s="4" t="n">
        <v>112.04</v>
      </c>
      <c r="F549" s="4" t="n">
        <v>10.19</v>
      </c>
      <c r="G549" s="4" t="n">
        <v>101.85</v>
      </c>
      <c r="H549" s="2" t="s">
        <v>1381</v>
      </c>
    </row>
    <row r="550" customFormat="false" ht="15" hidden="false" customHeight="false" outlineLevel="0" collapsed="false">
      <c r="A550" s="2" t="s">
        <v>18</v>
      </c>
      <c r="B550" s="2" t="s">
        <v>1709</v>
      </c>
      <c r="C550" s="2" t="s">
        <v>2360</v>
      </c>
      <c r="D550" s="2" t="s">
        <v>1711</v>
      </c>
      <c r="E550" s="4" t="n">
        <v>816.69</v>
      </c>
      <c r="F550" s="4" t="n">
        <v>74.25</v>
      </c>
      <c r="G550" s="4" t="n">
        <v>742.44</v>
      </c>
      <c r="H550" s="2" t="s">
        <v>1385</v>
      </c>
    </row>
    <row r="551" customFormat="false" ht="15" hidden="false" customHeight="false" outlineLevel="0" collapsed="false">
      <c r="A551" s="2" t="s">
        <v>18</v>
      </c>
      <c r="B551" s="2" t="s">
        <v>1625</v>
      </c>
      <c r="C551" s="2" t="s">
        <v>2361</v>
      </c>
      <c r="D551" s="2" t="s">
        <v>1627</v>
      </c>
      <c r="E551" s="4" t="n">
        <v>1321.9</v>
      </c>
      <c r="F551" s="4" t="n">
        <v>120.17</v>
      </c>
      <c r="G551" s="4" t="n">
        <v>1201.73</v>
      </c>
      <c r="H551" s="2" t="s">
        <v>1385</v>
      </c>
    </row>
    <row r="552" customFormat="false" ht="15" hidden="false" customHeight="false" outlineLevel="0" collapsed="false">
      <c r="A552" s="2" t="s">
        <v>18</v>
      </c>
      <c r="B552" s="2" t="s">
        <v>1395</v>
      </c>
      <c r="C552" s="2" t="s">
        <v>2362</v>
      </c>
      <c r="D552" s="2" t="s">
        <v>1397</v>
      </c>
      <c r="E552" s="4" t="n">
        <v>397.06</v>
      </c>
      <c r="F552" s="4" t="n">
        <v>36.11</v>
      </c>
      <c r="G552" s="4" t="n">
        <v>360.95</v>
      </c>
      <c r="H552" s="2" t="s">
        <v>1385</v>
      </c>
    </row>
    <row r="553" customFormat="false" ht="15" hidden="false" customHeight="false" outlineLevel="0" collapsed="false">
      <c r="A553" s="2" t="s">
        <v>18</v>
      </c>
      <c r="B553" s="2" t="s">
        <v>634</v>
      </c>
      <c r="C553" s="2" t="s">
        <v>635</v>
      </c>
      <c r="D553" s="2" t="s">
        <v>636</v>
      </c>
      <c r="E553" s="4" t="n">
        <v>111.55</v>
      </c>
      <c r="F553" s="4" t="n">
        <v>10.14</v>
      </c>
      <c r="G553" s="4" t="n">
        <v>101.41</v>
      </c>
      <c r="H553" s="2" t="s">
        <v>1381</v>
      </c>
    </row>
    <row r="554" customFormat="false" ht="15" hidden="false" customHeight="false" outlineLevel="0" collapsed="false">
      <c r="A554" s="2" t="s">
        <v>18</v>
      </c>
      <c r="B554" s="2" t="s">
        <v>1407</v>
      </c>
      <c r="C554" s="2" t="s">
        <v>2363</v>
      </c>
      <c r="D554" s="2" t="s">
        <v>1409</v>
      </c>
      <c r="E554" s="4" t="n">
        <v>511.81</v>
      </c>
      <c r="F554" s="4" t="n">
        <v>46.53</v>
      </c>
      <c r="G554" s="4" t="n">
        <v>465.28</v>
      </c>
      <c r="H554" s="2" t="s">
        <v>1385</v>
      </c>
    </row>
    <row r="555" customFormat="false" ht="15" hidden="false" customHeight="false" outlineLevel="0" collapsed="false">
      <c r="A555" s="2" t="s">
        <v>18</v>
      </c>
      <c r="B555" s="2" t="s">
        <v>1413</v>
      </c>
      <c r="C555" s="2" t="s">
        <v>2364</v>
      </c>
      <c r="D555" s="2" t="s">
        <v>1415</v>
      </c>
      <c r="E555" s="4" t="n">
        <v>0</v>
      </c>
      <c r="F555" s="4" t="n">
        <v>0</v>
      </c>
      <c r="G555" s="4" t="n">
        <v>0</v>
      </c>
      <c r="H555" s="2" t="s">
        <v>1385</v>
      </c>
    </row>
    <row r="556" customFormat="false" ht="15" hidden="false" customHeight="false" outlineLevel="0" collapsed="false">
      <c r="A556" s="2" t="s">
        <v>18</v>
      </c>
      <c r="B556" s="2" t="s">
        <v>1419</v>
      </c>
      <c r="C556" s="2" t="s">
        <v>2365</v>
      </c>
      <c r="D556" s="2" t="s">
        <v>2366</v>
      </c>
      <c r="E556" s="4" t="n">
        <v>0</v>
      </c>
      <c r="F556" s="4" t="n">
        <v>0</v>
      </c>
      <c r="G556" s="4" t="n">
        <v>0</v>
      </c>
      <c r="H556" s="2" t="s">
        <v>1385</v>
      </c>
    </row>
    <row r="557" customFormat="false" ht="15" hidden="false" customHeight="false" outlineLevel="0" collapsed="false">
      <c r="A557" s="2" t="s">
        <v>18</v>
      </c>
      <c r="B557" s="2" t="s">
        <v>1431</v>
      </c>
      <c r="C557" s="2" t="s">
        <v>2367</v>
      </c>
      <c r="D557" s="2" t="s">
        <v>1433</v>
      </c>
      <c r="E557" s="4" t="n">
        <v>415.17</v>
      </c>
      <c r="F557" s="4" t="n">
        <v>37.75</v>
      </c>
      <c r="G557" s="4" t="n">
        <v>377.42</v>
      </c>
      <c r="H557" s="2" t="s">
        <v>1385</v>
      </c>
    </row>
    <row r="558" customFormat="false" ht="15" hidden="false" customHeight="false" outlineLevel="0" collapsed="false">
      <c r="A558" s="2" t="s">
        <v>18</v>
      </c>
      <c r="B558" s="2" t="s">
        <v>1404</v>
      </c>
      <c r="C558" s="2" t="s">
        <v>2368</v>
      </c>
      <c r="D558" s="2" t="s">
        <v>1406</v>
      </c>
      <c r="E558" s="4" t="n">
        <v>496.96</v>
      </c>
      <c r="F558" s="4" t="n">
        <v>45.18</v>
      </c>
      <c r="G558" s="4" t="n">
        <v>451.78</v>
      </c>
      <c r="H558" s="2" t="s">
        <v>1385</v>
      </c>
    </row>
    <row r="559" customFormat="false" ht="15" hidden="false" customHeight="false" outlineLevel="0" collapsed="false">
      <c r="A559" s="2" t="s">
        <v>18</v>
      </c>
      <c r="B559" s="2" t="s">
        <v>1422</v>
      </c>
      <c r="C559" s="2" t="s">
        <v>2369</v>
      </c>
      <c r="D559" s="2" t="s">
        <v>1424</v>
      </c>
      <c r="E559" s="4" t="n">
        <v>0</v>
      </c>
      <c r="F559" s="4" t="n">
        <v>0</v>
      </c>
      <c r="G559" s="4" t="n">
        <v>0</v>
      </c>
      <c r="H559" s="2" t="s">
        <v>1385</v>
      </c>
    </row>
    <row r="560" customFormat="false" ht="15" hidden="false" customHeight="false" outlineLevel="0" collapsed="false">
      <c r="A560" s="2" t="s">
        <v>18</v>
      </c>
      <c r="B560" s="2" t="s">
        <v>1440</v>
      </c>
      <c r="C560" s="2" t="s">
        <v>2370</v>
      </c>
      <c r="D560" s="2" t="s">
        <v>1442</v>
      </c>
      <c r="E560" s="4" t="n">
        <v>0</v>
      </c>
      <c r="F560" s="4" t="n">
        <v>0</v>
      </c>
      <c r="G560" s="4" t="n">
        <v>0</v>
      </c>
      <c r="H560" s="2" t="s">
        <v>1385</v>
      </c>
    </row>
    <row r="561" customFormat="false" ht="15" hidden="false" customHeight="false" outlineLevel="0" collapsed="false">
      <c r="A561" s="2" t="s">
        <v>18</v>
      </c>
      <c r="B561" s="2" t="s">
        <v>1410</v>
      </c>
      <c r="C561" s="2" t="s">
        <v>2371</v>
      </c>
      <c r="D561" s="2" t="s">
        <v>1412</v>
      </c>
      <c r="E561" s="4" t="n">
        <v>401.92</v>
      </c>
      <c r="F561" s="4" t="n">
        <v>36.55</v>
      </c>
      <c r="G561" s="4" t="n">
        <v>365.37</v>
      </c>
      <c r="H561" s="2" t="s">
        <v>1385</v>
      </c>
    </row>
    <row r="562" customFormat="false" ht="15" hidden="false" customHeight="false" outlineLevel="0" collapsed="false">
      <c r="A562" s="2" t="s">
        <v>18</v>
      </c>
      <c r="B562" s="2" t="s">
        <v>1425</v>
      </c>
      <c r="C562" s="2" t="s">
        <v>2372</v>
      </c>
      <c r="D562" s="2" t="s">
        <v>1427</v>
      </c>
      <c r="E562" s="4" t="n">
        <v>0</v>
      </c>
      <c r="F562" s="4" t="n">
        <v>0</v>
      </c>
      <c r="G562" s="4" t="n">
        <v>0</v>
      </c>
      <c r="H562" s="2" t="s">
        <v>1385</v>
      </c>
    </row>
    <row r="563" customFormat="false" ht="15" hidden="false" customHeight="false" outlineLevel="0" collapsed="false">
      <c r="A563" s="2" t="s">
        <v>18</v>
      </c>
      <c r="B563" s="2" t="s">
        <v>654</v>
      </c>
      <c r="C563" s="2" t="s">
        <v>2373</v>
      </c>
      <c r="D563" s="2" t="s">
        <v>656</v>
      </c>
      <c r="E563" s="4" t="n">
        <v>0</v>
      </c>
      <c r="F563" s="4" t="n">
        <v>0</v>
      </c>
      <c r="G563" s="4" t="n">
        <v>0</v>
      </c>
      <c r="H563" s="2" t="s">
        <v>1385</v>
      </c>
    </row>
    <row r="564" customFormat="false" ht="15" hidden="false" customHeight="false" outlineLevel="0" collapsed="false">
      <c r="A564" s="2" t="s">
        <v>18</v>
      </c>
      <c r="B564" s="2" t="s">
        <v>1416</v>
      </c>
      <c r="C564" s="2" t="s">
        <v>2374</v>
      </c>
      <c r="D564" s="2" t="s">
        <v>1418</v>
      </c>
      <c r="E564" s="4" t="n">
        <v>0</v>
      </c>
      <c r="F564" s="4" t="n">
        <v>0</v>
      </c>
      <c r="G564" s="4" t="n">
        <v>0</v>
      </c>
      <c r="H564" s="2" t="s">
        <v>1385</v>
      </c>
    </row>
    <row r="565" customFormat="false" ht="15" hidden="false" customHeight="false" outlineLevel="0" collapsed="false">
      <c r="A565" s="2" t="s">
        <v>18</v>
      </c>
      <c r="B565" s="2" t="s">
        <v>845</v>
      </c>
      <c r="C565" s="2" t="s">
        <v>2375</v>
      </c>
      <c r="D565" s="2" t="s">
        <v>847</v>
      </c>
      <c r="E565" s="4" t="n">
        <v>0</v>
      </c>
      <c r="F565" s="4" t="n">
        <v>0</v>
      </c>
      <c r="G565" s="4" t="n">
        <v>0</v>
      </c>
      <c r="H565" s="2" t="s">
        <v>1385</v>
      </c>
    </row>
    <row r="566" customFormat="false" ht="15" hidden="false" customHeight="false" outlineLevel="0" collapsed="false">
      <c r="A566" s="2" t="s">
        <v>18</v>
      </c>
      <c r="B566" s="2" t="s">
        <v>1428</v>
      </c>
      <c r="C566" s="2" t="s">
        <v>2376</v>
      </c>
      <c r="D566" s="2" t="s">
        <v>1430</v>
      </c>
      <c r="E566" s="4" t="n">
        <v>0</v>
      </c>
      <c r="F566" s="4" t="n">
        <v>0</v>
      </c>
      <c r="G566" s="4" t="n">
        <v>0</v>
      </c>
      <c r="H566" s="2" t="s">
        <v>1385</v>
      </c>
    </row>
    <row r="567" customFormat="false" ht="15" hidden="false" customHeight="false" outlineLevel="0" collapsed="false">
      <c r="A567" s="2" t="s">
        <v>18</v>
      </c>
      <c r="B567" s="2" t="s">
        <v>1556</v>
      </c>
      <c r="C567" s="2" t="s">
        <v>2377</v>
      </c>
      <c r="D567" s="2" t="s">
        <v>1558</v>
      </c>
      <c r="E567" s="4" t="n">
        <v>1565.8</v>
      </c>
      <c r="F567" s="4" t="n">
        <v>142.34</v>
      </c>
      <c r="G567" s="4" t="n">
        <v>1423.46</v>
      </c>
      <c r="H567" s="2" t="s">
        <v>1385</v>
      </c>
    </row>
    <row r="568" customFormat="false" ht="15" hidden="false" customHeight="false" outlineLevel="0" collapsed="false">
      <c r="A568" s="2" t="s">
        <v>18</v>
      </c>
      <c r="B568" s="2" t="s">
        <v>1434</v>
      </c>
      <c r="C568" s="2" t="s">
        <v>2378</v>
      </c>
      <c r="D568" s="2" t="s">
        <v>1436</v>
      </c>
      <c r="E568" s="4" t="n">
        <v>0</v>
      </c>
      <c r="F568" s="4" t="n">
        <v>0</v>
      </c>
      <c r="G568" s="4" t="n">
        <v>0</v>
      </c>
      <c r="H568" s="2" t="s">
        <v>1385</v>
      </c>
    </row>
    <row r="569" customFormat="false" ht="15" hidden="false" customHeight="false" outlineLevel="0" collapsed="false">
      <c r="A569" s="2" t="s">
        <v>18</v>
      </c>
      <c r="B569" s="2" t="s">
        <v>690</v>
      </c>
      <c r="C569" s="2" t="s">
        <v>2379</v>
      </c>
      <c r="D569" s="2" t="s">
        <v>692</v>
      </c>
      <c r="E569" s="4" t="n">
        <v>0</v>
      </c>
      <c r="F569" s="4" t="n">
        <v>0</v>
      </c>
      <c r="G569" s="4" t="n">
        <v>0</v>
      </c>
      <c r="H569" s="2" t="s">
        <v>1385</v>
      </c>
    </row>
    <row r="570" customFormat="false" ht="15" hidden="false" customHeight="false" outlineLevel="0" collapsed="false">
      <c r="A570" s="2" t="s">
        <v>18</v>
      </c>
      <c r="B570" s="2" t="s">
        <v>670</v>
      </c>
      <c r="C570" s="2" t="s">
        <v>2380</v>
      </c>
      <c r="D570" s="2" t="s">
        <v>672</v>
      </c>
      <c r="E570" s="4" t="n">
        <v>0</v>
      </c>
      <c r="F570" s="4" t="n">
        <v>0</v>
      </c>
      <c r="G570" s="4" t="n">
        <v>0</v>
      </c>
      <c r="H570" s="2" t="s">
        <v>1385</v>
      </c>
    </row>
    <row r="571" customFormat="false" ht="15" hidden="false" customHeight="false" outlineLevel="0" collapsed="false">
      <c r="A571" s="2" t="s">
        <v>18</v>
      </c>
      <c r="B571" s="2" t="s">
        <v>683</v>
      </c>
      <c r="C571" s="2" t="s">
        <v>2381</v>
      </c>
      <c r="D571" s="2" t="s">
        <v>685</v>
      </c>
      <c r="E571" s="4" t="n">
        <v>0</v>
      </c>
      <c r="F571" s="4" t="n">
        <v>0</v>
      </c>
      <c r="G571" s="4" t="n">
        <v>0</v>
      </c>
      <c r="H571" s="2" t="s">
        <v>1385</v>
      </c>
    </row>
    <row r="572" customFormat="false" ht="15" hidden="false" customHeight="false" outlineLevel="0" collapsed="false">
      <c r="A572" s="2" t="s">
        <v>18</v>
      </c>
      <c r="B572" s="2" t="s">
        <v>710</v>
      </c>
      <c r="C572" s="2" t="s">
        <v>2382</v>
      </c>
      <c r="D572" s="2" t="s">
        <v>712</v>
      </c>
      <c r="E572" s="4" t="n">
        <v>0</v>
      </c>
      <c r="F572" s="4" t="n">
        <v>0</v>
      </c>
      <c r="G572" s="4" t="n">
        <v>0</v>
      </c>
      <c r="H572" s="2" t="s">
        <v>1385</v>
      </c>
    </row>
    <row r="573" customFormat="false" ht="15" hidden="false" customHeight="false" outlineLevel="0" collapsed="false">
      <c r="A573" s="2" t="s">
        <v>18</v>
      </c>
      <c r="B573" s="2" t="s">
        <v>1443</v>
      </c>
      <c r="C573" s="2" t="s">
        <v>2383</v>
      </c>
      <c r="D573" s="2" t="s">
        <v>1445</v>
      </c>
      <c r="E573" s="4" t="n">
        <v>0</v>
      </c>
      <c r="F573" s="4" t="n">
        <v>0</v>
      </c>
      <c r="G573" s="4" t="n">
        <v>0</v>
      </c>
      <c r="H573" s="2" t="s">
        <v>1385</v>
      </c>
    </row>
    <row r="574" customFormat="false" ht="15" hidden="false" customHeight="false" outlineLevel="0" collapsed="false">
      <c r="A574" s="2" t="s">
        <v>18</v>
      </c>
      <c r="B574" s="2" t="s">
        <v>1449</v>
      </c>
      <c r="C574" s="2" t="s">
        <v>2384</v>
      </c>
      <c r="D574" s="2" t="s">
        <v>1451</v>
      </c>
      <c r="E574" s="4" t="n">
        <v>0</v>
      </c>
      <c r="F574" s="4" t="n">
        <v>0</v>
      </c>
      <c r="G574" s="4" t="n">
        <v>0</v>
      </c>
      <c r="H574" s="2" t="s">
        <v>1385</v>
      </c>
    </row>
    <row r="575" customFormat="false" ht="15" hidden="false" customHeight="false" outlineLevel="0" collapsed="false">
      <c r="A575" s="2" t="s">
        <v>18</v>
      </c>
      <c r="B575" s="2" t="s">
        <v>1437</v>
      </c>
      <c r="C575" s="2" t="s">
        <v>2385</v>
      </c>
      <c r="D575" s="2" t="s">
        <v>1439</v>
      </c>
      <c r="E575" s="4" t="n">
        <v>0</v>
      </c>
      <c r="F575" s="4" t="n">
        <v>0</v>
      </c>
      <c r="G575" s="4" t="n">
        <v>0</v>
      </c>
      <c r="H575" s="2" t="s">
        <v>1385</v>
      </c>
    </row>
    <row r="576" customFormat="false" ht="15" hidden="false" customHeight="false" outlineLevel="0" collapsed="false">
      <c r="A576" s="2" t="s">
        <v>18</v>
      </c>
      <c r="B576" s="2" t="s">
        <v>757</v>
      </c>
      <c r="C576" s="2" t="s">
        <v>2386</v>
      </c>
      <c r="D576" s="2" t="s">
        <v>759</v>
      </c>
      <c r="E576" s="4" t="n">
        <v>0</v>
      </c>
      <c r="F576" s="4" t="n">
        <v>0</v>
      </c>
      <c r="G576" s="4" t="n">
        <v>0</v>
      </c>
      <c r="H576" s="2" t="s">
        <v>1385</v>
      </c>
    </row>
    <row r="577" customFormat="false" ht="15" hidden="false" customHeight="false" outlineLevel="0" collapsed="false">
      <c r="A577" s="2" t="s">
        <v>18</v>
      </c>
      <c r="B577" s="2" t="s">
        <v>1661</v>
      </c>
      <c r="C577" s="2" t="s">
        <v>2387</v>
      </c>
      <c r="D577" s="2" t="s">
        <v>1663</v>
      </c>
      <c r="E577" s="4" t="n">
        <v>0</v>
      </c>
      <c r="F577" s="4" t="n">
        <v>0</v>
      </c>
      <c r="G577" s="4" t="n">
        <v>0</v>
      </c>
      <c r="H577" s="2" t="s">
        <v>1385</v>
      </c>
    </row>
    <row r="578" customFormat="false" ht="15" hidden="false" customHeight="false" outlineLevel="0" collapsed="false">
      <c r="A578" s="2" t="s">
        <v>18</v>
      </c>
      <c r="B578" s="2" t="s">
        <v>1452</v>
      </c>
      <c r="C578" s="2" t="s">
        <v>2388</v>
      </c>
      <c r="D578" s="2" t="s">
        <v>1454</v>
      </c>
      <c r="E578" s="4" t="n">
        <v>0</v>
      </c>
      <c r="F578" s="4" t="n">
        <v>0</v>
      </c>
      <c r="G578" s="4" t="n">
        <v>0</v>
      </c>
      <c r="H578" s="2" t="s">
        <v>1385</v>
      </c>
    </row>
    <row r="579" customFormat="false" ht="15" hidden="false" customHeight="false" outlineLevel="0" collapsed="false">
      <c r="A579" s="2" t="s">
        <v>18</v>
      </c>
      <c r="B579" s="2" t="s">
        <v>1718</v>
      </c>
      <c r="C579" s="2" t="s">
        <v>2389</v>
      </c>
      <c r="D579" s="2" t="s">
        <v>1720</v>
      </c>
      <c r="E579" s="4" t="n">
        <v>0</v>
      </c>
      <c r="F579" s="4" t="n">
        <v>0</v>
      </c>
      <c r="G579" s="4" t="n">
        <v>0</v>
      </c>
      <c r="H579" s="2" t="s">
        <v>1385</v>
      </c>
    </row>
    <row r="580" customFormat="false" ht="15" hidden="false" customHeight="false" outlineLevel="0" collapsed="false">
      <c r="A580" s="2" t="s">
        <v>18</v>
      </c>
      <c r="B580" s="2" t="s">
        <v>1455</v>
      </c>
      <c r="C580" s="2" t="s">
        <v>2390</v>
      </c>
      <c r="D580" s="2" t="s">
        <v>1457</v>
      </c>
      <c r="E580" s="4" t="n">
        <v>0</v>
      </c>
      <c r="F580" s="4" t="n">
        <v>0</v>
      </c>
      <c r="G580" s="4" t="n">
        <v>0</v>
      </c>
      <c r="H580" s="2" t="s">
        <v>1385</v>
      </c>
    </row>
    <row r="581" customFormat="false" ht="15" hidden="false" customHeight="false" outlineLevel="0" collapsed="false">
      <c r="A581" s="2" t="s">
        <v>18</v>
      </c>
      <c r="B581" s="2" t="s">
        <v>1461</v>
      </c>
      <c r="C581" s="2" t="s">
        <v>2391</v>
      </c>
      <c r="D581" s="2" t="s">
        <v>1463</v>
      </c>
      <c r="E581" s="4" t="n">
        <v>0</v>
      </c>
      <c r="F581" s="4" t="n">
        <v>0</v>
      </c>
      <c r="G581" s="4" t="n">
        <v>0</v>
      </c>
      <c r="H581" s="2" t="s">
        <v>1385</v>
      </c>
    </row>
    <row r="582" customFormat="false" ht="15" hidden="false" customHeight="false" outlineLevel="0" collapsed="false">
      <c r="A582" s="2" t="s">
        <v>18</v>
      </c>
      <c r="B582" s="2" t="s">
        <v>792</v>
      </c>
      <c r="C582" s="2" t="s">
        <v>2392</v>
      </c>
      <c r="D582" s="2" t="s">
        <v>794</v>
      </c>
      <c r="E582" s="4" t="n">
        <v>0</v>
      </c>
      <c r="F582" s="4" t="n">
        <v>0</v>
      </c>
      <c r="G582" s="4" t="n">
        <v>0</v>
      </c>
      <c r="H582" s="2" t="s">
        <v>1385</v>
      </c>
    </row>
    <row r="583" customFormat="false" ht="15" hidden="false" customHeight="false" outlineLevel="0" collapsed="false">
      <c r="A583" s="2" t="s">
        <v>18</v>
      </c>
      <c r="B583" s="2" t="s">
        <v>774</v>
      </c>
      <c r="C583" s="2" t="s">
        <v>2393</v>
      </c>
      <c r="D583" s="2" t="s">
        <v>776</v>
      </c>
      <c r="E583" s="4" t="n">
        <v>0</v>
      </c>
      <c r="F583" s="4" t="n">
        <v>0</v>
      </c>
      <c r="G583" s="4" t="n">
        <v>0</v>
      </c>
      <c r="H583" s="2" t="s">
        <v>1385</v>
      </c>
    </row>
    <row r="584" customFormat="false" ht="15" hidden="false" customHeight="false" outlineLevel="0" collapsed="false">
      <c r="A584" s="2" t="s">
        <v>18</v>
      </c>
      <c r="B584" s="2" t="s">
        <v>779</v>
      </c>
      <c r="C584" s="2" t="s">
        <v>2394</v>
      </c>
      <c r="D584" s="2" t="s">
        <v>781</v>
      </c>
      <c r="E584" s="4" t="n">
        <v>0</v>
      </c>
      <c r="F584" s="4" t="n">
        <v>0</v>
      </c>
      <c r="G584" s="4" t="n">
        <v>0</v>
      </c>
      <c r="H584" s="2" t="s">
        <v>1385</v>
      </c>
    </row>
    <row r="585" customFormat="false" ht="15" hidden="false" customHeight="false" outlineLevel="0" collapsed="false">
      <c r="A585" s="2" t="s">
        <v>18</v>
      </c>
      <c r="B585" s="2" t="s">
        <v>805</v>
      </c>
      <c r="C585" s="2" t="s">
        <v>2395</v>
      </c>
      <c r="D585" s="2" t="s">
        <v>807</v>
      </c>
      <c r="E585" s="4" t="n">
        <v>0</v>
      </c>
      <c r="F585" s="4" t="n">
        <v>0</v>
      </c>
      <c r="G585" s="4" t="n">
        <v>0</v>
      </c>
      <c r="H585" s="2" t="s">
        <v>1385</v>
      </c>
    </row>
    <row r="586" customFormat="false" ht="15" hidden="false" customHeight="false" outlineLevel="0" collapsed="false">
      <c r="A586" s="2" t="s">
        <v>18</v>
      </c>
      <c r="B586" s="2" t="s">
        <v>1464</v>
      </c>
      <c r="C586" s="2" t="s">
        <v>2396</v>
      </c>
      <c r="D586" s="2" t="s">
        <v>1466</v>
      </c>
      <c r="E586" s="4" t="n">
        <v>0</v>
      </c>
      <c r="F586" s="4" t="n">
        <v>0</v>
      </c>
      <c r="G586" s="4" t="n">
        <v>0</v>
      </c>
      <c r="H586" s="2" t="s">
        <v>1385</v>
      </c>
    </row>
    <row r="587" customFormat="false" ht="15" hidden="false" customHeight="false" outlineLevel="0" collapsed="false">
      <c r="A587" s="2" t="s">
        <v>18</v>
      </c>
      <c r="B587" s="2" t="s">
        <v>1446</v>
      </c>
      <c r="C587" s="2" t="s">
        <v>2397</v>
      </c>
      <c r="D587" s="2" t="s">
        <v>1448</v>
      </c>
      <c r="E587" s="4" t="n">
        <v>0</v>
      </c>
      <c r="F587" s="4" t="n">
        <v>0</v>
      </c>
      <c r="G587" s="4" t="n">
        <v>0</v>
      </c>
      <c r="H587" s="2" t="s">
        <v>1385</v>
      </c>
    </row>
    <row r="588" customFormat="false" ht="15" hidden="false" customHeight="false" outlineLevel="0" collapsed="false">
      <c r="A588" s="2" t="s">
        <v>18</v>
      </c>
      <c r="B588" s="2" t="s">
        <v>1467</v>
      </c>
      <c r="C588" s="2" t="s">
        <v>2398</v>
      </c>
      <c r="D588" s="2" t="s">
        <v>1469</v>
      </c>
      <c r="E588" s="4" t="n">
        <v>0</v>
      </c>
      <c r="F588" s="4" t="n">
        <v>0</v>
      </c>
      <c r="G588" s="4" t="n">
        <v>0</v>
      </c>
      <c r="H588" s="2" t="s">
        <v>1385</v>
      </c>
    </row>
    <row r="589" customFormat="false" ht="15" hidden="false" customHeight="false" outlineLevel="0" collapsed="false">
      <c r="A589" s="2" t="s">
        <v>18</v>
      </c>
      <c r="B589" s="2" t="s">
        <v>1458</v>
      </c>
      <c r="C589" s="2" t="s">
        <v>2399</v>
      </c>
      <c r="D589" s="2" t="s">
        <v>1460</v>
      </c>
      <c r="E589" s="4" t="n">
        <v>0</v>
      </c>
      <c r="F589" s="4" t="n">
        <v>0</v>
      </c>
      <c r="G589" s="4" t="n">
        <v>0</v>
      </c>
      <c r="H589" s="2" t="s">
        <v>1385</v>
      </c>
    </row>
    <row r="590" customFormat="false" ht="15" hidden="false" customHeight="false" outlineLevel="0" collapsed="false">
      <c r="A590" s="2" t="s">
        <v>18</v>
      </c>
      <c r="B590" s="2" t="s">
        <v>478</v>
      </c>
      <c r="C590" s="2" t="s">
        <v>1372</v>
      </c>
      <c r="D590" s="2" t="s">
        <v>480</v>
      </c>
      <c r="E590" s="4" t="n">
        <v>12.45</v>
      </c>
      <c r="F590" s="4" t="n">
        <v>1.14</v>
      </c>
      <c r="G590" s="4" t="n">
        <v>11.31</v>
      </c>
      <c r="H590" s="2" t="s">
        <v>1381</v>
      </c>
    </row>
    <row r="591" customFormat="false" ht="15" hidden="false" customHeight="false" outlineLevel="0" collapsed="false">
      <c r="A591" s="2" t="s">
        <v>18</v>
      </c>
      <c r="B591" s="2" t="s">
        <v>1736</v>
      </c>
      <c r="C591" s="2" t="s">
        <v>2400</v>
      </c>
      <c r="D591" s="2" t="s">
        <v>1738</v>
      </c>
      <c r="E591" s="4" t="n">
        <v>0</v>
      </c>
      <c r="F591" s="4" t="n">
        <v>0</v>
      </c>
      <c r="G591" s="4" t="n">
        <v>0</v>
      </c>
      <c r="H591" s="2" t="s">
        <v>1385</v>
      </c>
    </row>
    <row r="592" customFormat="false" ht="15" hidden="false" customHeight="false" outlineLevel="0" collapsed="false">
      <c r="A592" s="2" t="s">
        <v>18</v>
      </c>
      <c r="B592" s="2" t="s">
        <v>786</v>
      </c>
      <c r="C592" s="2" t="s">
        <v>2401</v>
      </c>
      <c r="D592" s="2" t="s">
        <v>788</v>
      </c>
      <c r="E592" s="4" t="n">
        <v>0</v>
      </c>
      <c r="F592" s="4" t="n">
        <v>0</v>
      </c>
      <c r="G592" s="4" t="n">
        <v>0</v>
      </c>
      <c r="H592" s="2" t="s">
        <v>1385</v>
      </c>
    </row>
    <row r="593" customFormat="false" ht="15" hidden="false" customHeight="false" outlineLevel="0" collapsed="false">
      <c r="A593" s="2" t="s">
        <v>18</v>
      </c>
      <c r="B593" s="2" t="s">
        <v>1631</v>
      </c>
      <c r="C593" s="2" t="s">
        <v>2402</v>
      </c>
      <c r="D593" s="2" t="s">
        <v>1633</v>
      </c>
      <c r="E593" s="4" t="n">
        <v>0</v>
      </c>
      <c r="F593" s="4" t="n">
        <v>0</v>
      </c>
      <c r="G593" s="4" t="n">
        <v>0</v>
      </c>
      <c r="H593" s="2" t="s">
        <v>1385</v>
      </c>
    </row>
    <row r="594" customFormat="false" ht="15" hidden="false" customHeight="false" outlineLevel="0" collapsed="false">
      <c r="A594" s="2" t="s">
        <v>18</v>
      </c>
      <c r="B594" s="2" t="s">
        <v>764</v>
      </c>
      <c r="C594" s="2" t="s">
        <v>2403</v>
      </c>
      <c r="D594" s="2" t="s">
        <v>766</v>
      </c>
      <c r="E594" s="4" t="n">
        <v>0</v>
      </c>
      <c r="F594" s="4" t="n">
        <v>0</v>
      </c>
      <c r="G594" s="4" t="n">
        <v>0</v>
      </c>
      <c r="H594" s="2" t="s">
        <v>1385</v>
      </c>
    </row>
    <row r="595" customFormat="false" ht="15" hidden="false" customHeight="false" outlineLevel="0" collapsed="false">
      <c r="A595" s="2" t="s">
        <v>18</v>
      </c>
      <c r="B595" s="2" t="s">
        <v>1697</v>
      </c>
      <c r="C595" s="2" t="s">
        <v>2404</v>
      </c>
      <c r="D595" s="2" t="s">
        <v>1699</v>
      </c>
      <c r="E595" s="4" t="n">
        <v>0</v>
      </c>
      <c r="F595" s="4" t="n">
        <v>0</v>
      </c>
      <c r="G595" s="4" t="n">
        <v>0</v>
      </c>
      <c r="H595" s="2" t="s">
        <v>1385</v>
      </c>
    </row>
    <row r="596" customFormat="false" ht="15" hidden="false" customHeight="false" outlineLevel="0" collapsed="false">
      <c r="A596" s="2" t="s">
        <v>18</v>
      </c>
      <c r="B596" s="2" t="s">
        <v>704</v>
      </c>
      <c r="C596" s="2" t="s">
        <v>2405</v>
      </c>
      <c r="D596" s="2" t="s">
        <v>706</v>
      </c>
      <c r="E596" s="4" t="n">
        <v>0</v>
      </c>
      <c r="F596" s="4" t="n">
        <v>0</v>
      </c>
      <c r="G596" s="4" t="n">
        <v>0</v>
      </c>
      <c r="H596" s="2" t="s">
        <v>1385</v>
      </c>
    </row>
    <row r="597" customFormat="false" ht="15" hidden="false" customHeight="false" outlineLevel="0" collapsed="false">
      <c r="A597" s="2" t="s">
        <v>18</v>
      </c>
      <c r="B597" s="2" t="s">
        <v>1895</v>
      </c>
      <c r="C597" s="2" t="s">
        <v>2406</v>
      </c>
      <c r="D597" s="2" t="s">
        <v>1897</v>
      </c>
      <c r="E597" s="4" t="n">
        <v>0</v>
      </c>
      <c r="F597" s="4" t="n">
        <v>0</v>
      </c>
      <c r="G597" s="4" t="n">
        <v>0</v>
      </c>
      <c r="H597" s="2" t="s">
        <v>1385</v>
      </c>
    </row>
    <row r="598" customFormat="false" ht="15" hidden="false" customHeight="false" outlineLevel="0" collapsed="false">
      <c r="A598" s="2" t="s">
        <v>18</v>
      </c>
      <c r="B598" s="2" t="s">
        <v>1562</v>
      </c>
      <c r="C598" s="2" t="s">
        <v>2407</v>
      </c>
      <c r="D598" s="2" t="s">
        <v>1564</v>
      </c>
      <c r="E598" s="4" t="n">
        <v>0</v>
      </c>
      <c r="F598" s="4" t="n">
        <v>0</v>
      </c>
      <c r="G598" s="4" t="n">
        <v>0</v>
      </c>
      <c r="H598" s="2" t="s">
        <v>1385</v>
      </c>
    </row>
    <row r="599" customFormat="false" ht="15" hidden="false" customHeight="false" outlineLevel="0" collapsed="false">
      <c r="A599" s="2" t="s">
        <v>18</v>
      </c>
      <c r="B599" s="2" t="s">
        <v>750</v>
      </c>
      <c r="C599" s="2" t="s">
        <v>2408</v>
      </c>
      <c r="D599" s="2" t="s">
        <v>752</v>
      </c>
      <c r="E599" s="4" t="n">
        <v>0</v>
      </c>
      <c r="F599" s="4" t="n">
        <v>0</v>
      </c>
      <c r="G599" s="4" t="n">
        <v>0</v>
      </c>
      <c r="H599" s="2" t="s">
        <v>1385</v>
      </c>
    </row>
    <row r="600" customFormat="false" ht="15" hidden="false" customHeight="false" outlineLevel="0" collapsed="false">
      <c r="A600" s="2" t="s">
        <v>18</v>
      </c>
      <c r="B600" s="2" t="s">
        <v>742</v>
      </c>
      <c r="C600" s="2" t="s">
        <v>2409</v>
      </c>
      <c r="D600" s="2" t="s">
        <v>744</v>
      </c>
      <c r="E600" s="4" t="n">
        <v>0</v>
      </c>
      <c r="F600" s="4" t="n">
        <v>0</v>
      </c>
      <c r="G600" s="4" t="n">
        <v>0</v>
      </c>
      <c r="H600" s="2" t="s">
        <v>1385</v>
      </c>
    </row>
    <row r="601" customFormat="false" ht="15" hidden="false" customHeight="false" outlineLevel="0" collapsed="false">
      <c r="A601" s="2" t="s">
        <v>18</v>
      </c>
      <c r="B601" s="2" t="s">
        <v>648</v>
      </c>
      <c r="C601" s="2" t="s">
        <v>2410</v>
      </c>
      <c r="D601" s="2" t="s">
        <v>650</v>
      </c>
      <c r="E601" s="4" t="n">
        <v>0</v>
      </c>
      <c r="F601" s="4" t="n">
        <v>0</v>
      </c>
      <c r="G601" s="4" t="n">
        <v>0</v>
      </c>
      <c r="H601" s="2" t="s">
        <v>1385</v>
      </c>
    </row>
    <row r="602" customFormat="false" ht="15" hidden="false" customHeight="false" outlineLevel="0" collapsed="false">
      <c r="A602" s="2" t="s">
        <v>18</v>
      </c>
      <c r="B602" s="2" t="s">
        <v>1470</v>
      </c>
      <c r="C602" s="2" t="s">
        <v>2411</v>
      </c>
      <c r="D602" s="2" t="s">
        <v>1472</v>
      </c>
      <c r="E602" s="4" t="n">
        <v>0</v>
      </c>
      <c r="F602" s="4" t="n">
        <v>0</v>
      </c>
      <c r="G602" s="4" t="n">
        <v>0</v>
      </c>
      <c r="H602" s="2" t="s">
        <v>1385</v>
      </c>
    </row>
    <row r="603" customFormat="false" ht="15" hidden="false" customHeight="false" outlineLevel="0" collapsed="false">
      <c r="A603" s="2" t="s">
        <v>18</v>
      </c>
      <c r="B603" s="2" t="s">
        <v>1485</v>
      </c>
      <c r="C603" s="2" t="s">
        <v>2412</v>
      </c>
      <c r="D603" s="2" t="s">
        <v>1487</v>
      </c>
      <c r="E603" s="4" t="n">
        <v>0</v>
      </c>
      <c r="F603" s="4" t="n">
        <v>0</v>
      </c>
      <c r="G603" s="4" t="n">
        <v>0</v>
      </c>
      <c r="H603" s="2" t="s">
        <v>1385</v>
      </c>
    </row>
    <row r="604" customFormat="false" ht="15" hidden="false" customHeight="false" outlineLevel="0" collapsed="false">
      <c r="A604" s="2" t="s">
        <v>18</v>
      </c>
      <c r="B604" s="2" t="s">
        <v>727</v>
      </c>
      <c r="C604" s="2" t="s">
        <v>2413</v>
      </c>
      <c r="D604" s="2" t="s">
        <v>729</v>
      </c>
      <c r="E604" s="4" t="n">
        <v>0</v>
      </c>
      <c r="F604" s="4" t="n">
        <v>0</v>
      </c>
      <c r="G604" s="4" t="n">
        <v>0</v>
      </c>
      <c r="H604" s="2" t="s">
        <v>1385</v>
      </c>
    </row>
    <row r="605" customFormat="false" ht="15" hidden="false" customHeight="false" outlineLevel="0" collapsed="false">
      <c r="A605" s="2" t="s">
        <v>18</v>
      </c>
      <c r="B605" s="2" t="s">
        <v>151</v>
      </c>
      <c r="C605" s="2" t="s">
        <v>2414</v>
      </c>
      <c r="D605" s="2" t="s">
        <v>153</v>
      </c>
      <c r="E605" s="4" t="n">
        <v>0</v>
      </c>
      <c r="F605" s="4" t="n">
        <v>0</v>
      </c>
      <c r="G605" s="4" t="n">
        <v>0</v>
      </c>
      <c r="H605" s="2" t="s">
        <v>1385</v>
      </c>
    </row>
    <row r="606" customFormat="false" ht="15" hidden="false" customHeight="false" outlineLevel="0" collapsed="false">
      <c r="A606" s="2" t="s">
        <v>18</v>
      </c>
      <c r="B606" s="2" t="s">
        <v>1488</v>
      </c>
      <c r="C606" s="2" t="s">
        <v>2415</v>
      </c>
      <c r="D606" s="2" t="s">
        <v>1490</v>
      </c>
      <c r="E606" s="4" t="n">
        <v>0</v>
      </c>
      <c r="F606" s="4" t="n">
        <v>0</v>
      </c>
      <c r="G606" s="4" t="n">
        <v>0</v>
      </c>
      <c r="H606" s="2" t="s">
        <v>1385</v>
      </c>
    </row>
    <row r="607" customFormat="false" ht="15" hidden="false" customHeight="false" outlineLevel="0" collapsed="false">
      <c r="A607" s="2" t="s">
        <v>18</v>
      </c>
      <c r="B607" s="2" t="s">
        <v>1473</v>
      </c>
      <c r="C607" s="2" t="s">
        <v>2416</v>
      </c>
      <c r="D607" s="2" t="s">
        <v>1475</v>
      </c>
      <c r="E607" s="4" t="n">
        <v>0</v>
      </c>
      <c r="F607" s="4" t="n">
        <v>0</v>
      </c>
      <c r="G607" s="4" t="n">
        <v>0</v>
      </c>
      <c r="H607" s="2" t="s">
        <v>1385</v>
      </c>
    </row>
    <row r="608" customFormat="false" ht="15" hidden="false" customHeight="false" outlineLevel="0" collapsed="false">
      <c r="A608" s="2" t="s">
        <v>18</v>
      </c>
      <c r="B608" s="2" t="s">
        <v>1476</v>
      </c>
      <c r="C608" s="2" t="s">
        <v>2417</v>
      </c>
      <c r="D608" s="2" t="s">
        <v>1478</v>
      </c>
      <c r="E608" s="4" t="n">
        <v>0</v>
      </c>
      <c r="F608" s="4" t="n">
        <v>0</v>
      </c>
      <c r="G608" s="4" t="n">
        <v>0</v>
      </c>
      <c r="H608" s="2" t="s">
        <v>1385</v>
      </c>
    </row>
    <row r="609" customFormat="false" ht="15" hidden="false" customHeight="false" outlineLevel="0" collapsed="false">
      <c r="A609" s="2" t="s">
        <v>18</v>
      </c>
      <c r="B609" s="2" t="s">
        <v>643</v>
      </c>
      <c r="C609" s="2" t="s">
        <v>2418</v>
      </c>
      <c r="D609" s="2" t="s">
        <v>645</v>
      </c>
      <c r="E609" s="4" t="n">
        <v>0</v>
      </c>
      <c r="F609" s="4" t="n">
        <v>0</v>
      </c>
      <c r="G609" s="4" t="n">
        <v>0</v>
      </c>
      <c r="H609" s="2" t="s">
        <v>1385</v>
      </c>
    </row>
    <row r="610" customFormat="false" ht="15" hidden="false" customHeight="false" outlineLevel="0" collapsed="false">
      <c r="A610" s="2" t="s">
        <v>18</v>
      </c>
      <c r="B610" s="2" t="s">
        <v>1479</v>
      </c>
      <c r="C610" s="2" t="s">
        <v>2419</v>
      </c>
      <c r="D610" s="2" t="s">
        <v>1481</v>
      </c>
      <c r="E610" s="4" t="n">
        <v>0</v>
      </c>
      <c r="F610" s="4" t="n">
        <v>0</v>
      </c>
      <c r="G610" s="4" t="n">
        <v>0</v>
      </c>
      <c r="H610" s="2" t="s">
        <v>1385</v>
      </c>
    </row>
    <row r="611" customFormat="false" ht="15" hidden="false" customHeight="false" outlineLevel="0" collapsed="false">
      <c r="A611" s="2" t="s">
        <v>18</v>
      </c>
      <c r="B611" s="2" t="s">
        <v>858</v>
      </c>
      <c r="C611" s="2" t="s">
        <v>2420</v>
      </c>
      <c r="D611" s="2" t="s">
        <v>860</v>
      </c>
      <c r="E611" s="4" t="n">
        <v>0</v>
      </c>
      <c r="F611" s="4" t="n">
        <v>0</v>
      </c>
      <c r="G611" s="4" t="n">
        <v>0</v>
      </c>
      <c r="H611" s="2" t="s">
        <v>1385</v>
      </c>
    </row>
    <row r="612" customFormat="false" ht="15" hidden="false" customHeight="false" outlineLevel="0" collapsed="false">
      <c r="A612" s="2" t="s">
        <v>18</v>
      </c>
      <c r="B612" s="2" t="s">
        <v>1482</v>
      </c>
      <c r="C612" s="2" t="s">
        <v>2421</v>
      </c>
      <c r="D612" s="2" t="s">
        <v>1484</v>
      </c>
      <c r="E612" s="4" t="n">
        <v>0</v>
      </c>
      <c r="F612" s="4" t="n">
        <v>0</v>
      </c>
      <c r="G612" s="4" t="n">
        <v>0</v>
      </c>
      <c r="H612" s="2" t="s">
        <v>1385</v>
      </c>
    </row>
    <row r="613" customFormat="false" ht="15" hidden="false" customHeight="false" outlineLevel="0" collapsed="false">
      <c r="A613" s="2" t="s">
        <v>18</v>
      </c>
      <c r="B613" s="2" t="s">
        <v>1667</v>
      </c>
      <c r="C613" s="2" t="s">
        <v>2422</v>
      </c>
      <c r="D613" s="2" t="s">
        <v>1669</v>
      </c>
      <c r="E613" s="4" t="n">
        <v>0</v>
      </c>
      <c r="F613" s="4" t="n">
        <v>0</v>
      </c>
      <c r="G613" s="4" t="n">
        <v>0</v>
      </c>
      <c r="H613" s="2" t="s">
        <v>1385</v>
      </c>
    </row>
    <row r="614" customFormat="false" ht="15" hidden="false" customHeight="false" outlineLevel="0" collapsed="false">
      <c r="A614" s="2" t="s">
        <v>18</v>
      </c>
      <c r="B614" s="2" t="s">
        <v>627</v>
      </c>
      <c r="C614" s="2" t="s">
        <v>2423</v>
      </c>
      <c r="D614" s="2" t="s">
        <v>629</v>
      </c>
      <c r="E614" s="4" t="n">
        <v>0</v>
      </c>
      <c r="F614" s="4" t="n">
        <v>0</v>
      </c>
      <c r="G614" s="4" t="n">
        <v>0</v>
      </c>
      <c r="H614" s="2" t="s">
        <v>1385</v>
      </c>
    </row>
    <row r="615" customFormat="false" ht="15" hidden="false" customHeight="false" outlineLevel="0" collapsed="false">
      <c r="A615" s="2" t="s">
        <v>18</v>
      </c>
      <c r="B615" s="2" t="s">
        <v>1880</v>
      </c>
      <c r="C615" s="2" t="s">
        <v>2424</v>
      </c>
      <c r="D615" s="2" t="s">
        <v>1882</v>
      </c>
      <c r="E615" s="4" t="n">
        <v>0</v>
      </c>
      <c r="F615" s="4" t="n">
        <v>0</v>
      </c>
      <c r="G615" s="4" t="n">
        <v>0</v>
      </c>
      <c r="H615" s="2" t="s">
        <v>1385</v>
      </c>
    </row>
    <row r="616" customFormat="false" ht="15" hidden="false" customHeight="false" outlineLevel="0" collapsed="false">
      <c r="A616" s="2" t="s">
        <v>18</v>
      </c>
      <c r="B616" s="2" t="s">
        <v>1865</v>
      </c>
      <c r="C616" s="2" t="s">
        <v>2425</v>
      </c>
      <c r="D616" s="2" t="s">
        <v>1867</v>
      </c>
      <c r="E616" s="4" t="n">
        <v>0</v>
      </c>
      <c r="F616" s="4" t="n">
        <v>0</v>
      </c>
      <c r="G616" s="4" t="n">
        <v>0</v>
      </c>
      <c r="H616" s="2" t="s">
        <v>1385</v>
      </c>
    </row>
    <row r="617" customFormat="false" ht="15" hidden="false" customHeight="false" outlineLevel="0" collapsed="false">
      <c r="A617" s="2" t="s">
        <v>18</v>
      </c>
      <c r="B617" s="2" t="s">
        <v>1491</v>
      </c>
      <c r="C617" s="2" t="s">
        <v>2426</v>
      </c>
      <c r="D617" s="2" t="s">
        <v>1493</v>
      </c>
      <c r="E617" s="4" t="n">
        <v>0</v>
      </c>
      <c r="F617" s="4" t="n">
        <v>0</v>
      </c>
      <c r="G617" s="4" t="n">
        <v>0</v>
      </c>
      <c r="H617" s="2" t="s">
        <v>1385</v>
      </c>
    </row>
    <row r="618" customFormat="false" ht="15" hidden="false" customHeight="false" outlineLevel="0" collapsed="false">
      <c r="A618" s="2" t="s">
        <v>18</v>
      </c>
      <c r="B618" s="2" t="s">
        <v>143</v>
      </c>
      <c r="C618" s="2" t="s">
        <v>2427</v>
      </c>
      <c r="D618" s="2" t="s">
        <v>145</v>
      </c>
      <c r="E618" s="4" t="n">
        <v>0</v>
      </c>
      <c r="F618" s="4" t="n">
        <v>0</v>
      </c>
      <c r="G618" s="4" t="n">
        <v>0</v>
      </c>
      <c r="H618" s="2" t="s">
        <v>1385</v>
      </c>
    </row>
    <row r="619" customFormat="false" ht="15" hidden="false" customHeight="false" outlineLevel="0" collapsed="false">
      <c r="A619" s="2" t="s">
        <v>18</v>
      </c>
      <c r="B619" s="2" t="s">
        <v>1509</v>
      </c>
      <c r="C619" s="2" t="s">
        <v>2428</v>
      </c>
      <c r="D619" s="2" t="s">
        <v>1511</v>
      </c>
      <c r="E619" s="4" t="n">
        <v>771.73</v>
      </c>
      <c r="F619" s="4" t="n">
        <v>70.17</v>
      </c>
      <c r="G619" s="4" t="n">
        <v>701.56</v>
      </c>
      <c r="H619" s="2" t="s">
        <v>1385</v>
      </c>
    </row>
    <row r="620" customFormat="false" ht="15" hidden="false" customHeight="false" outlineLevel="0" collapsed="false">
      <c r="A620" s="2" t="s">
        <v>18</v>
      </c>
      <c r="B620" s="2" t="s">
        <v>249</v>
      </c>
      <c r="C620" s="2" t="s">
        <v>250</v>
      </c>
      <c r="D620" s="2" t="s">
        <v>251</v>
      </c>
      <c r="E620" s="4" t="n">
        <v>174.59</v>
      </c>
      <c r="F620" s="4" t="n">
        <v>15.88</v>
      </c>
      <c r="G620" s="4" t="n">
        <v>158.71</v>
      </c>
      <c r="H620" s="2" t="s">
        <v>1381</v>
      </c>
    </row>
    <row r="621" customFormat="false" ht="15" hidden="false" customHeight="false" outlineLevel="0" collapsed="false">
      <c r="A621" s="2" t="s">
        <v>18</v>
      </c>
      <c r="B621" s="2" t="s">
        <v>1517</v>
      </c>
      <c r="C621" s="2" t="s">
        <v>2429</v>
      </c>
      <c r="D621" s="2" t="s">
        <v>1519</v>
      </c>
      <c r="E621" s="4" t="n">
        <v>1324.36</v>
      </c>
      <c r="F621" s="4" t="n">
        <v>120.4</v>
      </c>
      <c r="G621" s="4" t="n">
        <v>1203.96</v>
      </c>
      <c r="H621" s="2" t="s">
        <v>1385</v>
      </c>
    </row>
    <row r="622" customFormat="false" ht="15" hidden="false" customHeight="false" outlineLevel="0" collapsed="false">
      <c r="A622" s="2" t="s">
        <v>18</v>
      </c>
      <c r="B622" s="2" t="s">
        <v>173</v>
      </c>
      <c r="C622" s="2" t="s">
        <v>174</v>
      </c>
      <c r="D622" s="2" t="s">
        <v>175</v>
      </c>
      <c r="E622" s="4" t="n">
        <v>262.43</v>
      </c>
      <c r="F622" s="4" t="n">
        <v>23.86</v>
      </c>
      <c r="G622" s="4" t="n">
        <v>238.57</v>
      </c>
      <c r="H622" s="2" t="s">
        <v>1381</v>
      </c>
    </row>
    <row r="623" customFormat="false" ht="15" hidden="false" customHeight="false" outlineLevel="0" collapsed="false">
      <c r="A623" s="2" t="s">
        <v>18</v>
      </c>
      <c r="B623" s="2" t="s">
        <v>1513</v>
      </c>
      <c r="C623" s="2" t="s">
        <v>2430</v>
      </c>
      <c r="D623" s="2" t="s">
        <v>1515</v>
      </c>
      <c r="E623" s="4" t="n">
        <v>126.22</v>
      </c>
      <c r="F623" s="4" t="n">
        <v>11.48</v>
      </c>
      <c r="G623" s="4" t="n">
        <v>114.74</v>
      </c>
      <c r="H623" s="2" t="s">
        <v>1385</v>
      </c>
    </row>
    <row r="624" customFormat="false" ht="15" hidden="false" customHeight="false" outlineLevel="0" collapsed="false">
      <c r="A624" s="2" t="s">
        <v>18</v>
      </c>
      <c r="B624" s="2" t="s">
        <v>1500</v>
      </c>
      <c r="C624" s="2" t="s">
        <v>2431</v>
      </c>
      <c r="D624" s="2" t="s">
        <v>1502</v>
      </c>
      <c r="E624" s="4" t="n">
        <v>480.47</v>
      </c>
      <c r="F624" s="4" t="n">
        <v>43.7</v>
      </c>
      <c r="G624" s="4" t="n">
        <v>436.77</v>
      </c>
      <c r="H624" s="2" t="s">
        <v>1385</v>
      </c>
    </row>
    <row r="625" customFormat="false" ht="15" hidden="false" customHeight="false" outlineLevel="0" collapsed="false">
      <c r="A625" s="2" t="s">
        <v>18</v>
      </c>
      <c r="B625" s="2" t="s">
        <v>1503</v>
      </c>
      <c r="C625" s="2" t="s">
        <v>2432</v>
      </c>
      <c r="D625" s="2" t="s">
        <v>1505</v>
      </c>
      <c r="E625" s="4" t="n">
        <v>261.74</v>
      </c>
      <c r="F625" s="4" t="n">
        <v>23.8</v>
      </c>
      <c r="G625" s="4" t="n">
        <v>237.94</v>
      </c>
      <c r="H625" s="2" t="s">
        <v>1385</v>
      </c>
    </row>
    <row r="626" customFormat="false" ht="15" hidden="false" customHeight="false" outlineLevel="0" collapsed="false">
      <c r="A626" s="2" t="s">
        <v>18</v>
      </c>
      <c r="B626" s="2" t="s">
        <v>1727</v>
      </c>
      <c r="C626" s="2" t="s">
        <v>2433</v>
      </c>
      <c r="D626" s="2" t="s">
        <v>1729</v>
      </c>
      <c r="E626" s="4" t="n">
        <v>0</v>
      </c>
      <c r="F626" s="4" t="n">
        <v>0</v>
      </c>
      <c r="G626" s="4" t="n">
        <v>0</v>
      </c>
      <c r="H626" s="2" t="s">
        <v>1385</v>
      </c>
    </row>
    <row r="627" customFormat="false" ht="15" hidden="false" customHeight="false" outlineLevel="0" collapsed="false">
      <c r="A627" s="2" t="s">
        <v>18</v>
      </c>
      <c r="B627" s="2" t="s">
        <v>1506</v>
      </c>
      <c r="C627" s="2" t="s">
        <v>2434</v>
      </c>
      <c r="D627" s="2" t="s">
        <v>1508</v>
      </c>
      <c r="E627" s="4" t="n">
        <v>129.42</v>
      </c>
      <c r="F627" s="4" t="n">
        <v>11.77</v>
      </c>
      <c r="G627" s="4" t="n">
        <v>117.65</v>
      </c>
      <c r="H627" s="2" t="s">
        <v>1385</v>
      </c>
    </row>
    <row r="628" customFormat="false" ht="15" hidden="false" customHeight="false" outlineLevel="0" collapsed="false">
      <c r="A628" s="2" t="s">
        <v>18</v>
      </c>
      <c r="B628" s="2" t="s">
        <v>1005</v>
      </c>
      <c r="C628" s="2" t="s">
        <v>1006</v>
      </c>
      <c r="D628" s="2" t="s">
        <v>1007</v>
      </c>
      <c r="E628" s="4" t="n">
        <v>112.04</v>
      </c>
      <c r="F628" s="4" t="n">
        <v>10.19</v>
      </c>
      <c r="G628" s="4" t="n">
        <v>101.85</v>
      </c>
      <c r="H628" s="2" t="s">
        <v>1381</v>
      </c>
    </row>
    <row r="629" customFormat="false" ht="15" hidden="false" customHeight="false" outlineLevel="0" collapsed="false">
      <c r="A629" s="2" t="s">
        <v>18</v>
      </c>
      <c r="B629" s="2" t="s">
        <v>1012</v>
      </c>
      <c r="C629" s="2" t="s">
        <v>1013</v>
      </c>
      <c r="D629" s="2" t="s">
        <v>1014</v>
      </c>
      <c r="E629" s="4" t="n">
        <v>70.46</v>
      </c>
      <c r="F629" s="4" t="n">
        <v>6.41</v>
      </c>
      <c r="G629" s="4" t="n">
        <v>64.05</v>
      </c>
      <c r="H629" s="2" t="s">
        <v>1381</v>
      </c>
    </row>
    <row r="630" customFormat="false" ht="15" hidden="false" customHeight="false" outlineLevel="0" collapsed="false">
      <c r="A630" s="2" t="s">
        <v>18</v>
      </c>
      <c r="B630" s="2" t="s">
        <v>1823</v>
      </c>
      <c r="C630" s="2" t="s">
        <v>2435</v>
      </c>
      <c r="D630" s="2" t="s">
        <v>1825</v>
      </c>
      <c r="E630" s="4" t="n">
        <v>223.41</v>
      </c>
      <c r="F630" s="4" t="n">
        <v>20.32</v>
      </c>
      <c r="G630" s="4" t="n">
        <v>203.09</v>
      </c>
      <c r="H630" s="2" t="s">
        <v>1385</v>
      </c>
    </row>
    <row r="631" customFormat="false" ht="15" hidden="false" customHeight="false" outlineLevel="0" collapsed="false">
      <c r="A631" s="2" t="s">
        <v>18</v>
      </c>
      <c r="B631" s="2" t="s">
        <v>1544</v>
      </c>
      <c r="C631" s="2" t="s">
        <v>2436</v>
      </c>
      <c r="D631" s="2" t="s">
        <v>1546</v>
      </c>
      <c r="E631" s="4" t="n">
        <v>106.39</v>
      </c>
      <c r="F631" s="4" t="n">
        <v>9.68</v>
      </c>
      <c r="G631" s="4" t="n">
        <v>96.71</v>
      </c>
      <c r="H631" s="2" t="s">
        <v>1385</v>
      </c>
    </row>
    <row r="632" customFormat="false" ht="15" hidden="false" customHeight="false" outlineLevel="0" collapsed="false">
      <c r="A632" s="2" t="s">
        <v>18</v>
      </c>
      <c r="B632" s="2" t="s">
        <v>1619</v>
      </c>
      <c r="C632" s="2" t="s">
        <v>2437</v>
      </c>
      <c r="D632" s="2" t="s">
        <v>1621</v>
      </c>
      <c r="E632" s="4" t="n">
        <v>148.35</v>
      </c>
      <c r="F632" s="4" t="n">
        <v>13.49</v>
      </c>
      <c r="G632" s="4" t="n">
        <v>134.86</v>
      </c>
      <c r="H632" s="2" t="s">
        <v>1385</v>
      </c>
    </row>
    <row r="633" customFormat="false" ht="15" hidden="false" customHeight="false" outlineLevel="0" collapsed="false">
      <c r="A633" s="2" t="s">
        <v>18</v>
      </c>
      <c r="B633" s="2" t="s">
        <v>1616</v>
      </c>
      <c r="C633" s="2" t="s">
        <v>2438</v>
      </c>
      <c r="D633" s="2" t="s">
        <v>1618</v>
      </c>
      <c r="E633" s="4" t="n">
        <v>428.82</v>
      </c>
      <c r="F633" s="4" t="n">
        <v>38.99</v>
      </c>
      <c r="G633" s="4" t="n">
        <v>389.83</v>
      </c>
      <c r="H633" s="2" t="s">
        <v>1385</v>
      </c>
    </row>
    <row r="634" customFormat="false" ht="15" hidden="false" customHeight="false" outlineLevel="0" collapsed="false">
      <c r="A634" s="2" t="s">
        <v>18</v>
      </c>
      <c r="B634" s="2" t="s">
        <v>1688</v>
      </c>
      <c r="C634" s="2" t="s">
        <v>2439</v>
      </c>
      <c r="D634" s="2" t="s">
        <v>1690</v>
      </c>
      <c r="E634" s="4" t="n">
        <v>677.47</v>
      </c>
      <c r="F634" s="4" t="n">
        <v>61.6</v>
      </c>
      <c r="G634" s="4" t="n">
        <v>615.87</v>
      </c>
      <c r="H634" s="2" t="s">
        <v>1385</v>
      </c>
    </row>
    <row r="635" customFormat="false" ht="15" hidden="false" customHeight="false" outlineLevel="0" collapsed="false">
      <c r="A635" s="2" t="s">
        <v>18</v>
      </c>
      <c r="B635" s="2" t="s">
        <v>1772</v>
      </c>
      <c r="C635" s="2" t="s">
        <v>2440</v>
      </c>
      <c r="D635" s="2" t="s">
        <v>1774</v>
      </c>
      <c r="E635" s="4" t="n">
        <v>266.55</v>
      </c>
      <c r="F635" s="4" t="n">
        <v>24.23</v>
      </c>
      <c r="G635" s="4" t="n">
        <v>242.32</v>
      </c>
      <c r="H635" s="2" t="s">
        <v>1385</v>
      </c>
    </row>
    <row r="636" customFormat="false" ht="15" hidden="false" customHeight="false" outlineLevel="0" collapsed="false">
      <c r="A636" s="2" t="s">
        <v>18</v>
      </c>
      <c r="B636" s="2" t="s">
        <v>1547</v>
      </c>
      <c r="C636" s="2" t="s">
        <v>2441</v>
      </c>
      <c r="D636" s="2" t="s">
        <v>1549</v>
      </c>
      <c r="E636" s="4" t="n">
        <v>175.32</v>
      </c>
      <c r="F636" s="4" t="n">
        <v>15.94</v>
      </c>
      <c r="G636" s="4" t="n">
        <v>159.38</v>
      </c>
      <c r="H636" s="2" t="s">
        <v>1385</v>
      </c>
    </row>
    <row r="637" customFormat="false" ht="15" hidden="false" customHeight="false" outlineLevel="0" collapsed="false">
      <c r="A637" s="2" t="s">
        <v>18</v>
      </c>
      <c r="B637" s="2" t="s">
        <v>1760</v>
      </c>
      <c r="C637" s="2" t="s">
        <v>2442</v>
      </c>
      <c r="D637" s="2" t="s">
        <v>1762</v>
      </c>
      <c r="E637" s="4" t="n">
        <v>235.02</v>
      </c>
      <c r="F637" s="4" t="n">
        <v>21.37</v>
      </c>
      <c r="G637" s="4" t="n">
        <v>213.65</v>
      </c>
      <c r="H637" s="2" t="s">
        <v>1385</v>
      </c>
    </row>
    <row r="638" customFormat="false" ht="15" hidden="false" customHeight="false" outlineLevel="0" collapsed="false">
      <c r="A638" s="2" t="s">
        <v>18</v>
      </c>
      <c r="B638" s="2" t="s">
        <v>1622</v>
      </c>
      <c r="C638" s="2" t="s">
        <v>2443</v>
      </c>
      <c r="D638" s="2" t="s">
        <v>1624</v>
      </c>
      <c r="E638" s="4" t="n">
        <v>199.21</v>
      </c>
      <c r="F638" s="4" t="n">
        <v>18.12</v>
      </c>
      <c r="G638" s="4" t="n">
        <v>181.09</v>
      </c>
      <c r="H638" s="2" t="s">
        <v>1385</v>
      </c>
    </row>
    <row r="639" customFormat="false" ht="15" hidden="false" customHeight="false" outlineLevel="0" collapsed="false">
      <c r="A639" s="2" t="s">
        <v>18</v>
      </c>
      <c r="B639" s="2" t="s">
        <v>1019</v>
      </c>
      <c r="C639" s="2" t="s">
        <v>1020</v>
      </c>
      <c r="D639" s="2" t="s">
        <v>1021</v>
      </c>
      <c r="E639" s="4" t="n">
        <v>129.48</v>
      </c>
      <c r="F639" s="4" t="n">
        <v>11.78</v>
      </c>
      <c r="G639" s="4" t="n">
        <v>117.7</v>
      </c>
      <c r="H639" s="2" t="s">
        <v>1381</v>
      </c>
    </row>
    <row r="640" customFormat="false" ht="15" hidden="false" customHeight="false" outlineLevel="0" collapsed="false">
      <c r="A640" s="2" t="s">
        <v>18</v>
      </c>
      <c r="B640" s="2" t="s">
        <v>1026</v>
      </c>
      <c r="C640" s="2" t="s">
        <v>1027</v>
      </c>
      <c r="D640" s="2" t="s">
        <v>1028</v>
      </c>
      <c r="E640" s="4" t="n">
        <v>121.92</v>
      </c>
      <c r="F640" s="4" t="n">
        <v>11.09</v>
      </c>
      <c r="G640" s="4" t="n">
        <v>110.83</v>
      </c>
      <c r="H640" s="2" t="s">
        <v>1381</v>
      </c>
    </row>
    <row r="641" customFormat="false" ht="15" hidden="false" customHeight="false" outlineLevel="0" collapsed="false">
      <c r="A641" s="2" t="s">
        <v>18</v>
      </c>
      <c r="B641" s="2" t="s">
        <v>1778</v>
      </c>
      <c r="C641" s="2" t="s">
        <v>2444</v>
      </c>
      <c r="D641" s="2" t="s">
        <v>2445</v>
      </c>
      <c r="E641" s="4" t="n">
        <v>-353.52</v>
      </c>
      <c r="F641" s="4" t="n">
        <v>-32.13</v>
      </c>
      <c r="G641" s="4" t="n">
        <v>-321.39</v>
      </c>
      <c r="H641" s="2" t="s">
        <v>1385</v>
      </c>
    </row>
    <row r="642" customFormat="false" ht="15" hidden="false" customHeight="false" outlineLevel="0" collapsed="false">
      <c r="A642" s="2" t="s">
        <v>18</v>
      </c>
      <c r="B642" s="2" t="s">
        <v>1733</v>
      </c>
      <c r="C642" s="2" t="s">
        <v>2446</v>
      </c>
      <c r="D642" s="2" t="s">
        <v>1735</v>
      </c>
      <c r="E642" s="4" t="n">
        <v>6858.46</v>
      </c>
      <c r="F642" s="4" t="n">
        <v>632.36</v>
      </c>
      <c r="G642" s="4" t="n">
        <v>6226.1</v>
      </c>
      <c r="H642" s="2" t="s">
        <v>1385</v>
      </c>
    </row>
    <row r="643" customFormat="false" ht="15" hidden="false" customHeight="false" outlineLevel="0" collapsed="false">
      <c r="A643" s="2" t="s">
        <v>18</v>
      </c>
      <c r="B643" s="2" t="s">
        <v>1604</v>
      </c>
      <c r="C643" s="2" t="s">
        <v>2447</v>
      </c>
      <c r="D643" s="2" t="s">
        <v>1606</v>
      </c>
      <c r="E643" s="4" t="n">
        <v>2409.87</v>
      </c>
      <c r="F643" s="4" t="n">
        <v>219.08</v>
      </c>
      <c r="G643" s="4" t="n">
        <v>2190.79</v>
      </c>
      <c r="H643" s="2" t="s">
        <v>1385</v>
      </c>
    </row>
    <row r="644" customFormat="false" ht="15" hidden="false" customHeight="false" outlineLevel="0" collapsed="false">
      <c r="A644" s="2" t="s">
        <v>18</v>
      </c>
      <c r="B644" s="2" t="s">
        <v>945</v>
      </c>
      <c r="C644" s="2" t="s">
        <v>946</v>
      </c>
      <c r="D644" s="2" t="s">
        <v>947</v>
      </c>
      <c r="E644" s="4" t="n">
        <v>71.46</v>
      </c>
      <c r="F644" s="4" t="n">
        <v>6.5</v>
      </c>
      <c r="G644" s="4" t="n">
        <v>64.96</v>
      </c>
      <c r="H644" s="2" t="s">
        <v>1381</v>
      </c>
    </row>
    <row r="645" customFormat="false" ht="15" hidden="false" customHeight="false" outlineLevel="0" collapsed="false">
      <c r="A645" s="2" t="s">
        <v>18</v>
      </c>
      <c r="B645" s="2" t="s">
        <v>951</v>
      </c>
      <c r="C645" s="2" t="s">
        <v>952</v>
      </c>
      <c r="D645" s="2" t="s">
        <v>953</v>
      </c>
      <c r="E645" s="4" t="n">
        <v>73.23</v>
      </c>
      <c r="F645" s="4" t="n">
        <v>6.66</v>
      </c>
      <c r="G645" s="4" t="n">
        <v>66.57</v>
      </c>
      <c r="H645" s="2" t="s">
        <v>1381</v>
      </c>
    </row>
    <row r="646" customFormat="false" ht="15" hidden="false" customHeight="false" outlineLevel="0" collapsed="false">
      <c r="A646" s="2" t="s">
        <v>18</v>
      </c>
      <c r="B646" s="2" t="s">
        <v>1868</v>
      </c>
      <c r="C646" s="2" t="s">
        <v>2448</v>
      </c>
      <c r="D646" s="2" t="s">
        <v>1870</v>
      </c>
      <c r="E646" s="4" t="n">
        <v>589.05</v>
      </c>
      <c r="F646" s="4" t="n">
        <v>53.56</v>
      </c>
      <c r="G646" s="4" t="n">
        <v>535.49</v>
      </c>
      <c r="H646" s="2" t="s">
        <v>1385</v>
      </c>
    </row>
    <row r="647" customFormat="false" ht="15" hidden="false" customHeight="false" outlineLevel="0" collapsed="false">
      <c r="A647" s="2" t="s">
        <v>18</v>
      </c>
      <c r="B647" s="2" t="s">
        <v>1673</v>
      </c>
      <c r="C647" s="2" t="s">
        <v>2449</v>
      </c>
      <c r="D647" s="2" t="s">
        <v>1675</v>
      </c>
      <c r="E647" s="4" t="n">
        <v>708.95</v>
      </c>
      <c r="F647" s="4" t="n">
        <v>64.46</v>
      </c>
      <c r="G647" s="4" t="n">
        <v>644.49</v>
      </c>
      <c r="H647" s="2" t="s">
        <v>1385</v>
      </c>
    </row>
    <row r="648" customFormat="false" ht="15" hidden="false" customHeight="false" outlineLevel="0" collapsed="false">
      <c r="A648" s="2" t="s">
        <v>18</v>
      </c>
      <c r="B648" s="2" t="s">
        <v>1703</v>
      </c>
      <c r="C648" s="2" t="s">
        <v>2450</v>
      </c>
      <c r="D648" s="2" t="s">
        <v>1705</v>
      </c>
      <c r="E648" s="4" t="n">
        <v>188.86</v>
      </c>
      <c r="F648" s="4" t="n">
        <v>17.17</v>
      </c>
      <c r="G648" s="4" t="n">
        <v>171.69</v>
      </c>
      <c r="H648" s="2" t="s">
        <v>1385</v>
      </c>
    </row>
    <row r="649" customFormat="false" ht="15" hidden="false" customHeight="false" outlineLevel="0" collapsed="false">
      <c r="A649" s="2" t="s">
        <v>18</v>
      </c>
      <c r="B649" s="2" t="s">
        <v>1607</v>
      </c>
      <c r="C649" s="2" t="s">
        <v>2451</v>
      </c>
      <c r="D649" s="2" t="s">
        <v>1609</v>
      </c>
      <c r="E649" s="4" t="n">
        <v>111.2</v>
      </c>
      <c r="F649" s="4" t="n">
        <v>10.11</v>
      </c>
      <c r="G649" s="4" t="n">
        <v>101.09</v>
      </c>
      <c r="H649" s="2" t="s">
        <v>1385</v>
      </c>
    </row>
    <row r="650" customFormat="false" ht="15" hidden="false" customHeight="false" outlineLevel="0" collapsed="false">
      <c r="A650" s="2" t="s">
        <v>18</v>
      </c>
      <c r="B650" s="2" t="s">
        <v>1871</v>
      </c>
      <c r="C650" s="2" t="s">
        <v>2452</v>
      </c>
      <c r="D650" s="2" t="s">
        <v>1873</v>
      </c>
      <c r="E650" s="4" t="n">
        <v>179.28</v>
      </c>
      <c r="F650" s="4" t="n">
        <v>16.31</v>
      </c>
      <c r="G650" s="4" t="n">
        <v>162.97</v>
      </c>
      <c r="H650" s="2" t="s">
        <v>1385</v>
      </c>
    </row>
    <row r="651" customFormat="false" ht="15" hidden="false" customHeight="false" outlineLevel="0" collapsed="false">
      <c r="A651" s="2" t="s">
        <v>18</v>
      </c>
      <c r="B651" s="2" t="s">
        <v>1685</v>
      </c>
      <c r="C651" s="2" t="s">
        <v>2453</v>
      </c>
      <c r="D651" s="2" t="s">
        <v>1687</v>
      </c>
      <c r="E651" s="4" t="n">
        <v>195.15</v>
      </c>
      <c r="F651" s="4" t="n">
        <v>17.74</v>
      </c>
      <c r="G651" s="4" t="n">
        <v>177.41</v>
      </c>
      <c r="H651" s="2" t="s">
        <v>1385</v>
      </c>
    </row>
    <row r="652" customFormat="false" ht="15" hidden="false" customHeight="false" outlineLevel="0" collapsed="false">
      <c r="A652" s="2" t="s">
        <v>18</v>
      </c>
      <c r="B652" s="2" t="s">
        <v>1637</v>
      </c>
      <c r="C652" s="2" t="s">
        <v>2454</v>
      </c>
      <c r="D652" s="2" t="s">
        <v>1639</v>
      </c>
      <c r="E652" s="4" t="n">
        <v>70.46</v>
      </c>
      <c r="F652" s="4" t="n">
        <v>6.41</v>
      </c>
      <c r="G652" s="4" t="n">
        <v>64.05</v>
      </c>
      <c r="H652" s="2" t="s">
        <v>1385</v>
      </c>
    </row>
    <row r="653" customFormat="false" ht="15" hidden="false" customHeight="false" outlineLevel="0" collapsed="false">
      <c r="A653" s="2" t="s">
        <v>18</v>
      </c>
      <c r="B653" s="2" t="s">
        <v>1682</v>
      </c>
      <c r="C653" s="2" t="s">
        <v>2455</v>
      </c>
      <c r="D653" s="2" t="s">
        <v>1684</v>
      </c>
      <c r="E653" s="4" t="n">
        <v>267.91</v>
      </c>
      <c r="F653" s="4" t="n">
        <v>24.36</v>
      </c>
      <c r="G653" s="4" t="n">
        <v>243.55</v>
      </c>
      <c r="H653" s="2" t="s">
        <v>1385</v>
      </c>
    </row>
    <row r="654" customFormat="false" ht="15" hidden="false" customHeight="false" outlineLevel="0" collapsed="false">
      <c r="A654" s="2" t="s">
        <v>18</v>
      </c>
      <c r="B654" s="2" t="s">
        <v>1856</v>
      </c>
      <c r="C654" s="2" t="s">
        <v>2456</v>
      </c>
      <c r="D654" s="2" t="s">
        <v>1858</v>
      </c>
      <c r="E654" s="4" t="n">
        <v>221.81</v>
      </c>
      <c r="F654" s="4" t="n">
        <v>20.17</v>
      </c>
      <c r="G654" s="4" t="n">
        <v>201.64</v>
      </c>
      <c r="H654" s="2" t="s">
        <v>1385</v>
      </c>
    </row>
    <row r="655" customFormat="false" ht="15" hidden="false" customHeight="false" outlineLevel="0" collapsed="false">
      <c r="A655" s="2" t="s">
        <v>18</v>
      </c>
      <c r="B655" s="2" t="s">
        <v>1805</v>
      </c>
      <c r="C655" s="2" t="s">
        <v>2457</v>
      </c>
      <c r="D655" s="2" t="s">
        <v>1807</v>
      </c>
      <c r="E655" s="4" t="n">
        <v>302.13</v>
      </c>
      <c r="F655" s="4" t="n">
        <v>27.47</v>
      </c>
      <c r="G655" s="4" t="n">
        <v>274.66</v>
      </c>
      <c r="H655" s="2" t="s">
        <v>1385</v>
      </c>
    </row>
    <row r="656" customFormat="false" ht="15" hidden="false" customHeight="false" outlineLevel="0" collapsed="false">
      <c r="A656" s="2" t="s">
        <v>18</v>
      </c>
      <c r="B656" s="2" t="s">
        <v>1664</v>
      </c>
      <c r="C656" s="2" t="s">
        <v>2458</v>
      </c>
      <c r="D656" s="2" t="s">
        <v>1666</v>
      </c>
      <c r="E656" s="4" t="n">
        <v>70.46</v>
      </c>
      <c r="F656" s="4" t="n">
        <v>6.41</v>
      </c>
      <c r="G656" s="4" t="n">
        <v>64.05</v>
      </c>
      <c r="H656" s="2" t="s">
        <v>1385</v>
      </c>
    </row>
    <row r="657" customFormat="false" ht="15" hidden="false" customHeight="false" outlineLevel="0" collapsed="false">
      <c r="A657" s="2" t="s">
        <v>18</v>
      </c>
      <c r="B657" s="2" t="s">
        <v>875</v>
      </c>
      <c r="C657" s="2" t="s">
        <v>906</v>
      </c>
      <c r="D657" s="2" t="s">
        <v>877</v>
      </c>
      <c r="E657" s="4" t="n">
        <v>130.72</v>
      </c>
      <c r="F657" s="4" t="n">
        <v>11.89</v>
      </c>
      <c r="G657" s="4" t="n">
        <v>118.83</v>
      </c>
      <c r="H657" s="2" t="s">
        <v>1381</v>
      </c>
    </row>
    <row r="658" customFormat="false" ht="15" hidden="false" customHeight="false" outlineLevel="0" collapsed="false">
      <c r="A658" s="2" t="s">
        <v>18</v>
      </c>
      <c r="B658" s="2" t="s">
        <v>1595</v>
      </c>
      <c r="C658" s="2" t="s">
        <v>2459</v>
      </c>
      <c r="D658" s="2" t="s">
        <v>1597</v>
      </c>
      <c r="E658" s="4" t="n">
        <v>87.52</v>
      </c>
      <c r="F658" s="4" t="n">
        <v>7.96</v>
      </c>
      <c r="G658" s="4" t="n">
        <v>79.56</v>
      </c>
      <c r="H658" s="2" t="s">
        <v>1385</v>
      </c>
    </row>
    <row r="659" customFormat="false" ht="15" hidden="false" customHeight="false" outlineLevel="0" collapsed="false">
      <c r="A659" s="2" t="s">
        <v>18</v>
      </c>
      <c r="B659" s="2" t="s">
        <v>1799</v>
      </c>
      <c r="C659" s="2" t="s">
        <v>2460</v>
      </c>
      <c r="D659" s="2" t="s">
        <v>1801</v>
      </c>
      <c r="E659" s="4" t="n">
        <v>70.46</v>
      </c>
      <c r="F659" s="4" t="n">
        <v>6.41</v>
      </c>
      <c r="G659" s="4" t="n">
        <v>64.05</v>
      </c>
      <c r="H659" s="2" t="s">
        <v>1385</v>
      </c>
    </row>
    <row r="660" customFormat="false" ht="15" hidden="false" customHeight="false" outlineLevel="0" collapsed="false">
      <c r="A660" s="2" t="s">
        <v>18</v>
      </c>
      <c r="B660" s="2" t="s">
        <v>978</v>
      </c>
      <c r="C660" s="2" t="s">
        <v>979</v>
      </c>
      <c r="D660" s="2" t="s">
        <v>980</v>
      </c>
      <c r="E660" s="4" t="n">
        <v>70.46</v>
      </c>
      <c r="F660" s="4" t="n">
        <v>6.41</v>
      </c>
      <c r="G660" s="4" t="n">
        <v>64.05</v>
      </c>
      <c r="H660" s="2" t="s">
        <v>1381</v>
      </c>
    </row>
    <row r="661" customFormat="false" ht="15" hidden="false" customHeight="false" outlineLevel="0" collapsed="false">
      <c r="A661" s="2" t="s">
        <v>18</v>
      </c>
      <c r="B661" s="2" t="s">
        <v>1802</v>
      </c>
      <c r="C661" s="2" t="s">
        <v>2461</v>
      </c>
      <c r="D661" s="2" t="s">
        <v>1804</v>
      </c>
      <c r="E661" s="4" t="n">
        <v>359.61</v>
      </c>
      <c r="F661" s="4" t="n">
        <v>34.72</v>
      </c>
      <c r="G661" s="4" t="n">
        <v>324.89</v>
      </c>
      <c r="H661" s="2" t="s">
        <v>1385</v>
      </c>
    </row>
    <row r="662" customFormat="false" ht="15" hidden="false" customHeight="false" outlineLevel="0" collapsed="false">
      <c r="A662" s="2" t="s">
        <v>18</v>
      </c>
      <c r="B662" s="2" t="s">
        <v>1529</v>
      </c>
      <c r="C662" s="2" t="s">
        <v>2462</v>
      </c>
      <c r="D662" s="2" t="s">
        <v>1531</v>
      </c>
      <c r="E662" s="4" t="n">
        <v>315.68</v>
      </c>
      <c r="F662" s="4" t="n">
        <v>50.08</v>
      </c>
      <c r="G662" s="4" t="n">
        <v>265.6</v>
      </c>
      <c r="H662" s="2" t="s">
        <v>1385</v>
      </c>
    </row>
    <row r="663" customFormat="false" ht="15" hidden="false" customHeight="false" outlineLevel="0" collapsed="false">
      <c r="A663" s="2" t="s">
        <v>18</v>
      </c>
      <c r="B663" s="2" t="s">
        <v>958</v>
      </c>
      <c r="C663" s="2" t="s">
        <v>959</v>
      </c>
      <c r="D663" s="2" t="s">
        <v>960</v>
      </c>
      <c r="E663" s="4" t="n">
        <v>88.3</v>
      </c>
      <c r="F663" s="4" t="n">
        <v>8.03</v>
      </c>
      <c r="G663" s="4" t="n">
        <v>80.27</v>
      </c>
      <c r="H663" s="2" t="s">
        <v>1381</v>
      </c>
    </row>
    <row r="664" customFormat="false" ht="15" hidden="false" customHeight="false" outlineLevel="0" collapsed="false">
      <c r="A664" s="2" t="s">
        <v>18</v>
      </c>
      <c r="B664" s="2" t="s">
        <v>1832</v>
      </c>
      <c r="C664" s="2" t="s">
        <v>2463</v>
      </c>
      <c r="D664" s="2" t="s">
        <v>1834</v>
      </c>
      <c r="E664" s="4" t="n">
        <v>905.32</v>
      </c>
      <c r="F664" s="4" t="n">
        <v>82.3</v>
      </c>
      <c r="G664" s="4" t="n">
        <v>823.02</v>
      </c>
      <c r="H664" s="2" t="s">
        <v>1385</v>
      </c>
    </row>
    <row r="665" customFormat="false" ht="15" hidden="false" customHeight="false" outlineLevel="0" collapsed="false">
      <c r="A665" s="2" t="s">
        <v>18</v>
      </c>
      <c r="B665" s="2" t="s">
        <v>1745</v>
      </c>
      <c r="C665" s="2" t="s">
        <v>2464</v>
      </c>
      <c r="D665" s="2" t="s">
        <v>1747</v>
      </c>
      <c r="E665" s="4" t="n">
        <v>73.95</v>
      </c>
      <c r="F665" s="4" t="n">
        <v>6.73</v>
      </c>
      <c r="G665" s="4" t="n">
        <v>67.22</v>
      </c>
      <c r="H665" s="2" t="s">
        <v>1385</v>
      </c>
    </row>
    <row r="666" customFormat="false" ht="15" hidden="false" customHeight="false" outlineLevel="0" collapsed="false">
      <c r="A666" s="2" t="s">
        <v>18</v>
      </c>
      <c r="B666" s="2" t="s">
        <v>1559</v>
      </c>
      <c r="C666" s="2" t="s">
        <v>2465</v>
      </c>
      <c r="D666" s="2" t="s">
        <v>1561</v>
      </c>
      <c r="E666" s="4" t="n">
        <v>104.92</v>
      </c>
      <c r="F666" s="4" t="n">
        <v>9.54</v>
      </c>
      <c r="G666" s="4" t="n">
        <v>95.38</v>
      </c>
      <c r="H666" s="2" t="s">
        <v>1385</v>
      </c>
    </row>
    <row r="667" customFormat="false" ht="15" hidden="false" customHeight="false" outlineLevel="0" collapsed="false">
      <c r="A667" s="2" t="s">
        <v>18</v>
      </c>
      <c r="B667" s="2" t="s">
        <v>1649</v>
      </c>
      <c r="C667" s="2" t="s">
        <v>2466</v>
      </c>
      <c r="D667" s="2" t="s">
        <v>1651</v>
      </c>
      <c r="E667" s="4" t="n">
        <v>59.89</v>
      </c>
      <c r="F667" s="4" t="n">
        <v>5.45</v>
      </c>
      <c r="G667" s="4" t="n">
        <v>54.44</v>
      </c>
      <c r="H667" s="2" t="s">
        <v>1385</v>
      </c>
    </row>
    <row r="668" customFormat="false" ht="15" hidden="false" customHeight="false" outlineLevel="0" collapsed="false">
      <c r="A668" s="2" t="s">
        <v>18</v>
      </c>
      <c r="B668" s="2" t="s">
        <v>1256</v>
      </c>
      <c r="C668" s="2" t="s">
        <v>1257</v>
      </c>
      <c r="D668" s="2" t="s">
        <v>1258</v>
      </c>
      <c r="E668" s="4" t="n">
        <v>54.69</v>
      </c>
      <c r="F668" s="4" t="n">
        <v>4.98</v>
      </c>
      <c r="G668" s="4" t="n">
        <v>49.71</v>
      </c>
      <c r="H668" s="2" t="s">
        <v>1381</v>
      </c>
    </row>
    <row r="669" customFormat="false" ht="15" hidden="false" customHeight="false" outlineLevel="0" collapsed="false">
      <c r="A669" s="2" t="s">
        <v>18</v>
      </c>
      <c r="B669" s="2" t="s">
        <v>1754</v>
      </c>
      <c r="C669" s="2" t="s">
        <v>2467</v>
      </c>
      <c r="D669" s="2" t="s">
        <v>1756</v>
      </c>
      <c r="E669" s="4" t="n">
        <v>195.7</v>
      </c>
      <c r="F669" s="4" t="n">
        <v>17.8</v>
      </c>
      <c r="G669" s="4" t="n">
        <v>177.9</v>
      </c>
      <c r="H669" s="2" t="s">
        <v>1385</v>
      </c>
    </row>
    <row r="670" customFormat="false" ht="15" hidden="false" customHeight="false" outlineLevel="0" collapsed="false">
      <c r="A670" s="2" t="s">
        <v>18</v>
      </c>
      <c r="B670" s="2" t="s">
        <v>1766</v>
      </c>
      <c r="C670" s="2" t="s">
        <v>2468</v>
      </c>
      <c r="D670" s="2" t="s">
        <v>1768</v>
      </c>
      <c r="E670" s="4" t="n">
        <v>859.05</v>
      </c>
      <c r="F670" s="4" t="n">
        <v>78.1</v>
      </c>
      <c r="G670" s="4" t="n">
        <v>780.95</v>
      </c>
      <c r="H670" s="2" t="s">
        <v>1385</v>
      </c>
    </row>
    <row r="671" customFormat="false" ht="15" hidden="false" customHeight="false" outlineLevel="0" collapsed="false">
      <c r="A671" s="2" t="s">
        <v>18</v>
      </c>
      <c r="B671" s="2" t="s">
        <v>1784</v>
      </c>
      <c r="C671" s="2" t="s">
        <v>2469</v>
      </c>
      <c r="D671" s="2" t="s">
        <v>1786</v>
      </c>
      <c r="E671" s="4" t="n">
        <v>126.99</v>
      </c>
      <c r="F671" s="4" t="n">
        <v>11.55</v>
      </c>
      <c r="G671" s="4" t="n">
        <v>115.44</v>
      </c>
      <c r="H671" s="2" t="s">
        <v>1385</v>
      </c>
    </row>
    <row r="672" customFormat="false" ht="15" hidden="false" customHeight="false" outlineLevel="0" collapsed="false">
      <c r="A672" s="2" t="s">
        <v>18</v>
      </c>
      <c r="B672" s="2" t="s">
        <v>1877</v>
      </c>
      <c r="C672" s="2" t="s">
        <v>2470</v>
      </c>
      <c r="D672" s="2" t="s">
        <v>1879</v>
      </c>
      <c r="E672" s="4" t="n">
        <v>674.23</v>
      </c>
      <c r="F672" s="4" t="n">
        <v>61.3</v>
      </c>
      <c r="G672" s="4" t="n">
        <v>612.93</v>
      </c>
      <c r="H672" s="2" t="s">
        <v>1385</v>
      </c>
    </row>
    <row r="673" customFormat="false" ht="15" hidden="false" customHeight="false" outlineLevel="0" collapsed="false">
      <c r="A673" s="2" t="s">
        <v>18</v>
      </c>
      <c r="B673" s="2" t="s">
        <v>1769</v>
      </c>
      <c r="C673" s="2" t="s">
        <v>2471</v>
      </c>
      <c r="D673" s="2" t="s">
        <v>1771</v>
      </c>
      <c r="E673" s="4" t="n">
        <v>387.47</v>
      </c>
      <c r="F673" s="4" t="n">
        <v>35.23</v>
      </c>
      <c r="G673" s="4" t="n">
        <v>352.24</v>
      </c>
      <c r="H673" s="2" t="s">
        <v>1385</v>
      </c>
    </row>
    <row r="674" customFormat="false" ht="15" hidden="false" customHeight="false" outlineLevel="0" collapsed="false">
      <c r="A674" s="2" t="s">
        <v>18</v>
      </c>
      <c r="B674" s="2" t="s">
        <v>185</v>
      </c>
      <c r="C674" s="2" t="s">
        <v>186</v>
      </c>
      <c r="D674" s="2" t="s">
        <v>187</v>
      </c>
      <c r="E674" s="4" t="n">
        <v>341.9</v>
      </c>
      <c r="F674" s="4" t="n">
        <v>31.09</v>
      </c>
      <c r="G674" s="4" t="n">
        <v>310.81</v>
      </c>
      <c r="H674" s="2" t="s">
        <v>1381</v>
      </c>
    </row>
    <row r="675" customFormat="false" ht="15" hidden="false" customHeight="false" outlineLevel="0" collapsed="false">
      <c r="A675" s="2" t="s">
        <v>18</v>
      </c>
      <c r="B675" s="2" t="s">
        <v>1757</v>
      </c>
      <c r="C675" s="2" t="s">
        <v>2472</v>
      </c>
      <c r="D675" s="2" t="s">
        <v>1759</v>
      </c>
      <c r="E675" s="4" t="n">
        <v>318.24</v>
      </c>
      <c r="F675" s="4" t="n">
        <v>28.93</v>
      </c>
      <c r="G675" s="4" t="n">
        <v>289.31</v>
      </c>
      <c r="H675" s="2" t="s">
        <v>1385</v>
      </c>
    </row>
    <row r="676" customFormat="false" ht="15" hidden="false" customHeight="false" outlineLevel="0" collapsed="false">
      <c r="A676" s="2" t="s">
        <v>18</v>
      </c>
      <c r="B676" s="2" t="s">
        <v>1538</v>
      </c>
      <c r="C676" s="2" t="s">
        <v>2473</v>
      </c>
      <c r="D676" s="2" t="s">
        <v>1540</v>
      </c>
      <c r="E676" s="4" t="n">
        <v>429.2</v>
      </c>
      <c r="F676" s="4" t="n">
        <v>39.02</v>
      </c>
      <c r="G676" s="4" t="n">
        <v>390.18</v>
      </c>
      <c r="H676" s="2" t="s">
        <v>1385</v>
      </c>
    </row>
    <row r="677" customFormat="false" ht="15" hidden="false" customHeight="false" outlineLevel="0" collapsed="false">
      <c r="A677" s="2" t="s">
        <v>18</v>
      </c>
      <c r="B677" s="2" t="s">
        <v>1808</v>
      </c>
      <c r="C677" s="2" t="s">
        <v>2474</v>
      </c>
      <c r="D677" s="2" t="s">
        <v>1810</v>
      </c>
      <c r="E677" s="4" t="n">
        <v>122.05</v>
      </c>
      <c r="F677" s="4" t="n">
        <v>11.1</v>
      </c>
      <c r="G677" s="4" t="n">
        <v>110.95</v>
      </c>
      <c r="H677" s="2" t="s">
        <v>1385</v>
      </c>
    </row>
    <row r="678" customFormat="false" ht="15" hidden="false" customHeight="false" outlineLevel="0" collapsed="false">
      <c r="A678" s="2" t="s">
        <v>18</v>
      </c>
      <c r="B678" s="2" t="s">
        <v>1205</v>
      </c>
      <c r="C678" s="2" t="s">
        <v>1262</v>
      </c>
      <c r="D678" s="2" t="s">
        <v>1207</v>
      </c>
      <c r="E678" s="4" t="n">
        <v>106.27</v>
      </c>
      <c r="F678" s="4" t="n">
        <v>9.67</v>
      </c>
      <c r="G678" s="4" t="n">
        <v>96.6</v>
      </c>
      <c r="H678" s="2" t="s">
        <v>1381</v>
      </c>
    </row>
    <row r="679" customFormat="false" ht="15" hidden="false" customHeight="false" outlineLevel="0" collapsed="false">
      <c r="A679" s="2" t="s">
        <v>18</v>
      </c>
      <c r="B679" s="2" t="s">
        <v>1265</v>
      </c>
      <c r="C679" s="2" t="s">
        <v>1266</v>
      </c>
      <c r="D679" s="2" t="s">
        <v>1267</v>
      </c>
      <c r="E679" s="4" t="n">
        <v>62.21</v>
      </c>
      <c r="F679" s="4" t="n">
        <v>5.66</v>
      </c>
      <c r="G679" s="4" t="n">
        <v>56.55</v>
      </c>
      <c r="H679" s="2" t="s">
        <v>1381</v>
      </c>
    </row>
    <row r="680" customFormat="false" ht="15" hidden="false" customHeight="false" outlineLevel="0" collapsed="false">
      <c r="A680" s="2" t="s">
        <v>18</v>
      </c>
      <c r="B680" s="2" t="s">
        <v>1646</v>
      </c>
      <c r="C680" s="2" t="s">
        <v>2475</v>
      </c>
      <c r="D680" s="2" t="s">
        <v>1648</v>
      </c>
      <c r="E680" s="4" t="n">
        <v>70.46</v>
      </c>
      <c r="F680" s="4" t="n">
        <v>6.41</v>
      </c>
      <c r="G680" s="4" t="n">
        <v>64.05</v>
      </c>
      <c r="H680" s="2" t="s">
        <v>1385</v>
      </c>
    </row>
    <row r="681" customFormat="false" ht="15" hidden="false" customHeight="false" outlineLevel="0" collapsed="false">
      <c r="A681" s="2" t="s">
        <v>18</v>
      </c>
      <c r="B681" s="2" t="s">
        <v>1850</v>
      </c>
      <c r="C681" s="2" t="s">
        <v>2476</v>
      </c>
      <c r="D681" s="2" t="s">
        <v>1852</v>
      </c>
      <c r="E681" s="4" t="n">
        <v>153.46</v>
      </c>
      <c r="F681" s="4" t="n">
        <v>13.96</v>
      </c>
      <c r="G681" s="4" t="n">
        <v>139.5</v>
      </c>
      <c r="H681" s="2" t="s">
        <v>1385</v>
      </c>
    </row>
    <row r="682" customFormat="false" ht="15" hidden="false" customHeight="false" outlineLevel="0" collapsed="false">
      <c r="A682" s="2" t="s">
        <v>18</v>
      </c>
      <c r="B682" s="2" t="s">
        <v>1652</v>
      </c>
      <c r="C682" s="2" t="s">
        <v>2477</v>
      </c>
      <c r="D682" s="2" t="s">
        <v>1654</v>
      </c>
      <c r="E682" s="4" t="n">
        <v>142.67</v>
      </c>
      <c r="F682" s="4" t="n">
        <v>12.98</v>
      </c>
      <c r="G682" s="4" t="n">
        <v>129.69</v>
      </c>
      <c r="H682" s="2" t="s">
        <v>1385</v>
      </c>
    </row>
    <row r="683" customFormat="false" ht="15" hidden="false" customHeight="false" outlineLevel="0" collapsed="false">
      <c r="A683" s="2" t="s">
        <v>18</v>
      </c>
      <c r="B683" s="2" t="s">
        <v>1730</v>
      </c>
      <c r="C683" s="2" t="s">
        <v>2478</v>
      </c>
      <c r="D683" s="2" t="s">
        <v>1732</v>
      </c>
      <c r="E683" s="4" t="n">
        <v>253.04</v>
      </c>
      <c r="F683" s="4" t="n">
        <v>23.01</v>
      </c>
      <c r="G683" s="4" t="n">
        <v>230.03</v>
      </c>
      <c r="H683" s="2" t="s">
        <v>1385</v>
      </c>
    </row>
    <row r="684" customFormat="false" ht="15" hidden="false" customHeight="false" outlineLevel="0" collapsed="false">
      <c r="A684" s="2" t="s">
        <v>18</v>
      </c>
      <c r="B684" s="2" t="s">
        <v>1532</v>
      </c>
      <c r="C684" s="2" t="s">
        <v>2479</v>
      </c>
      <c r="D684" s="2" t="s">
        <v>1534</v>
      </c>
      <c r="E684" s="4" t="n">
        <v>751.71</v>
      </c>
      <c r="F684" s="4" t="n">
        <v>68.33</v>
      </c>
      <c r="G684" s="4" t="n">
        <v>683.38</v>
      </c>
      <c r="H684" s="2" t="s">
        <v>1385</v>
      </c>
    </row>
    <row r="685" customFormat="false" ht="15" hidden="false" customHeight="false" outlineLevel="0" collapsed="false">
      <c r="A685" s="2" t="s">
        <v>18</v>
      </c>
      <c r="B685" s="2" t="s">
        <v>971</v>
      </c>
      <c r="C685" s="2" t="s">
        <v>972</v>
      </c>
      <c r="D685" s="2" t="s">
        <v>973</v>
      </c>
      <c r="E685" s="4" t="n">
        <v>71.86</v>
      </c>
      <c r="F685" s="4" t="n">
        <v>6.53</v>
      </c>
      <c r="G685" s="4" t="n">
        <v>65.33</v>
      </c>
      <c r="H685" s="2" t="s">
        <v>1381</v>
      </c>
    </row>
    <row r="686" customFormat="false" ht="15" hidden="false" customHeight="false" outlineLevel="0" collapsed="false">
      <c r="A686" s="2" t="s">
        <v>18</v>
      </c>
      <c r="B686" s="2" t="s">
        <v>1721</v>
      </c>
      <c r="C686" s="2" t="s">
        <v>2480</v>
      </c>
      <c r="D686" s="2" t="s">
        <v>1723</v>
      </c>
      <c r="E686" s="4" t="n">
        <v>71.03</v>
      </c>
      <c r="F686" s="4" t="n">
        <v>6.47</v>
      </c>
      <c r="G686" s="4" t="n">
        <v>64.56</v>
      </c>
      <c r="H686" s="2" t="s">
        <v>1385</v>
      </c>
    </row>
    <row r="687" customFormat="false" ht="15" hidden="false" customHeight="false" outlineLevel="0" collapsed="false">
      <c r="A687" s="2" t="s">
        <v>18</v>
      </c>
      <c r="B687" s="2" t="s">
        <v>1706</v>
      </c>
      <c r="C687" s="2" t="s">
        <v>2481</v>
      </c>
      <c r="D687" s="2" t="s">
        <v>1708</v>
      </c>
      <c r="E687" s="4" t="n">
        <v>82.48</v>
      </c>
      <c r="F687" s="4" t="n">
        <v>8.8</v>
      </c>
      <c r="G687" s="4" t="n">
        <v>73.68</v>
      </c>
      <c r="H687" s="2" t="s">
        <v>1385</v>
      </c>
    </row>
    <row r="688" customFormat="false" ht="15" hidden="false" customHeight="false" outlineLevel="0" collapsed="false">
      <c r="A688" s="2" t="s">
        <v>18</v>
      </c>
      <c r="B688" s="2" t="s">
        <v>1835</v>
      </c>
      <c r="C688" s="2" t="s">
        <v>2482</v>
      </c>
      <c r="D688" s="2" t="s">
        <v>1837</v>
      </c>
      <c r="E688" s="4" t="n">
        <v>165.53</v>
      </c>
      <c r="F688" s="4" t="n">
        <v>15.05</v>
      </c>
      <c r="G688" s="4" t="n">
        <v>150.48</v>
      </c>
      <c r="H688" s="2" t="s">
        <v>1385</v>
      </c>
    </row>
    <row r="689" customFormat="false" ht="15" hidden="false" customHeight="false" outlineLevel="0" collapsed="false">
      <c r="A689" s="2" t="s">
        <v>18</v>
      </c>
      <c r="B689" s="2" t="s">
        <v>1775</v>
      </c>
      <c r="C689" s="2" t="s">
        <v>2483</v>
      </c>
      <c r="D689" s="2" t="s">
        <v>1777</v>
      </c>
      <c r="E689" s="4" t="n">
        <v>70.58</v>
      </c>
      <c r="F689" s="4" t="n">
        <v>6.42</v>
      </c>
      <c r="G689" s="4" t="n">
        <v>64.16</v>
      </c>
      <c r="H689" s="2" t="s">
        <v>1385</v>
      </c>
    </row>
    <row r="690" customFormat="false" ht="15" hidden="false" customHeight="false" outlineLevel="0" collapsed="false">
      <c r="A690" s="2" t="s">
        <v>18</v>
      </c>
      <c r="B690" s="2" t="s">
        <v>1796</v>
      </c>
      <c r="C690" s="2" t="s">
        <v>2484</v>
      </c>
      <c r="D690" s="2" t="s">
        <v>1798</v>
      </c>
      <c r="E690" s="4" t="n">
        <v>426.94</v>
      </c>
      <c r="F690" s="4" t="n">
        <v>38.81</v>
      </c>
      <c r="G690" s="4" t="n">
        <v>388.13</v>
      </c>
      <c r="H690" s="2" t="s">
        <v>1385</v>
      </c>
    </row>
    <row r="691" customFormat="false" ht="15" hidden="false" customHeight="false" outlineLevel="0" collapsed="false">
      <c r="A691" s="2" t="s">
        <v>18</v>
      </c>
      <c r="B691" s="2" t="s">
        <v>1739</v>
      </c>
      <c r="C691" s="2" t="s">
        <v>2485</v>
      </c>
      <c r="D691" s="2" t="s">
        <v>1741</v>
      </c>
      <c r="E691" s="4" t="n">
        <v>209.88</v>
      </c>
      <c r="F691" s="4" t="n">
        <v>19.08</v>
      </c>
      <c r="G691" s="4" t="n">
        <v>190.8</v>
      </c>
      <c r="H691" s="2" t="s">
        <v>1385</v>
      </c>
    </row>
    <row r="692" customFormat="false" ht="15" hidden="false" customHeight="false" outlineLevel="0" collapsed="false">
      <c r="A692" s="2" t="s">
        <v>18</v>
      </c>
      <c r="B692" s="2" t="s">
        <v>1565</v>
      </c>
      <c r="C692" s="2" t="s">
        <v>2486</v>
      </c>
      <c r="D692" s="2" t="s">
        <v>1567</v>
      </c>
      <c r="E692" s="4" t="n">
        <v>682.74</v>
      </c>
      <c r="F692" s="4" t="n">
        <v>62.07</v>
      </c>
      <c r="G692" s="4" t="n">
        <v>620.67</v>
      </c>
      <c r="H692" s="2" t="s">
        <v>1385</v>
      </c>
    </row>
    <row r="693" customFormat="false" ht="15" hidden="false" customHeight="false" outlineLevel="0" collapsed="false">
      <c r="A693" s="2" t="s">
        <v>18</v>
      </c>
      <c r="B693" s="2" t="s">
        <v>1655</v>
      </c>
      <c r="C693" s="2" t="s">
        <v>2487</v>
      </c>
      <c r="D693" s="2" t="s">
        <v>1657</v>
      </c>
      <c r="E693" s="4" t="n">
        <v>248.7</v>
      </c>
      <c r="F693" s="4" t="n">
        <v>22.62</v>
      </c>
      <c r="G693" s="4" t="n">
        <v>226.08</v>
      </c>
      <c r="H693" s="2" t="s">
        <v>1385</v>
      </c>
    </row>
    <row r="694" customFormat="false" ht="15" hidden="false" customHeight="false" outlineLevel="0" collapsed="false">
      <c r="A694" s="2" t="s">
        <v>18</v>
      </c>
      <c r="B694" s="2" t="s">
        <v>1598</v>
      </c>
      <c r="C694" s="2" t="s">
        <v>2488</v>
      </c>
      <c r="D694" s="2" t="s">
        <v>1600</v>
      </c>
      <c r="E694" s="4" t="n">
        <v>118.63</v>
      </c>
      <c r="F694" s="4" t="n">
        <v>10.79</v>
      </c>
      <c r="G694" s="4" t="n">
        <v>107.84</v>
      </c>
      <c r="H694" s="2" t="s">
        <v>1385</v>
      </c>
    </row>
    <row r="695" customFormat="false" ht="15" hidden="false" customHeight="false" outlineLevel="0" collapsed="false">
      <c r="A695" s="2" t="s">
        <v>18</v>
      </c>
      <c r="B695" s="2" t="s">
        <v>1658</v>
      </c>
      <c r="C695" s="2" t="s">
        <v>2489</v>
      </c>
      <c r="D695" s="2" t="s">
        <v>1660</v>
      </c>
      <c r="E695" s="4" t="n">
        <v>140.07</v>
      </c>
      <c r="F695" s="4" t="n">
        <v>12.74</v>
      </c>
      <c r="G695" s="4" t="n">
        <v>127.33</v>
      </c>
      <c r="H695" s="2" t="s">
        <v>1385</v>
      </c>
    </row>
    <row r="696" customFormat="false" ht="15" hidden="false" customHeight="false" outlineLevel="0" collapsed="false">
      <c r="A696" s="2" t="s">
        <v>18</v>
      </c>
      <c r="B696" s="2" t="s">
        <v>1787</v>
      </c>
      <c r="C696" s="2" t="s">
        <v>2490</v>
      </c>
      <c r="D696" s="2" t="s">
        <v>1789</v>
      </c>
      <c r="E696" s="4" t="n">
        <v>0</v>
      </c>
      <c r="F696" s="4" t="n">
        <v>0</v>
      </c>
      <c r="G696" s="4" t="n">
        <v>0</v>
      </c>
      <c r="H696" s="2" t="s">
        <v>1385</v>
      </c>
    </row>
    <row r="697" customFormat="false" ht="15" hidden="false" customHeight="false" outlineLevel="0" collapsed="false">
      <c r="A697" s="2" t="s">
        <v>18</v>
      </c>
      <c r="B697" s="2" t="s">
        <v>1250</v>
      </c>
      <c r="C697" s="2" t="s">
        <v>1251</v>
      </c>
      <c r="D697" s="2" t="s">
        <v>1252</v>
      </c>
      <c r="E697" s="4" t="n">
        <v>76.8</v>
      </c>
      <c r="F697" s="4" t="n">
        <v>6.99</v>
      </c>
      <c r="G697" s="4" t="n">
        <v>69.81</v>
      </c>
      <c r="H697" s="2" t="s">
        <v>1381</v>
      </c>
    </row>
    <row r="698" customFormat="false" ht="15" hidden="false" customHeight="false" outlineLevel="0" collapsed="false">
      <c r="A698" s="2" t="s">
        <v>18</v>
      </c>
      <c r="B698" s="2" t="s">
        <v>1571</v>
      </c>
      <c r="C698" s="2" t="s">
        <v>2491</v>
      </c>
      <c r="D698" s="2" t="s">
        <v>1573</v>
      </c>
      <c r="E698" s="4" t="n">
        <v>301.61</v>
      </c>
      <c r="F698" s="4" t="n">
        <v>27.42</v>
      </c>
      <c r="G698" s="4" t="n">
        <v>274.19</v>
      </c>
      <c r="H698" s="2" t="s">
        <v>1385</v>
      </c>
    </row>
    <row r="699" customFormat="false" ht="15" hidden="false" customHeight="false" outlineLevel="0" collapsed="false">
      <c r="A699" s="2" t="s">
        <v>18</v>
      </c>
      <c r="B699" s="2" t="s">
        <v>896</v>
      </c>
      <c r="C699" s="2" t="s">
        <v>921</v>
      </c>
      <c r="D699" s="2" t="s">
        <v>898</v>
      </c>
      <c r="E699" s="4" t="n">
        <v>127.02</v>
      </c>
      <c r="F699" s="4" t="n">
        <v>11.55</v>
      </c>
      <c r="G699" s="4" t="n">
        <v>115.47</v>
      </c>
      <c r="H699" s="2" t="s">
        <v>1381</v>
      </c>
    </row>
    <row r="700" customFormat="false" ht="15" hidden="false" customHeight="false" outlineLevel="0" collapsed="false">
      <c r="A700" s="2" t="s">
        <v>18</v>
      </c>
      <c r="B700" s="2" t="s">
        <v>1790</v>
      </c>
      <c r="C700" s="2" t="s">
        <v>2492</v>
      </c>
      <c r="D700" s="2" t="s">
        <v>1792</v>
      </c>
      <c r="E700" s="4" t="n">
        <v>131.87</v>
      </c>
      <c r="F700" s="4" t="n">
        <v>12</v>
      </c>
      <c r="G700" s="4" t="n">
        <v>119.87</v>
      </c>
      <c r="H700" s="2" t="s">
        <v>1385</v>
      </c>
    </row>
    <row r="701" customFormat="false" ht="15" hidden="false" customHeight="false" outlineLevel="0" collapsed="false">
      <c r="A701" s="2" t="s">
        <v>18</v>
      </c>
      <c r="B701" s="2" t="s">
        <v>1724</v>
      </c>
      <c r="C701" s="2" t="s">
        <v>2493</v>
      </c>
      <c r="D701" s="2" t="s">
        <v>1726</v>
      </c>
      <c r="E701" s="4" t="n">
        <v>124.04</v>
      </c>
      <c r="F701" s="4" t="n">
        <v>11.28</v>
      </c>
      <c r="G701" s="4" t="n">
        <v>112.76</v>
      </c>
      <c r="H701" s="2" t="s">
        <v>1385</v>
      </c>
    </row>
    <row r="702" customFormat="false" ht="15" hidden="false" customHeight="false" outlineLevel="0" collapsed="false">
      <c r="A702" s="2" t="s">
        <v>18</v>
      </c>
      <c r="B702" s="2" t="s">
        <v>999</v>
      </c>
      <c r="C702" s="2" t="s">
        <v>1000</v>
      </c>
      <c r="D702" s="2" t="s">
        <v>1001</v>
      </c>
      <c r="E702" s="4" t="n">
        <v>70.55</v>
      </c>
      <c r="F702" s="4" t="n">
        <v>6.42</v>
      </c>
      <c r="G702" s="4" t="n">
        <v>64.13</v>
      </c>
      <c r="H702" s="2" t="s">
        <v>1381</v>
      </c>
    </row>
    <row r="703" customFormat="false" ht="15" hidden="false" customHeight="false" outlineLevel="0" collapsed="false">
      <c r="A703" s="2" t="s">
        <v>18</v>
      </c>
      <c r="B703" s="2" t="s">
        <v>661</v>
      </c>
      <c r="C703" s="2" t="s">
        <v>678</v>
      </c>
      <c r="D703" s="2" t="s">
        <v>663</v>
      </c>
      <c r="E703" s="4" t="n">
        <v>197.56</v>
      </c>
      <c r="F703" s="4" t="n">
        <v>17.96</v>
      </c>
      <c r="G703" s="4" t="n">
        <v>179.6</v>
      </c>
      <c r="H703" s="2" t="s">
        <v>1381</v>
      </c>
    </row>
    <row r="704" customFormat="false" ht="15" hidden="false" customHeight="false" outlineLevel="0" collapsed="false">
      <c r="A704" s="2" t="s">
        <v>18</v>
      </c>
      <c r="B704" s="2" t="s">
        <v>816</v>
      </c>
      <c r="C704" s="2" t="s">
        <v>919</v>
      </c>
      <c r="D704" s="2" t="s">
        <v>818</v>
      </c>
      <c r="E704" s="4" t="n">
        <v>144.74</v>
      </c>
      <c r="F704" s="4" t="n">
        <v>13.16</v>
      </c>
      <c r="G704" s="4" t="n">
        <v>131.58</v>
      </c>
      <c r="H704" s="2" t="s">
        <v>1381</v>
      </c>
    </row>
    <row r="705" customFormat="false" ht="15" hidden="false" customHeight="false" outlineLevel="0" collapsed="false">
      <c r="A705" s="2" t="s">
        <v>18</v>
      </c>
      <c r="B705" s="2" t="s">
        <v>1640</v>
      </c>
      <c r="C705" s="2" t="s">
        <v>2494</v>
      </c>
      <c r="D705" s="2" t="s">
        <v>1642</v>
      </c>
      <c r="E705" s="4" t="n">
        <v>4505.45</v>
      </c>
      <c r="F705" s="4" t="n">
        <v>409.59</v>
      </c>
      <c r="G705" s="4" t="n">
        <v>4095.86</v>
      </c>
      <c r="H705" s="2" t="s">
        <v>1385</v>
      </c>
    </row>
    <row r="706" customFormat="false" ht="15" hidden="false" customHeight="false" outlineLevel="0" collapsed="false">
      <c r="A706" s="2" t="s">
        <v>18</v>
      </c>
      <c r="B706" s="2" t="s">
        <v>533</v>
      </c>
      <c r="C706" s="2" t="s">
        <v>747</v>
      </c>
      <c r="D706" s="2" t="s">
        <v>535</v>
      </c>
      <c r="E706" s="4" t="n">
        <v>128.33</v>
      </c>
      <c r="F706" s="4" t="n">
        <v>11.67</v>
      </c>
      <c r="G706" s="4" t="n">
        <v>116.66</v>
      </c>
      <c r="H706" s="2" t="s">
        <v>1381</v>
      </c>
    </row>
    <row r="707" customFormat="false" ht="15" hidden="false" customHeight="false" outlineLevel="0" collapsed="false">
      <c r="A707" s="2" t="s">
        <v>18</v>
      </c>
      <c r="B707" s="2" t="s">
        <v>1841</v>
      </c>
      <c r="C707" s="2" t="s">
        <v>2495</v>
      </c>
      <c r="D707" s="2" t="s">
        <v>1843</v>
      </c>
      <c r="E707" s="4" t="n">
        <v>71.55</v>
      </c>
      <c r="F707" s="4" t="n">
        <v>6.51</v>
      </c>
      <c r="G707" s="4" t="n">
        <v>65.04</v>
      </c>
      <c r="H707" s="2" t="s">
        <v>1385</v>
      </c>
    </row>
    <row r="708" customFormat="false" ht="15" hidden="false" customHeight="false" outlineLevel="0" collapsed="false">
      <c r="A708" s="2" t="s">
        <v>18</v>
      </c>
      <c r="B708" s="2" t="s">
        <v>965</v>
      </c>
      <c r="C708" s="2" t="s">
        <v>966</v>
      </c>
      <c r="D708" s="2" t="s">
        <v>967</v>
      </c>
      <c r="E708" s="4" t="n">
        <v>70.46</v>
      </c>
      <c r="F708" s="4" t="n">
        <v>6.41</v>
      </c>
      <c r="G708" s="4" t="n">
        <v>64.05</v>
      </c>
      <c r="H708" s="2" t="s">
        <v>1381</v>
      </c>
    </row>
    <row r="709" customFormat="false" ht="15" hidden="false" customHeight="false" outlineLevel="0" collapsed="false">
      <c r="A709" s="2" t="s">
        <v>18</v>
      </c>
      <c r="B709" s="2" t="s">
        <v>1679</v>
      </c>
      <c r="C709" s="2" t="s">
        <v>2496</v>
      </c>
      <c r="D709" s="2" t="s">
        <v>1681</v>
      </c>
      <c r="E709" s="4" t="n">
        <v>375.66</v>
      </c>
      <c r="F709" s="4" t="n">
        <v>34.16</v>
      </c>
      <c r="G709" s="4" t="n">
        <v>341.5</v>
      </c>
      <c r="H709" s="2" t="s">
        <v>1385</v>
      </c>
    </row>
    <row r="710" customFormat="false" ht="15" hidden="false" customHeight="false" outlineLevel="0" collapsed="false">
      <c r="A710" s="2" t="s">
        <v>18</v>
      </c>
      <c r="B710" s="2" t="s">
        <v>1829</v>
      </c>
      <c r="C710" s="2" t="s">
        <v>2497</v>
      </c>
      <c r="D710" s="2" t="s">
        <v>1831</v>
      </c>
      <c r="E710" s="4" t="n">
        <v>99</v>
      </c>
      <c r="F710" s="4" t="n">
        <v>9</v>
      </c>
      <c r="G710" s="4" t="n">
        <v>90</v>
      </c>
      <c r="H710" s="2" t="s">
        <v>1385</v>
      </c>
    </row>
    <row r="711" customFormat="false" ht="15" hidden="false" customHeight="false" outlineLevel="0" collapsed="false">
      <c r="A711" s="2" t="s">
        <v>18</v>
      </c>
      <c r="B711" s="2" t="s">
        <v>822</v>
      </c>
      <c r="C711" s="2" t="s">
        <v>904</v>
      </c>
      <c r="D711" s="2" t="s">
        <v>824</v>
      </c>
      <c r="E711" s="4" t="n">
        <v>151.77</v>
      </c>
      <c r="F711" s="4" t="n">
        <v>13.8</v>
      </c>
      <c r="G711" s="4" t="n">
        <v>137.97</v>
      </c>
      <c r="H711" s="2" t="s">
        <v>1381</v>
      </c>
    </row>
    <row r="712" customFormat="false" ht="15" hidden="false" customHeight="false" outlineLevel="0" collapsed="false">
      <c r="A712" s="2" t="s">
        <v>18</v>
      </c>
      <c r="B712" s="2" t="s">
        <v>1700</v>
      </c>
      <c r="C712" s="2" t="s">
        <v>2498</v>
      </c>
      <c r="D712" s="2" t="s">
        <v>1702</v>
      </c>
      <c r="E712" s="4" t="n">
        <v>126.61</v>
      </c>
      <c r="F712" s="4" t="n">
        <v>11.51</v>
      </c>
      <c r="G712" s="4" t="n">
        <v>115.1</v>
      </c>
      <c r="H712" s="2" t="s">
        <v>1385</v>
      </c>
    </row>
    <row r="713" customFormat="false" ht="15" hidden="false" customHeight="false" outlineLevel="0" collapsed="false">
      <c r="A713" s="2" t="s">
        <v>18</v>
      </c>
      <c r="B713" s="2" t="s">
        <v>1523</v>
      </c>
      <c r="C713" s="2" t="s">
        <v>2499</v>
      </c>
      <c r="D713" s="2" t="s">
        <v>1525</v>
      </c>
      <c r="E713" s="4" t="n">
        <v>288.71</v>
      </c>
      <c r="F713" s="4" t="n">
        <v>26.25</v>
      </c>
      <c r="G713" s="4" t="n">
        <v>262.46</v>
      </c>
      <c r="H713" s="2" t="s">
        <v>1385</v>
      </c>
    </row>
    <row r="714" customFormat="false" ht="15" hidden="false" customHeight="false" outlineLevel="0" collapsed="false">
      <c r="A714" s="2" t="s">
        <v>18</v>
      </c>
      <c r="B714" s="2" t="s">
        <v>1589</v>
      </c>
      <c r="C714" s="2" t="s">
        <v>2500</v>
      </c>
      <c r="D714" s="2" t="s">
        <v>1591</v>
      </c>
      <c r="E714" s="4" t="n">
        <v>251.62</v>
      </c>
      <c r="F714" s="4" t="n">
        <v>22.88</v>
      </c>
      <c r="G714" s="4" t="n">
        <v>228.74</v>
      </c>
      <c r="H714" s="2" t="s">
        <v>1385</v>
      </c>
    </row>
    <row r="715" customFormat="false" ht="15" hidden="false" customHeight="false" outlineLevel="0" collapsed="false">
      <c r="A715" s="2" t="s">
        <v>18</v>
      </c>
      <c r="B715" s="2" t="s">
        <v>719</v>
      </c>
      <c r="C715" s="2" t="s">
        <v>813</v>
      </c>
      <c r="D715" s="2" t="s">
        <v>721</v>
      </c>
      <c r="E715" s="4" t="n">
        <v>149.65</v>
      </c>
      <c r="F715" s="4" t="n">
        <v>13.61</v>
      </c>
      <c r="G715" s="4" t="n">
        <v>136.04</v>
      </c>
      <c r="H715" s="2" t="s">
        <v>1381</v>
      </c>
    </row>
    <row r="716" customFormat="false" ht="15" hidden="false" customHeight="false" outlineLevel="0" collapsed="false">
      <c r="A716" s="2" t="s">
        <v>18</v>
      </c>
      <c r="B716" s="2" t="s">
        <v>1781</v>
      </c>
      <c r="C716" s="2" t="s">
        <v>2501</v>
      </c>
      <c r="D716" s="2" t="s">
        <v>1783</v>
      </c>
      <c r="E716" s="4" t="n">
        <v>171.32</v>
      </c>
      <c r="F716" s="4" t="n">
        <v>15.58</v>
      </c>
      <c r="G716" s="4" t="n">
        <v>155.74</v>
      </c>
      <c r="H716" s="2" t="s">
        <v>1385</v>
      </c>
    </row>
    <row r="717" customFormat="false" ht="15" hidden="false" customHeight="false" outlineLevel="0" collapsed="false">
      <c r="A717" s="2" t="s">
        <v>18</v>
      </c>
      <c r="B717" s="2" t="s">
        <v>1550</v>
      </c>
      <c r="C717" s="2" t="s">
        <v>2502</v>
      </c>
      <c r="D717" s="2" t="s">
        <v>1552</v>
      </c>
      <c r="E717" s="4" t="n">
        <v>2432.2</v>
      </c>
      <c r="F717" s="4" t="n">
        <v>221.12</v>
      </c>
      <c r="G717" s="4" t="n">
        <v>2211.08</v>
      </c>
      <c r="H717" s="2" t="s">
        <v>1385</v>
      </c>
    </row>
    <row r="718" customFormat="false" ht="15" hidden="false" customHeight="false" outlineLevel="0" collapsed="false">
      <c r="A718" s="2" t="s">
        <v>18</v>
      </c>
      <c r="B718" s="2" t="s">
        <v>1844</v>
      </c>
      <c r="C718" s="2" t="s">
        <v>2503</v>
      </c>
      <c r="D718" s="2" t="s">
        <v>1846</v>
      </c>
      <c r="E718" s="4" t="n">
        <v>110.84</v>
      </c>
      <c r="F718" s="4" t="n">
        <v>10.08</v>
      </c>
      <c r="G718" s="4" t="n">
        <v>100.76</v>
      </c>
      <c r="H718" s="2" t="s">
        <v>1385</v>
      </c>
    </row>
    <row r="719" customFormat="false" ht="15" hidden="false" customHeight="false" outlineLevel="0" collapsed="false">
      <c r="A719" s="2" t="s">
        <v>18</v>
      </c>
      <c r="B719" s="2" t="s">
        <v>1553</v>
      </c>
      <c r="C719" s="2" t="s">
        <v>2504</v>
      </c>
      <c r="D719" s="2" t="s">
        <v>1555</v>
      </c>
      <c r="E719" s="4" t="n">
        <v>615.48</v>
      </c>
      <c r="F719" s="4" t="n">
        <v>55.96</v>
      </c>
      <c r="G719" s="4" t="n">
        <v>559.52</v>
      </c>
      <c r="H719" s="2" t="s">
        <v>1385</v>
      </c>
    </row>
    <row r="720" customFormat="false" ht="15" hidden="false" customHeight="false" outlineLevel="0" collapsed="false">
      <c r="A720" s="2" t="s">
        <v>18</v>
      </c>
      <c r="B720" s="2" t="s">
        <v>1820</v>
      </c>
      <c r="C720" s="2" t="s">
        <v>2505</v>
      </c>
      <c r="D720" s="2" t="s">
        <v>1822</v>
      </c>
      <c r="E720" s="4" t="n">
        <v>168.41</v>
      </c>
      <c r="F720" s="4" t="n">
        <v>15.32</v>
      </c>
      <c r="G720" s="4" t="n">
        <v>153.09</v>
      </c>
      <c r="H720" s="2" t="s">
        <v>1385</v>
      </c>
    </row>
    <row r="721" customFormat="false" ht="15" hidden="false" customHeight="false" outlineLevel="0" collapsed="false">
      <c r="A721" s="2" t="s">
        <v>18</v>
      </c>
      <c r="B721" s="2" t="s">
        <v>1541</v>
      </c>
      <c r="C721" s="2" t="s">
        <v>2506</v>
      </c>
      <c r="D721" s="2" t="s">
        <v>1543</v>
      </c>
      <c r="E721" s="4" t="n">
        <v>54.69</v>
      </c>
      <c r="F721" s="4" t="n">
        <v>4.98</v>
      </c>
      <c r="G721" s="4" t="n">
        <v>49.71</v>
      </c>
      <c r="H721" s="2" t="s">
        <v>1385</v>
      </c>
    </row>
    <row r="722" customFormat="false" ht="15" hidden="false" customHeight="false" outlineLevel="0" collapsed="false">
      <c r="A722" s="2" t="s">
        <v>18</v>
      </c>
      <c r="B722" s="2" t="s">
        <v>1971</v>
      </c>
      <c r="C722" s="2" t="s">
        <v>2507</v>
      </c>
      <c r="D722" s="2" t="s">
        <v>1973</v>
      </c>
      <c r="E722" s="4" t="n">
        <v>0</v>
      </c>
      <c r="F722" s="4" t="n">
        <v>0</v>
      </c>
      <c r="G722" s="4" t="n">
        <v>0</v>
      </c>
      <c r="H722" s="2" t="s">
        <v>1385</v>
      </c>
    </row>
    <row r="723" customFormat="false" ht="15" hidden="false" customHeight="false" outlineLevel="0" collapsed="false">
      <c r="A723" s="2" t="s">
        <v>18</v>
      </c>
      <c r="B723" s="2" t="s">
        <v>1748</v>
      </c>
      <c r="C723" s="2" t="s">
        <v>2508</v>
      </c>
      <c r="D723" s="2" t="s">
        <v>1750</v>
      </c>
      <c r="E723" s="4" t="n">
        <v>301.74</v>
      </c>
      <c r="F723" s="4" t="n">
        <v>27.43</v>
      </c>
      <c r="G723" s="4" t="n">
        <v>274.31</v>
      </c>
      <c r="H723" s="2" t="s">
        <v>1385</v>
      </c>
    </row>
    <row r="724" customFormat="false" ht="15" hidden="false" customHeight="false" outlineLevel="0" collapsed="false">
      <c r="A724" s="2" t="s">
        <v>18</v>
      </c>
      <c r="B724" s="2" t="s">
        <v>1628</v>
      </c>
      <c r="C724" s="2" t="s">
        <v>2509</v>
      </c>
      <c r="D724" s="2" t="s">
        <v>1630</v>
      </c>
      <c r="E724" s="4" t="n">
        <v>219.9</v>
      </c>
      <c r="F724" s="4" t="n">
        <v>19.99</v>
      </c>
      <c r="G724" s="4" t="n">
        <v>199.91</v>
      </c>
      <c r="H724" s="2" t="s">
        <v>1385</v>
      </c>
    </row>
    <row r="725" customFormat="false" ht="15" hidden="false" customHeight="false" outlineLevel="0" collapsed="false">
      <c r="A725" s="2" t="s">
        <v>18</v>
      </c>
      <c r="B725" s="2" t="s">
        <v>938</v>
      </c>
      <c r="C725" s="2" t="s">
        <v>990</v>
      </c>
      <c r="D725" s="2" t="s">
        <v>940</v>
      </c>
      <c r="E725" s="4" t="n">
        <v>111.64</v>
      </c>
      <c r="F725" s="4" t="n">
        <v>10.16</v>
      </c>
      <c r="G725" s="4" t="n">
        <v>101.48</v>
      </c>
      <c r="H725" s="2" t="s">
        <v>1381</v>
      </c>
    </row>
    <row r="726" customFormat="false" ht="15" hidden="false" customHeight="false" outlineLevel="0" collapsed="false">
      <c r="A726" s="2" t="s">
        <v>18</v>
      </c>
      <c r="B726" s="2" t="s">
        <v>1919</v>
      </c>
      <c r="C726" s="2" t="s">
        <v>2510</v>
      </c>
      <c r="D726" s="2" t="s">
        <v>1921</v>
      </c>
      <c r="E726" s="4" t="n">
        <v>0</v>
      </c>
      <c r="F726" s="4" t="n">
        <v>0</v>
      </c>
      <c r="G726" s="4" t="n">
        <v>0</v>
      </c>
      <c r="H726" s="2" t="s">
        <v>1385</v>
      </c>
    </row>
    <row r="727" customFormat="false" ht="15" hidden="false" customHeight="false" outlineLevel="0" collapsed="false">
      <c r="A727" s="2" t="s">
        <v>18</v>
      </c>
      <c r="B727" s="2" t="s">
        <v>600</v>
      </c>
      <c r="C727" s="2" t="s">
        <v>2511</v>
      </c>
      <c r="D727" s="2" t="s">
        <v>602</v>
      </c>
      <c r="E727" s="4" t="n">
        <v>0</v>
      </c>
      <c r="F727" s="4" t="n">
        <v>0</v>
      </c>
      <c r="G727" s="4" t="n">
        <v>0</v>
      </c>
      <c r="H727" s="2" t="s">
        <v>1385</v>
      </c>
    </row>
    <row r="728" customFormat="false" ht="15" hidden="false" customHeight="false" outlineLevel="0" collapsed="false">
      <c r="A728" s="2" t="s">
        <v>18</v>
      </c>
      <c r="B728" s="2" t="s">
        <v>1497</v>
      </c>
      <c r="C728" s="2" t="s">
        <v>2512</v>
      </c>
      <c r="D728" s="2" t="s">
        <v>1499</v>
      </c>
      <c r="E728" s="4" t="n">
        <v>262.38</v>
      </c>
      <c r="F728" s="4" t="n">
        <v>23.85</v>
      </c>
      <c r="G728" s="4" t="n">
        <v>238.53</v>
      </c>
      <c r="H728" s="2" t="s">
        <v>1385</v>
      </c>
    </row>
    <row r="729" customFormat="false" ht="15" hidden="false" customHeight="false" outlineLevel="0" collapsed="false">
      <c r="A729" s="2" t="s">
        <v>18</v>
      </c>
      <c r="B729" s="2" t="s">
        <v>1751</v>
      </c>
      <c r="C729" s="2" t="s">
        <v>2513</v>
      </c>
      <c r="D729" s="2" t="s">
        <v>1753</v>
      </c>
      <c r="E729" s="4" t="n">
        <v>76.52</v>
      </c>
      <c r="F729" s="4" t="n">
        <v>6.96</v>
      </c>
      <c r="G729" s="4" t="n">
        <v>69.56</v>
      </c>
      <c r="H729" s="2" t="s">
        <v>1385</v>
      </c>
    </row>
    <row r="730" customFormat="false" ht="15" hidden="false" customHeight="false" outlineLevel="0" collapsed="false">
      <c r="A730" s="2" t="s">
        <v>18</v>
      </c>
      <c r="B730" s="2" t="s">
        <v>1712</v>
      </c>
      <c r="C730" s="2" t="s">
        <v>2514</v>
      </c>
      <c r="D730" s="2" t="s">
        <v>1714</v>
      </c>
      <c r="E730" s="4" t="n">
        <v>2788.78</v>
      </c>
      <c r="F730" s="4" t="n">
        <v>253.53</v>
      </c>
      <c r="G730" s="4" t="n">
        <v>2535.25</v>
      </c>
      <c r="H730" s="2" t="s">
        <v>1385</v>
      </c>
    </row>
    <row r="731" customFormat="false" ht="15" hidden="false" customHeight="false" outlineLevel="0" collapsed="false">
      <c r="A731" s="2" t="s">
        <v>18</v>
      </c>
      <c r="B731" s="2" t="s">
        <v>1634</v>
      </c>
      <c r="C731" s="2" t="s">
        <v>2515</v>
      </c>
      <c r="D731" s="2" t="s">
        <v>1636</v>
      </c>
      <c r="E731" s="4" t="n">
        <v>62.23</v>
      </c>
      <c r="F731" s="4" t="n">
        <v>5.65</v>
      </c>
      <c r="G731" s="4" t="n">
        <v>56.58</v>
      </c>
      <c r="H731" s="2" t="s">
        <v>1385</v>
      </c>
    </row>
    <row r="732" customFormat="false" ht="15" hidden="false" customHeight="false" outlineLevel="0" collapsed="false">
      <c r="A732" s="2" t="s">
        <v>18</v>
      </c>
      <c r="B732" s="2" t="s">
        <v>1862</v>
      </c>
      <c r="C732" s="2" t="s">
        <v>2516</v>
      </c>
      <c r="D732" s="2" t="s">
        <v>1864</v>
      </c>
      <c r="E732" s="4" t="n">
        <v>9109.26</v>
      </c>
      <c r="F732" s="4" t="n">
        <v>828.12</v>
      </c>
      <c r="G732" s="4" t="n">
        <v>8281.14</v>
      </c>
      <c r="H732" s="2" t="s">
        <v>1385</v>
      </c>
    </row>
    <row r="733" customFormat="false" ht="15" hidden="false" customHeight="false" outlineLevel="0" collapsed="false">
      <c r="A733" s="2" t="s">
        <v>18</v>
      </c>
      <c r="B733" s="2" t="s">
        <v>1946</v>
      </c>
      <c r="C733" s="2" t="s">
        <v>2517</v>
      </c>
      <c r="D733" s="2" t="s">
        <v>1948</v>
      </c>
      <c r="E733" s="4" t="n">
        <v>0</v>
      </c>
      <c r="F733" s="4" t="n">
        <v>0</v>
      </c>
      <c r="G733" s="4" t="n">
        <v>0</v>
      </c>
      <c r="H733" s="2" t="s">
        <v>1385</v>
      </c>
    </row>
    <row r="734" customFormat="false" ht="15" hidden="false" customHeight="false" outlineLevel="0" collapsed="false">
      <c r="A734" s="2" t="s">
        <v>18</v>
      </c>
      <c r="B734" s="2" t="s">
        <v>1978</v>
      </c>
      <c r="C734" s="2" t="s">
        <v>2518</v>
      </c>
      <c r="D734" s="2" t="s">
        <v>1980</v>
      </c>
      <c r="E734" s="4" t="n">
        <v>0</v>
      </c>
      <c r="F734" s="4" t="n">
        <v>0</v>
      </c>
      <c r="G734" s="4" t="n">
        <v>0</v>
      </c>
      <c r="H734" s="2" t="s">
        <v>1385</v>
      </c>
    </row>
    <row r="735" customFormat="false" ht="15" hidden="false" customHeight="false" outlineLevel="0" collapsed="false">
      <c r="A735" s="2" t="s">
        <v>18</v>
      </c>
      <c r="B735" s="2" t="s">
        <v>911</v>
      </c>
      <c r="C735" s="2" t="s">
        <v>912</v>
      </c>
      <c r="D735" s="2" t="s">
        <v>913</v>
      </c>
      <c r="E735" s="4" t="n">
        <v>116.9</v>
      </c>
      <c r="F735" s="4" t="n">
        <v>10.64</v>
      </c>
      <c r="G735" s="4" t="n">
        <v>106.26</v>
      </c>
      <c r="H735" s="2" t="s">
        <v>1381</v>
      </c>
    </row>
    <row r="736" customFormat="false" ht="15" hidden="false" customHeight="false" outlineLevel="0" collapsed="false">
      <c r="A736" s="2" t="s">
        <v>18</v>
      </c>
      <c r="B736" s="2" t="s">
        <v>1494</v>
      </c>
      <c r="C736" s="2" t="s">
        <v>2519</v>
      </c>
      <c r="D736" s="2" t="s">
        <v>1496</v>
      </c>
      <c r="E736" s="4" t="n">
        <v>73.93</v>
      </c>
      <c r="F736" s="4" t="n">
        <v>6.73</v>
      </c>
      <c r="G736" s="4" t="n">
        <v>67.2</v>
      </c>
      <c r="H736" s="2" t="s">
        <v>1385</v>
      </c>
    </row>
    <row r="737" customFormat="false" ht="15" hidden="false" customHeight="false" outlineLevel="0" collapsed="false">
      <c r="A737" s="2" t="s">
        <v>18</v>
      </c>
      <c r="B737" s="2" t="s">
        <v>88</v>
      </c>
      <c r="C737" s="2" t="s">
        <v>2520</v>
      </c>
      <c r="D737" s="2" t="s">
        <v>90</v>
      </c>
      <c r="E737" s="4" t="n">
        <v>0</v>
      </c>
      <c r="F737" s="4" t="n">
        <v>0</v>
      </c>
      <c r="G737" s="4" t="n">
        <v>0</v>
      </c>
      <c r="H737" s="2" t="s">
        <v>1385</v>
      </c>
    </row>
    <row r="738" customFormat="false" ht="15" hidden="false" customHeight="false" outlineLevel="0" collapsed="false">
      <c r="A738" s="2" t="s">
        <v>18</v>
      </c>
      <c r="B738" s="2" t="s">
        <v>2521</v>
      </c>
      <c r="C738" s="2" t="s">
        <v>2522</v>
      </c>
      <c r="D738" s="2" t="s">
        <v>2523</v>
      </c>
      <c r="E738" s="4" t="n">
        <v>1952.48</v>
      </c>
      <c r="F738" s="4" t="n">
        <v>177.49</v>
      </c>
      <c r="G738" s="4" t="n">
        <v>1774.99</v>
      </c>
      <c r="H738" s="2" t="s">
        <v>1385</v>
      </c>
    </row>
    <row r="739" customFormat="false" ht="15" hidden="false" customHeight="false" outlineLevel="0" collapsed="false">
      <c r="A739" s="2" t="s">
        <v>18</v>
      </c>
      <c r="B739" s="2" t="s">
        <v>924</v>
      </c>
      <c r="C739" s="2" t="s">
        <v>1166</v>
      </c>
      <c r="D739" s="2" t="s">
        <v>926</v>
      </c>
      <c r="E739" s="4" t="n">
        <v>75.99</v>
      </c>
      <c r="F739" s="4" t="n">
        <v>6.92</v>
      </c>
      <c r="G739" s="4" t="n">
        <v>69.07</v>
      </c>
      <c r="H739" s="2" t="s">
        <v>1381</v>
      </c>
    </row>
    <row r="740" customFormat="false" ht="15" hidden="false" customHeight="false" outlineLevel="0" collapsed="false">
      <c r="A740" s="2" t="s">
        <v>18</v>
      </c>
      <c r="B740" s="2" t="s">
        <v>512</v>
      </c>
      <c r="C740" s="2" t="s">
        <v>2524</v>
      </c>
      <c r="D740" s="2" t="s">
        <v>514</v>
      </c>
      <c r="E740" s="4" t="n">
        <v>0</v>
      </c>
      <c r="F740" s="4" t="n">
        <v>0</v>
      </c>
      <c r="G740" s="4" t="n">
        <v>0</v>
      </c>
      <c r="H740" s="2" t="s">
        <v>1385</v>
      </c>
    </row>
    <row r="741" customFormat="false" ht="15" hidden="false" customHeight="false" outlineLevel="0" collapsed="false">
      <c r="A741" s="2" t="s">
        <v>18</v>
      </c>
      <c r="B741" s="2" t="s">
        <v>993</v>
      </c>
      <c r="C741" s="2" t="s">
        <v>994</v>
      </c>
      <c r="D741" s="2" t="s">
        <v>995</v>
      </c>
      <c r="E741" s="4" t="n">
        <v>95.02</v>
      </c>
      <c r="F741" s="4" t="n">
        <v>8.65</v>
      </c>
      <c r="G741" s="4" t="n">
        <v>86.37</v>
      </c>
      <c r="H741" s="2" t="s">
        <v>1381</v>
      </c>
    </row>
    <row r="742" customFormat="false" ht="15" hidden="false" customHeight="false" outlineLevel="0" collapsed="false">
      <c r="A742" s="2" t="s">
        <v>18</v>
      </c>
      <c r="B742" s="2" t="s">
        <v>465</v>
      </c>
      <c r="C742" s="2" t="s">
        <v>2525</v>
      </c>
      <c r="D742" s="2" t="s">
        <v>467</v>
      </c>
      <c r="E742" s="4" t="n">
        <v>0</v>
      </c>
      <c r="F742" s="4" t="n">
        <v>0</v>
      </c>
      <c r="G742" s="4" t="n">
        <v>0</v>
      </c>
      <c r="H742" s="2" t="s">
        <v>1385</v>
      </c>
    </row>
    <row r="743" customFormat="false" ht="15" hidden="false" customHeight="false" outlineLevel="0" collapsed="false">
      <c r="A743" s="2" t="s">
        <v>18</v>
      </c>
      <c r="B743" s="2" t="s">
        <v>555</v>
      </c>
      <c r="C743" s="2" t="s">
        <v>2526</v>
      </c>
      <c r="D743" s="2" t="s">
        <v>557</v>
      </c>
      <c r="E743" s="4" t="n">
        <v>0</v>
      </c>
      <c r="F743" s="4" t="n">
        <v>0</v>
      </c>
      <c r="G743" s="4" t="n">
        <v>0</v>
      </c>
      <c r="H743" s="2" t="s">
        <v>1385</v>
      </c>
    </row>
    <row r="744" customFormat="false" ht="15" hidden="false" customHeight="false" outlineLevel="0" collapsed="false">
      <c r="A744" s="2" t="s">
        <v>18</v>
      </c>
      <c r="B744" s="2" t="s">
        <v>1910</v>
      </c>
      <c r="C744" s="2" t="s">
        <v>2527</v>
      </c>
      <c r="D744" s="2" t="s">
        <v>1912</v>
      </c>
      <c r="E744" s="4" t="n">
        <v>0</v>
      </c>
      <c r="F744" s="4" t="n">
        <v>0</v>
      </c>
      <c r="G744" s="4" t="n">
        <v>0</v>
      </c>
      <c r="H744" s="2" t="s">
        <v>1385</v>
      </c>
    </row>
    <row r="745" customFormat="false" ht="15" hidden="false" customHeight="false" outlineLevel="0" collapsed="false">
      <c r="A745" s="2" t="s">
        <v>18</v>
      </c>
      <c r="B745" s="2" t="s">
        <v>1907</v>
      </c>
      <c r="C745" s="2" t="s">
        <v>2528</v>
      </c>
      <c r="D745" s="2" t="s">
        <v>1909</v>
      </c>
      <c r="E745" s="4" t="n">
        <v>0</v>
      </c>
      <c r="F745" s="4" t="n">
        <v>0</v>
      </c>
      <c r="G745" s="4" t="n">
        <v>0</v>
      </c>
      <c r="H745" s="2" t="s">
        <v>1385</v>
      </c>
    </row>
    <row r="746" customFormat="false" ht="15" hidden="false" customHeight="false" outlineLevel="0" collapsed="false">
      <c r="A746" s="2" t="s">
        <v>18</v>
      </c>
      <c r="B746" s="2" t="s">
        <v>1949</v>
      </c>
      <c r="C746" s="2" t="s">
        <v>2529</v>
      </c>
      <c r="D746" s="2" t="s">
        <v>1951</v>
      </c>
      <c r="E746" s="4" t="n">
        <v>0</v>
      </c>
      <c r="F746" s="4" t="n">
        <v>0</v>
      </c>
      <c r="G746" s="4" t="n">
        <v>0</v>
      </c>
      <c r="H746" s="2" t="s">
        <v>1385</v>
      </c>
    </row>
    <row r="747" customFormat="false" ht="15" hidden="false" customHeight="false" outlineLevel="0" collapsed="false">
      <c r="A747" s="2" t="s">
        <v>18</v>
      </c>
      <c r="B747" s="2" t="s">
        <v>1793</v>
      </c>
      <c r="C747" s="2" t="s">
        <v>2530</v>
      </c>
      <c r="D747" s="2" t="s">
        <v>1795</v>
      </c>
      <c r="E747" s="4" t="n">
        <v>116.42</v>
      </c>
      <c r="F747" s="4" t="n">
        <v>10.58</v>
      </c>
      <c r="G747" s="4" t="n">
        <v>105.84</v>
      </c>
      <c r="H747" s="2" t="s">
        <v>1385</v>
      </c>
    </row>
    <row r="748" customFormat="false" ht="15" hidden="false" customHeight="false" outlineLevel="0" collapsed="false">
      <c r="A748" s="2" t="s">
        <v>18</v>
      </c>
      <c r="B748" s="2" t="s">
        <v>1975</v>
      </c>
      <c r="C748" s="2" t="s">
        <v>2531</v>
      </c>
      <c r="D748" s="2" t="s">
        <v>1977</v>
      </c>
      <c r="E748" s="4" t="n">
        <v>0</v>
      </c>
      <c r="F748" s="4" t="n">
        <v>0</v>
      </c>
      <c r="G748" s="4" t="n">
        <v>0</v>
      </c>
      <c r="H748" s="2" t="s">
        <v>1385</v>
      </c>
    </row>
    <row r="749" customFormat="false" ht="15" hidden="false" customHeight="false" outlineLevel="0" collapsed="false">
      <c r="A749" s="2" t="s">
        <v>18</v>
      </c>
      <c r="B749" s="2" t="s">
        <v>1916</v>
      </c>
      <c r="C749" s="2" t="s">
        <v>2532</v>
      </c>
      <c r="D749" s="2" t="s">
        <v>1918</v>
      </c>
      <c r="E749" s="4" t="n">
        <v>0</v>
      </c>
      <c r="F749" s="4" t="n">
        <v>0</v>
      </c>
      <c r="G749" s="4" t="n">
        <v>0</v>
      </c>
      <c r="H749" s="2" t="s">
        <v>1385</v>
      </c>
    </row>
    <row r="750" customFormat="false" ht="15" hidden="false" customHeight="false" outlineLevel="0" collapsed="false">
      <c r="A750" s="2" t="s">
        <v>18</v>
      </c>
      <c r="B750" s="2" t="s">
        <v>1817</v>
      </c>
      <c r="C750" s="2" t="s">
        <v>2533</v>
      </c>
      <c r="D750" s="2" t="s">
        <v>1819</v>
      </c>
      <c r="E750" s="4" t="n">
        <v>460.8</v>
      </c>
      <c r="F750" s="4" t="n">
        <v>41.89</v>
      </c>
      <c r="G750" s="4" t="n">
        <v>418.91</v>
      </c>
      <c r="H750" s="2" t="s">
        <v>1385</v>
      </c>
    </row>
    <row r="751" customFormat="false" ht="15" hidden="false" customHeight="false" outlineLevel="0" collapsed="false">
      <c r="A751" s="2" t="s">
        <v>18</v>
      </c>
      <c r="B751" s="2" t="s">
        <v>2302</v>
      </c>
      <c r="C751" s="2" t="s">
        <v>2534</v>
      </c>
      <c r="D751" s="2" t="s">
        <v>2304</v>
      </c>
      <c r="E751" s="4" t="n">
        <v>793.9</v>
      </c>
      <c r="F751" s="4" t="n">
        <v>72.17</v>
      </c>
      <c r="G751" s="4" t="n">
        <v>721.73</v>
      </c>
      <c r="H751" s="2" t="s">
        <v>1385</v>
      </c>
    </row>
    <row r="752" customFormat="false" ht="15" hidden="false" customHeight="false" outlineLevel="0" collapsed="false">
      <c r="A752" s="2" t="s">
        <v>18</v>
      </c>
      <c r="B752" s="2" t="s">
        <v>81</v>
      </c>
      <c r="C752" s="2" t="s">
        <v>2535</v>
      </c>
      <c r="D752" s="2" t="s">
        <v>83</v>
      </c>
      <c r="E752" s="4" t="n">
        <v>0</v>
      </c>
      <c r="F752" s="4" t="n">
        <v>0</v>
      </c>
      <c r="G752" s="4" t="n">
        <v>0</v>
      </c>
      <c r="H752" s="2" t="s">
        <v>1385</v>
      </c>
    </row>
    <row r="753" customFormat="false" ht="15" hidden="false" customHeight="false" outlineLevel="0" collapsed="false">
      <c r="A753" s="2" t="s">
        <v>18</v>
      </c>
      <c r="B753" s="2" t="s">
        <v>984</v>
      </c>
      <c r="C753" s="2" t="s">
        <v>985</v>
      </c>
      <c r="D753" s="2" t="s">
        <v>986</v>
      </c>
      <c r="E753" s="4" t="n">
        <v>71.38</v>
      </c>
      <c r="F753" s="4" t="n">
        <v>6.5</v>
      </c>
      <c r="G753" s="4" t="n">
        <v>64.88</v>
      </c>
      <c r="H753" s="2" t="s">
        <v>1381</v>
      </c>
    </row>
    <row r="754" customFormat="false" ht="15" hidden="false" customHeight="false" outlineLevel="0" collapsed="false">
      <c r="A754" s="2" t="s">
        <v>18</v>
      </c>
      <c r="B754" s="2" t="s">
        <v>1583</v>
      </c>
      <c r="C754" s="2" t="s">
        <v>2536</v>
      </c>
      <c r="D754" s="2" t="s">
        <v>1585</v>
      </c>
      <c r="E754" s="4" t="n">
        <v>324.32</v>
      </c>
      <c r="F754" s="4" t="n">
        <v>29.49</v>
      </c>
      <c r="G754" s="4" t="n">
        <v>294.83</v>
      </c>
      <c r="H754" s="2" t="s">
        <v>1385</v>
      </c>
    </row>
    <row r="755" customFormat="false" ht="15" hidden="false" customHeight="false" outlineLevel="0" collapsed="false">
      <c r="A755" s="2" t="s">
        <v>18</v>
      </c>
      <c r="B755" s="2" t="s">
        <v>2008</v>
      </c>
      <c r="C755" s="2" t="s">
        <v>2537</v>
      </c>
      <c r="D755" s="2" t="s">
        <v>2010</v>
      </c>
      <c r="E755" s="4" t="n">
        <v>0</v>
      </c>
      <c r="F755" s="4" t="n">
        <v>0</v>
      </c>
      <c r="G755" s="4" t="n">
        <v>0</v>
      </c>
      <c r="H755" s="2" t="s">
        <v>1385</v>
      </c>
    </row>
    <row r="756" customFormat="false" ht="15" hidden="false" customHeight="false" outlineLevel="0" collapsed="false">
      <c r="A756" s="2" t="s">
        <v>18</v>
      </c>
      <c r="B756" s="2" t="s">
        <v>1999</v>
      </c>
      <c r="C756" s="2" t="s">
        <v>2538</v>
      </c>
      <c r="D756" s="2" t="s">
        <v>2001</v>
      </c>
      <c r="E756" s="4" t="n">
        <v>0</v>
      </c>
      <c r="F756" s="4" t="n">
        <v>0</v>
      </c>
      <c r="G756" s="4" t="n">
        <v>0</v>
      </c>
      <c r="H756" s="2" t="s">
        <v>1385</v>
      </c>
    </row>
    <row r="757" customFormat="false" ht="15" hidden="false" customHeight="false" outlineLevel="0" collapsed="false">
      <c r="A757" s="2" t="s">
        <v>18</v>
      </c>
      <c r="B757" s="2" t="s">
        <v>1967</v>
      </c>
      <c r="C757" s="2" t="s">
        <v>2539</v>
      </c>
      <c r="D757" s="2" t="s">
        <v>1588</v>
      </c>
      <c r="E757" s="4" t="n">
        <v>0</v>
      </c>
      <c r="F757" s="4" t="n">
        <v>0</v>
      </c>
      <c r="G757" s="4" t="n">
        <v>0</v>
      </c>
      <c r="H757" s="2" t="s">
        <v>1385</v>
      </c>
    </row>
    <row r="758" customFormat="false" ht="15" hidden="false" customHeight="false" outlineLevel="0" collapsed="false">
      <c r="A758" s="2" t="s">
        <v>18</v>
      </c>
      <c r="B758" s="2" t="s">
        <v>1969</v>
      </c>
      <c r="C758" s="2" t="s">
        <v>2540</v>
      </c>
      <c r="D758" s="2" t="s">
        <v>1588</v>
      </c>
      <c r="E758" s="4" t="n">
        <v>0</v>
      </c>
      <c r="F758" s="4" t="n">
        <v>0</v>
      </c>
      <c r="G758" s="4" t="n">
        <v>0</v>
      </c>
      <c r="H758" s="2" t="s">
        <v>1385</v>
      </c>
    </row>
    <row r="759" customFormat="false" ht="15" hidden="false" customHeight="false" outlineLevel="0" collapsed="false">
      <c r="A759" s="2" t="s">
        <v>18</v>
      </c>
      <c r="B759" s="2" t="s">
        <v>1990</v>
      </c>
      <c r="C759" s="2" t="s">
        <v>2541</v>
      </c>
      <c r="D759" s="2" t="s">
        <v>1992</v>
      </c>
      <c r="E759" s="4" t="n">
        <v>0</v>
      </c>
      <c r="F759" s="4" t="n">
        <v>0</v>
      </c>
      <c r="G759" s="4" t="n">
        <v>0</v>
      </c>
      <c r="H759" s="2" t="s">
        <v>1385</v>
      </c>
    </row>
    <row r="760" customFormat="false" ht="15" hidden="false" customHeight="false" outlineLevel="0" collapsed="false">
      <c r="A760" s="2" t="s">
        <v>18</v>
      </c>
      <c r="B760" s="2" t="s">
        <v>1691</v>
      </c>
      <c r="C760" s="2" t="s">
        <v>2542</v>
      </c>
      <c r="D760" s="2" t="s">
        <v>1693</v>
      </c>
      <c r="E760" s="4" t="n">
        <v>1461.05</v>
      </c>
      <c r="F760" s="4" t="n">
        <v>132.82</v>
      </c>
      <c r="G760" s="4" t="n">
        <v>1328.23</v>
      </c>
      <c r="H760" s="2" t="s">
        <v>1385</v>
      </c>
    </row>
    <row r="761" customFormat="false" ht="15" hidden="false" customHeight="false" outlineLevel="0" collapsed="false">
      <c r="A761" s="2" t="s">
        <v>18</v>
      </c>
      <c r="B761" s="2" t="s">
        <v>1520</v>
      </c>
      <c r="C761" s="2" t="s">
        <v>2543</v>
      </c>
      <c r="D761" s="2" t="s">
        <v>1522</v>
      </c>
      <c r="E761" s="4" t="n">
        <v>114.29</v>
      </c>
      <c r="F761" s="4" t="n">
        <v>10.4</v>
      </c>
      <c r="G761" s="4" t="n">
        <v>103.89</v>
      </c>
      <c r="H761" s="2" t="s">
        <v>1385</v>
      </c>
    </row>
    <row r="762" customFormat="false" ht="15" hidden="false" customHeight="false" outlineLevel="0" collapsed="false">
      <c r="A762" s="2" t="s">
        <v>18</v>
      </c>
      <c r="B762" s="2" t="s">
        <v>1231</v>
      </c>
      <c r="C762" s="2" t="s">
        <v>1360</v>
      </c>
      <c r="D762" s="2" t="s">
        <v>1233</v>
      </c>
      <c r="E762" s="4" t="n">
        <v>38.63</v>
      </c>
      <c r="F762" s="4" t="n">
        <v>3.52</v>
      </c>
      <c r="G762" s="4" t="n">
        <v>35.11</v>
      </c>
      <c r="H762" s="2" t="s">
        <v>1381</v>
      </c>
    </row>
    <row r="763" customFormat="false" ht="15" hidden="false" customHeight="false" outlineLevel="0" collapsed="false">
      <c r="A763" s="2" t="s">
        <v>18</v>
      </c>
      <c r="B763" s="2" t="s">
        <v>1237</v>
      </c>
      <c r="C763" s="2" t="s">
        <v>1362</v>
      </c>
      <c r="D763" s="2" t="s">
        <v>1239</v>
      </c>
      <c r="E763" s="4" t="n">
        <v>35.9</v>
      </c>
      <c r="F763" s="4" t="n">
        <v>3.27</v>
      </c>
      <c r="G763" s="4" t="n">
        <v>32.63</v>
      </c>
      <c r="H763" s="2" t="s">
        <v>1381</v>
      </c>
    </row>
    <row r="764" customFormat="false" ht="15" hidden="false" customHeight="false" outlineLevel="0" collapsed="false">
      <c r="A764" s="2" t="s">
        <v>18</v>
      </c>
      <c r="B764" s="2" t="s">
        <v>1904</v>
      </c>
      <c r="C764" s="2" t="s">
        <v>2544</v>
      </c>
      <c r="D764" s="2" t="s">
        <v>1906</v>
      </c>
      <c r="E764" s="4" t="n">
        <v>0</v>
      </c>
      <c r="F764" s="4" t="n">
        <v>0</v>
      </c>
      <c r="G764" s="4" t="n">
        <v>0</v>
      </c>
      <c r="H764" s="2" t="s">
        <v>1385</v>
      </c>
    </row>
    <row r="765" customFormat="false" ht="15" hidden="false" customHeight="false" outlineLevel="0" collapsed="false">
      <c r="A765" s="2" t="s">
        <v>18</v>
      </c>
      <c r="B765" s="2" t="s">
        <v>1592</v>
      </c>
      <c r="C765" s="2" t="s">
        <v>2545</v>
      </c>
      <c r="D765" s="2" t="s">
        <v>1594</v>
      </c>
      <c r="E765" s="4" t="n">
        <v>81.66</v>
      </c>
      <c r="F765" s="4" t="n">
        <v>7.42</v>
      </c>
      <c r="G765" s="4" t="n">
        <v>74.24</v>
      </c>
      <c r="H765" s="2" t="s">
        <v>1385</v>
      </c>
    </row>
    <row r="766" customFormat="false" ht="15" hidden="false" customHeight="false" outlineLevel="0" collapsed="false">
      <c r="A766" s="2" t="s">
        <v>18</v>
      </c>
      <c r="B766" s="2" t="s">
        <v>179</v>
      </c>
      <c r="C766" s="2" t="s">
        <v>343</v>
      </c>
      <c r="D766" s="2" t="s">
        <v>181</v>
      </c>
      <c r="E766" s="4" t="n">
        <v>256.73</v>
      </c>
      <c r="F766" s="4" t="n">
        <v>23.33</v>
      </c>
      <c r="G766" s="4" t="n">
        <v>233.4</v>
      </c>
      <c r="H766" s="2" t="s">
        <v>1381</v>
      </c>
    </row>
    <row r="767" customFormat="false" ht="15" hidden="false" customHeight="false" outlineLevel="0" collapsed="false">
      <c r="A767" s="2" t="s">
        <v>18</v>
      </c>
      <c r="B767" s="2" t="s">
        <v>1952</v>
      </c>
      <c r="C767" s="2" t="s">
        <v>2546</v>
      </c>
      <c r="D767" s="2" t="s">
        <v>1954</v>
      </c>
      <c r="E767" s="4" t="n">
        <v>0</v>
      </c>
      <c r="F767" s="4" t="n">
        <v>0</v>
      </c>
      <c r="G767" s="4" t="n">
        <v>0</v>
      </c>
      <c r="H767" s="2" t="s">
        <v>1385</v>
      </c>
    </row>
    <row r="768" customFormat="false" ht="15" hidden="false" customHeight="false" outlineLevel="0" collapsed="false">
      <c r="A768" s="2" t="s">
        <v>18</v>
      </c>
      <c r="B768" s="2" t="s">
        <v>1961</v>
      </c>
      <c r="C768" s="2" t="s">
        <v>2547</v>
      </c>
      <c r="D768" s="2" t="s">
        <v>1963</v>
      </c>
      <c r="E768" s="4" t="n">
        <v>0</v>
      </c>
      <c r="F768" s="4" t="n">
        <v>0</v>
      </c>
      <c r="G768" s="4" t="n">
        <v>0</v>
      </c>
      <c r="H768" s="2" t="s">
        <v>1385</v>
      </c>
    </row>
    <row r="769" customFormat="false" ht="15" hidden="false" customHeight="false" outlineLevel="0" collapsed="false">
      <c r="A769" s="2" t="s">
        <v>18</v>
      </c>
      <c r="B769" s="2" t="s">
        <v>1958</v>
      </c>
      <c r="C769" s="2" t="s">
        <v>2548</v>
      </c>
      <c r="D769" s="2" t="s">
        <v>1960</v>
      </c>
      <c r="E769" s="4" t="n">
        <v>0</v>
      </c>
      <c r="F769" s="4" t="n">
        <v>0</v>
      </c>
      <c r="G769" s="4" t="n">
        <v>0</v>
      </c>
      <c r="H769" s="2" t="s">
        <v>1385</v>
      </c>
    </row>
    <row r="770" customFormat="false" ht="15" hidden="false" customHeight="false" outlineLevel="0" collapsed="false">
      <c r="A770" s="2" t="s">
        <v>18</v>
      </c>
      <c r="B770" s="2" t="s">
        <v>1670</v>
      </c>
      <c r="C770" s="2" t="s">
        <v>2549</v>
      </c>
      <c r="D770" s="2" t="s">
        <v>1672</v>
      </c>
      <c r="E770" s="4" t="n">
        <v>1109.67</v>
      </c>
      <c r="F770" s="4" t="n">
        <v>100.89</v>
      </c>
      <c r="G770" s="4" t="n">
        <v>1008.78</v>
      </c>
      <c r="H770" s="2" t="s">
        <v>1385</v>
      </c>
    </row>
    <row r="771" customFormat="false" ht="15" hidden="false" customHeight="false" outlineLevel="0" collapsed="false">
      <c r="A771" s="2" t="s">
        <v>18</v>
      </c>
      <c r="B771" s="2" t="s">
        <v>451</v>
      </c>
      <c r="C771" s="2" t="s">
        <v>2550</v>
      </c>
      <c r="D771" s="2" t="s">
        <v>453</v>
      </c>
      <c r="E771" s="4" t="n">
        <v>0</v>
      </c>
      <c r="F771" s="4" t="n">
        <v>0</v>
      </c>
      <c r="G771" s="4" t="n">
        <v>0</v>
      </c>
      <c r="H771" s="2" t="s">
        <v>1385</v>
      </c>
    </row>
    <row r="772" customFormat="false" ht="15" hidden="false" customHeight="false" outlineLevel="0" collapsed="false">
      <c r="A772" s="2" t="s">
        <v>18</v>
      </c>
      <c r="B772" s="2" t="s">
        <v>1224</v>
      </c>
      <c r="C772" s="2" t="s">
        <v>1364</v>
      </c>
      <c r="D772" s="2" t="s">
        <v>1226</v>
      </c>
      <c r="E772" s="4" t="n">
        <v>29.13</v>
      </c>
      <c r="F772" s="4" t="n">
        <v>2.65</v>
      </c>
      <c r="G772" s="4" t="n">
        <v>26.48</v>
      </c>
      <c r="H772" s="2" t="s">
        <v>1381</v>
      </c>
    </row>
    <row r="773" customFormat="false" ht="15" hidden="false" customHeight="false" outlineLevel="0" collapsed="false">
      <c r="A773" s="2" t="s">
        <v>18</v>
      </c>
      <c r="B773" s="2" t="s">
        <v>519</v>
      </c>
      <c r="C773" s="2" t="s">
        <v>891</v>
      </c>
      <c r="D773" s="2" t="s">
        <v>521</v>
      </c>
      <c r="E773" s="4" t="n">
        <v>108.76</v>
      </c>
      <c r="F773" s="4" t="n">
        <v>9.89</v>
      </c>
      <c r="G773" s="4" t="n">
        <v>98.87</v>
      </c>
      <c r="H773" s="2" t="s">
        <v>1381</v>
      </c>
    </row>
    <row r="774" customFormat="false" ht="15" hidden="false" customHeight="false" outlineLevel="0" collapsed="false">
      <c r="A774" s="2" t="s">
        <v>18</v>
      </c>
      <c r="B774" s="2" t="s">
        <v>116</v>
      </c>
      <c r="C774" s="2" t="s">
        <v>197</v>
      </c>
      <c r="D774" s="2" t="s">
        <v>118</v>
      </c>
      <c r="E774" s="4" t="n">
        <v>237.93</v>
      </c>
      <c r="F774" s="4" t="n">
        <v>21.63</v>
      </c>
      <c r="G774" s="4" t="n">
        <v>216.3</v>
      </c>
      <c r="H774" s="2" t="s">
        <v>1381</v>
      </c>
    </row>
    <row r="775" customFormat="false" ht="15" hidden="false" customHeight="false" outlineLevel="0" collapsed="false">
      <c r="A775" s="2" t="s">
        <v>18</v>
      </c>
      <c r="B775" s="2" t="s">
        <v>1577</v>
      </c>
      <c r="C775" s="2" t="s">
        <v>2551</v>
      </c>
      <c r="D775" s="2" t="s">
        <v>1579</v>
      </c>
      <c r="E775" s="4" t="n">
        <v>89.11</v>
      </c>
      <c r="F775" s="4" t="n">
        <v>8.1</v>
      </c>
      <c r="G775" s="4" t="n">
        <v>81.01</v>
      </c>
      <c r="H775" s="2" t="s">
        <v>1385</v>
      </c>
    </row>
    <row r="776" customFormat="false" ht="15" hidden="false" customHeight="false" outlineLevel="0" collapsed="false">
      <c r="A776" s="2" t="s">
        <v>18</v>
      </c>
      <c r="B776" s="2" t="s">
        <v>931</v>
      </c>
      <c r="C776" s="2" t="s">
        <v>1348</v>
      </c>
      <c r="D776" s="2" t="s">
        <v>933</v>
      </c>
      <c r="E776" s="4" t="n">
        <v>35.09</v>
      </c>
      <c r="F776" s="4" t="n">
        <v>3.19</v>
      </c>
      <c r="G776" s="4" t="n">
        <v>31.9</v>
      </c>
      <c r="H776" s="2" t="s">
        <v>1381</v>
      </c>
    </row>
    <row r="777" customFormat="false" ht="15" hidden="false" customHeight="false" outlineLevel="0" collapsed="false">
      <c r="A777" s="2" t="s">
        <v>18</v>
      </c>
      <c r="B777" s="2" t="s">
        <v>1217</v>
      </c>
      <c r="C777" s="2" t="s">
        <v>1358</v>
      </c>
      <c r="D777" s="2" t="s">
        <v>1219</v>
      </c>
      <c r="E777" s="4" t="n">
        <v>26.89</v>
      </c>
      <c r="F777" s="4" t="n">
        <v>2.45</v>
      </c>
      <c r="G777" s="4" t="n">
        <v>24.44</v>
      </c>
      <c r="H777" s="2" t="s">
        <v>1381</v>
      </c>
    </row>
    <row r="778" customFormat="false" ht="15" hidden="false" customHeight="false" outlineLevel="0" collapsed="false">
      <c r="A778" s="2" t="s">
        <v>18</v>
      </c>
      <c r="B778" s="2" t="s">
        <v>1763</v>
      </c>
      <c r="C778" s="2" t="s">
        <v>2552</v>
      </c>
      <c r="D778" s="2" t="s">
        <v>1765</v>
      </c>
      <c r="E778" s="4" t="n">
        <v>0</v>
      </c>
      <c r="F778" s="4" t="n">
        <v>0</v>
      </c>
      <c r="G778" s="4" t="n">
        <v>0</v>
      </c>
      <c r="H778" s="2" t="s">
        <v>1385</v>
      </c>
    </row>
    <row r="779" customFormat="false" ht="15" hidden="false" customHeight="false" outlineLevel="0" collapsed="false">
      <c r="A779" s="2" t="s">
        <v>18</v>
      </c>
      <c r="B779" s="2" t="s">
        <v>1535</v>
      </c>
      <c r="C779" s="2" t="s">
        <v>2553</v>
      </c>
      <c r="D779" s="2" t="s">
        <v>1537</v>
      </c>
      <c r="E779" s="4" t="n">
        <v>0</v>
      </c>
      <c r="F779" s="4" t="n">
        <v>0</v>
      </c>
      <c r="G779" s="4" t="n">
        <v>0</v>
      </c>
      <c r="H779" s="2" t="s">
        <v>1385</v>
      </c>
    </row>
    <row r="780" customFormat="false" ht="15" hidden="false" customHeight="false" outlineLevel="0" collapsed="false">
      <c r="A780" s="2" t="s">
        <v>18</v>
      </c>
      <c r="B780" s="2" t="s">
        <v>1610</v>
      </c>
      <c r="C780" s="2" t="s">
        <v>2554</v>
      </c>
      <c r="D780" s="2" t="s">
        <v>1612</v>
      </c>
      <c r="E780" s="4" t="n">
        <v>24.67</v>
      </c>
      <c r="F780" s="4" t="n">
        <v>2.24</v>
      </c>
      <c r="G780" s="4" t="n">
        <v>22.43</v>
      </c>
      <c r="H780" s="2" t="s">
        <v>1385</v>
      </c>
    </row>
    <row r="781" customFormat="false" ht="15" hidden="false" customHeight="false" outlineLevel="0" collapsed="false">
      <c r="A781" s="2" t="s">
        <v>18</v>
      </c>
      <c r="B781" s="2" t="s">
        <v>1715</v>
      </c>
      <c r="C781" s="2" t="s">
        <v>2555</v>
      </c>
      <c r="D781" s="2" t="s">
        <v>1717</v>
      </c>
      <c r="E781" s="4" t="n">
        <v>904.55</v>
      </c>
      <c r="F781" s="4" t="n">
        <v>82.23</v>
      </c>
      <c r="G781" s="4" t="n">
        <v>822.32</v>
      </c>
      <c r="H781" s="2" t="s">
        <v>1385</v>
      </c>
    </row>
    <row r="782" customFormat="false" ht="15" hidden="false" customHeight="false" outlineLevel="0" collapsed="false">
      <c r="A782" s="2" t="s">
        <v>18</v>
      </c>
      <c r="B782" s="2" t="s">
        <v>1883</v>
      </c>
      <c r="C782" s="2" t="s">
        <v>2556</v>
      </c>
      <c r="D782" s="2" t="s">
        <v>1885</v>
      </c>
      <c r="E782" s="4" t="n">
        <v>81.95</v>
      </c>
      <c r="F782" s="4" t="n">
        <v>7.46</v>
      </c>
      <c r="G782" s="4" t="n">
        <v>74.49</v>
      </c>
      <c r="H782" s="2" t="s">
        <v>1385</v>
      </c>
    </row>
    <row r="783" customFormat="false" ht="15" hidden="false" customHeight="false" outlineLevel="0" collapsed="false">
      <c r="A783" s="2" t="s">
        <v>18</v>
      </c>
      <c r="B783" s="2" t="s">
        <v>458</v>
      </c>
      <c r="C783" s="2" t="s">
        <v>2557</v>
      </c>
      <c r="D783" s="2" t="s">
        <v>460</v>
      </c>
      <c r="E783" s="4" t="n">
        <v>0</v>
      </c>
      <c r="F783" s="4" t="n">
        <v>0</v>
      </c>
      <c r="G783" s="4" t="n">
        <v>0</v>
      </c>
      <c r="H783" s="2" t="s">
        <v>1385</v>
      </c>
    </row>
    <row r="784" customFormat="false" ht="15" hidden="false" customHeight="false" outlineLevel="0" collapsed="false">
      <c r="A784" s="2" t="s">
        <v>18</v>
      </c>
      <c r="B784" s="2" t="s">
        <v>2002</v>
      </c>
      <c r="C784" s="2" t="s">
        <v>2558</v>
      </c>
      <c r="D784" s="2" t="s">
        <v>2004</v>
      </c>
      <c r="E784" s="4" t="n">
        <v>0</v>
      </c>
      <c r="F784" s="4" t="n">
        <v>0</v>
      </c>
      <c r="G784" s="4" t="n">
        <v>0</v>
      </c>
      <c r="H784" s="2" t="s">
        <v>1385</v>
      </c>
    </row>
    <row r="785" customFormat="false" ht="15" hidden="false" customHeight="false" outlineLevel="0" collapsed="false">
      <c r="A785" s="2" t="s">
        <v>18</v>
      </c>
      <c r="B785" s="2" t="s">
        <v>1613</v>
      </c>
      <c r="C785" s="2" t="s">
        <v>2559</v>
      </c>
      <c r="D785" s="2" t="s">
        <v>1615</v>
      </c>
      <c r="E785" s="4" t="n">
        <v>136.32</v>
      </c>
      <c r="F785" s="4" t="n">
        <v>12.4</v>
      </c>
      <c r="G785" s="4" t="n">
        <v>123.92</v>
      </c>
      <c r="H785" s="2" t="s">
        <v>1385</v>
      </c>
    </row>
    <row r="786" customFormat="false" ht="15" hidden="false" customHeight="false" outlineLevel="0" collapsed="false">
      <c r="A786" s="2" t="s">
        <v>18</v>
      </c>
      <c r="B786" s="2" t="s">
        <v>99</v>
      </c>
      <c r="C786" s="2" t="s">
        <v>2560</v>
      </c>
      <c r="D786" s="2" t="s">
        <v>101</v>
      </c>
      <c r="E786" s="4" t="n">
        <v>0</v>
      </c>
      <c r="F786" s="4" t="n">
        <v>0</v>
      </c>
      <c r="G786" s="4" t="n">
        <v>0</v>
      </c>
      <c r="H786" s="2" t="s">
        <v>1385</v>
      </c>
    </row>
    <row r="787" customFormat="false" ht="15" hidden="false" customHeight="false" outlineLevel="0" collapsed="false">
      <c r="A787" s="2" t="s">
        <v>18</v>
      </c>
      <c r="B787" s="2" t="s">
        <v>420</v>
      </c>
      <c r="C787" s="2" t="s">
        <v>2561</v>
      </c>
      <c r="D787" s="2" t="s">
        <v>422</v>
      </c>
      <c r="E787" s="4" t="n">
        <v>0</v>
      </c>
      <c r="F787" s="4" t="n">
        <v>0</v>
      </c>
      <c r="G787" s="4" t="n">
        <v>0</v>
      </c>
      <c r="H787" s="2" t="s">
        <v>1385</v>
      </c>
    </row>
    <row r="788" customFormat="false" ht="15" hidden="false" customHeight="false" outlineLevel="0" collapsed="false">
      <c r="A788" s="2" t="s">
        <v>18</v>
      </c>
      <c r="B788" s="2" t="s">
        <v>1925</v>
      </c>
      <c r="C788" s="2" t="s">
        <v>2562</v>
      </c>
      <c r="D788" s="2" t="s">
        <v>1927</v>
      </c>
      <c r="E788" s="4" t="n">
        <v>0</v>
      </c>
      <c r="F788" s="4" t="n">
        <v>0</v>
      </c>
      <c r="G788" s="4" t="n">
        <v>0</v>
      </c>
      <c r="H788" s="2" t="s">
        <v>1385</v>
      </c>
    </row>
    <row r="789" customFormat="false" ht="15" hidden="false" customHeight="false" outlineLevel="0" collapsed="false">
      <c r="A789" s="2" t="s">
        <v>18</v>
      </c>
      <c r="B789" s="2" t="s">
        <v>2563</v>
      </c>
      <c r="C789" s="2" t="s">
        <v>2564</v>
      </c>
      <c r="D789" s="2" t="s">
        <v>2565</v>
      </c>
      <c r="E789" s="4" t="n">
        <v>28.38</v>
      </c>
      <c r="F789" s="4" t="n">
        <v>2.58</v>
      </c>
      <c r="G789" s="4" t="n">
        <v>25.8</v>
      </c>
      <c r="H789" s="2" t="s">
        <v>1385</v>
      </c>
    </row>
    <row r="790" customFormat="false" ht="15" hidden="false" customHeight="false" outlineLevel="0" collapsed="false">
      <c r="A790" s="2" t="s">
        <v>18</v>
      </c>
      <c r="B790" s="2" t="s">
        <v>1898</v>
      </c>
      <c r="C790" s="2" t="s">
        <v>2566</v>
      </c>
      <c r="D790" s="2" t="s">
        <v>1900</v>
      </c>
      <c r="E790" s="4" t="n">
        <v>0</v>
      </c>
      <c r="F790" s="4" t="n">
        <v>0</v>
      </c>
      <c r="G790" s="4" t="n">
        <v>0</v>
      </c>
      <c r="H790" s="2" t="s">
        <v>1385</v>
      </c>
    </row>
    <row r="791" customFormat="false" ht="15" hidden="false" customHeight="false" outlineLevel="0" collapsed="false">
      <c r="A791" s="2" t="s">
        <v>18</v>
      </c>
      <c r="B791" s="2" t="s">
        <v>1943</v>
      </c>
      <c r="C791" s="2" t="s">
        <v>2567</v>
      </c>
      <c r="D791" s="2" t="s">
        <v>1945</v>
      </c>
      <c r="E791" s="4" t="n">
        <v>0</v>
      </c>
      <c r="F791" s="4" t="n">
        <v>0</v>
      </c>
      <c r="G791" s="4" t="n">
        <v>0</v>
      </c>
      <c r="H791" s="2" t="s">
        <v>1385</v>
      </c>
    </row>
    <row r="792" customFormat="false" ht="15" hidden="false" customHeight="false" outlineLevel="0" collapsed="false">
      <c r="A792" s="2" t="s">
        <v>18</v>
      </c>
      <c r="B792" s="2" t="s">
        <v>361</v>
      </c>
      <c r="C792" s="2" t="s">
        <v>2568</v>
      </c>
      <c r="D792" s="2" t="s">
        <v>363</v>
      </c>
      <c r="E792" s="4" t="n">
        <v>0</v>
      </c>
      <c r="F792" s="4" t="n">
        <v>0</v>
      </c>
      <c r="G792" s="4" t="n">
        <v>0</v>
      </c>
      <c r="H792" s="2" t="s">
        <v>1385</v>
      </c>
    </row>
    <row r="793" customFormat="false" ht="15" hidden="false" customHeight="false" outlineLevel="0" collapsed="false">
      <c r="A793" s="2" t="s">
        <v>18</v>
      </c>
      <c r="B793" s="2" t="s">
        <v>1993</v>
      </c>
      <c r="C793" s="2" t="s">
        <v>2569</v>
      </c>
      <c r="D793" s="2" t="s">
        <v>1995</v>
      </c>
      <c r="E793" s="4" t="n">
        <v>0</v>
      </c>
      <c r="F793" s="4" t="n">
        <v>0</v>
      </c>
      <c r="G793" s="4" t="n">
        <v>0</v>
      </c>
      <c r="H793" s="2" t="s">
        <v>1385</v>
      </c>
    </row>
    <row r="794" customFormat="false" ht="15" hidden="false" customHeight="false" outlineLevel="0" collapsed="false">
      <c r="A794" s="2" t="s">
        <v>18</v>
      </c>
      <c r="B794" s="2" t="s">
        <v>1826</v>
      </c>
      <c r="C794" s="2" t="s">
        <v>2570</v>
      </c>
      <c r="D794" s="2" t="s">
        <v>1828</v>
      </c>
      <c r="E794" s="4" t="n">
        <v>919.61</v>
      </c>
      <c r="F794" s="4" t="n">
        <v>89.14</v>
      </c>
      <c r="G794" s="4" t="n">
        <v>830.47</v>
      </c>
      <c r="H794" s="2" t="s">
        <v>1385</v>
      </c>
    </row>
    <row r="795" customFormat="false" ht="15" hidden="false" customHeight="false" outlineLevel="0" collapsed="false">
      <c r="A795" s="2" t="s">
        <v>18</v>
      </c>
      <c r="B795" s="2" t="s">
        <v>367</v>
      </c>
      <c r="C795" s="2" t="s">
        <v>2571</v>
      </c>
      <c r="D795" s="2" t="s">
        <v>369</v>
      </c>
      <c r="E795" s="4" t="n">
        <v>0</v>
      </c>
      <c r="F795" s="4" t="n">
        <v>0</v>
      </c>
      <c r="G795" s="4" t="n">
        <v>0</v>
      </c>
      <c r="H795" s="2" t="s">
        <v>1385</v>
      </c>
    </row>
    <row r="796" customFormat="false" ht="15" hidden="false" customHeight="false" outlineLevel="0" collapsed="false">
      <c r="A796" s="2" t="s">
        <v>18</v>
      </c>
      <c r="B796" s="2" t="s">
        <v>1243</v>
      </c>
      <c r="C796" s="2" t="s">
        <v>1368</v>
      </c>
      <c r="D796" s="2" t="s">
        <v>1245</v>
      </c>
      <c r="E796" s="4" t="n">
        <v>26.89</v>
      </c>
      <c r="F796" s="4" t="n">
        <v>2.45</v>
      </c>
      <c r="G796" s="4" t="n">
        <v>24.44</v>
      </c>
      <c r="H796" s="2" t="s">
        <v>1381</v>
      </c>
    </row>
    <row r="797" customFormat="false" ht="15" hidden="false" customHeight="false" outlineLevel="0" collapsed="false">
      <c r="A797" s="2" t="s">
        <v>18</v>
      </c>
      <c r="B797" s="2" t="s">
        <v>1742</v>
      </c>
      <c r="C797" s="2" t="s">
        <v>2572</v>
      </c>
      <c r="D797" s="2" t="s">
        <v>1744</v>
      </c>
      <c r="E797" s="4" t="n">
        <v>341.95</v>
      </c>
      <c r="F797" s="4" t="n">
        <v>31.09</v>
      </c>
      <c r="G797" s="4" t="n">
        <v>310.86</v>
      </c>
      <c r="H797" s="2" t="s">
        <v>1385</v>
      </c>
    </row>
    <row r="798" customFormat="false" ht="15" hidden="false" customHeight="false" outlineLevel="0" collapsed="false">
      <c r="A798" s="2" t="s">
        <v>18</v>
      </c>
      <c r="B798" s="2" t="s">
        <v>1811</v>
      </c>
      <c r="C798" s="2" t="s">
        <v>2573</v>
      </c>
      <c r="D798" s="2" t="s">
        <v>1813</v>
      </c>
      <c r="E798" s="4" t="n">
        <v>45.13</v>
      </c>
      <c r="F798" s="4" t="n">
        <v>4.12</v>
      </c>
      <c r="G798" s="4" t="n">
        <v>41.01</v>
      </c>
      <c r="H798" s="2" t="s">
        <v>1385</v>
      </c>
    </row>
    <row r="799" customFormat="false" ht="15" hidden="false" customHeight="false" outlineLevel="0" collapsed="false">
      <c r="A799" s="2" t="s">
        <v>18</v>
      </c>
      <c r="B799" s="2" t="s">
        <v>393</v>
      </c>
      <c r="C799" s="2" t="s">
        <v>2574</v>
      </c>
      <c r="D799" s="2" t="s">
        <v>395</v>
      </c>
      <c r="E799" s="4" t="n">
        <v>0</v>
      </c>
      <c r="F799" s="4" t="n">
        <v>0</v>
      </c>
      <c r="G799" s="4" t="n">
        <v>0</v>
      </c>
      <c r="H799" s="2" t="s">
        <v>1385</v>
      </c>
    </row>
    <row r="800" customFormat="false" ht="15" hidden="false" customHeight="false" outlineLevel="0" collapsed="false">
      <c r="A800" s="2" t="s">
        <v>18</v>
      </c>
      <c r="B800" s="2" t="s">
        <v>1580</v>
      </c>
      <c r="C800" s="2" t="s">
        <v>2575</v>
      </c>
      <c r="D800" s="2" t="s">
        <v>1582</v>
      </c>
      <c r="E800" s="4" t="n">
        <v>1512.17</v>
      </c>
      <c r="F800" s="4" t="n">
        <v>137.47</v>
      </c>
      <c r="G800" s="4" t="n">
        <v>1374.7</v>
      </c>
      <c r="H800" s="2" t="s">
        <v>1385</v>
      </c>
    </row>
    <row r="801" customFormat="false" ht="15" hidden="false" customHeight="false" outlineLevel="0" collapsed="false">
      <c r="A801" s="2" t="s">
        <v>18</v>
      </c>
      <c r="B801" s="2" t="s">
        <v>1859</v>
      </c>
      <c r="C801" s="2" t="s">
        <v>2576</v>
      </c>
      <c r="D801" s="2" t="s">
        <v>1861</v>
      </c>
      <c r="E801" s="4" t="n">
        <v>42.86</v>
      </c>
      <c r="F801" s="4" t="n">
        <v>3.9</v>
      </c>
      <c r="G801" s="4" t="n">
        <v>38.96</v>
      </c>
      <c r="H801" s="2" t="s">
        <v>1385</v>
      </c>
    </row>
    <row r="802" customFormat="false" ht="15" hidden="false" customHeight="false" outlineLevel="0" collapsed="false">
      <c r="A802" s="2" t="s">
        <v>18</v>
      </c>
      <c r="B802" s="2" t="s">
        <v>1601</v>
      </c>
      <c r="C802" s="2" t="s">
        <v>2577</v>
      </c>
      <c r="D802" s="2" t="s">
        <v>1603</v>
      </c>
      <c r="E802" s="4" t="n">
        <v>26.9</v>
      </c>
      <c r="F802" s="4" t="n">
        <v>2.45</v>
      </c>
      <c r="G802" s="4" t="n">
        <v>24.45</v>
      </c>
      <c r="H802" s="2" t="s">
        <v>1385</v>
      </c>
    </row>
    <row r="803" customFormat="false" ht="15" hidden="false" customHeight="false" outlineLevel="0" collapsed="false">
      <c r="A803" s="2" t="s">
        <v>18</v>
      </c>
      <c r="B803" s="2" t="s">
        <v>1847</v>
      </c>
      <c r="C803" s="2" t="s">
        <v>2578</v>
      </c>
      <c r="D803" s="2" t="s">
        <v>1849</v>
      </c>
      <c r="E803" s="4" t="n">
        <v>83.1</v>
      </c>
      <c r="F803" s="4" t="n">
        <v>7.56</v>
      </c>
      <c r="G803" s="4" t="n">
        <v>75.54</v>
      </c>
      <c r="H803" s="2" t="s">
        <v>1385</v>
      </c>
    </row>
    <row r="804" customFormat="false" ht="15" hidden="false" customHeight="false" outlineLevel="0" collapsed="false">
      <c r="A804" s="2" t="s">
        <v>18</v>
      </c>
      <c r="B804" s="2" t="s">
        <v>1568</v>
      </c>
      <c r="C804" s="2" t="s">
        <v>2579</v>
      </c>
      <c r="D804" s="2" t="s">
        <v>1570</v>
      </c>
      <c r="E804" s="4" t="n">
        <v>156.7</v>
      </c>
      <c r="F804" s="4" t="n">
        <v>14.25</v>
      </c>
      <c r="G804" s="4" t="n">
        <v>142.45</v>
      </c>
      <c r="H804" s="2" t="s">
        <v>1385</v>
      </c>
    </row>
    <row r="805" customFormat="false" ht="15" hidden="false" customHeight="false" outlineLevel="0" collapsed="false">
      <c r="A805" s="2" t="s">
        <v>18</v>
      </c>
      <c r="B805" s="2" t="s">
        <v>1574</v>
      </c>
      <c r="C805" s="2" t="s">
        <v>2580</v>
      </c>
      <c r="D805" s="2" t="s">
        <v>1576</v>
      </c>
      <c r="E805" s="4" t="n">
        <v>2084.27</v>
      </c>
      <c r="F805" s="4" t="n">
        <v>189.49</v>
      </c>
      <c r="G805" s="4" t="n">
        <v>1894.78</v>
      </c>
      <c r="H805" s="2" t="s">
        <v>1385</v>
      </c>
    </row>
    <row r="806" customFormat="false" ht="15" hidden="false" customHeight="false" outlineLevel="0" collapsed="false">
      <c r="A806" s="2" t="s">
        <v>18</v>
      </c>
      <c r="B806" s="2" t="s">
        <v>336</v>
      </c>
      <c r="C806" s="2" t="s">
        <v>2581</v>
      </c>
      <c r="D806" s="2" t="s">
        <v>338</v>
      </c>
      <c r="E806" s="4" t="n">
        <v>0</v>
      </c>
      <c r="F806" s="4" t="n">
        <v>0</v>
      </c>
      <c r="G806" s="4" t="n">
        <v>0</v>
      </c>
      <c r="H806" s="2" t="s">
        <v>1385</v>
      </c>
    </row>
    <row r="807" customFormat="false" ht="15" hidden="false" customHeight="false" outlineLevel="0" collapsed="false">
      <c r="A807" s="2" t="s">
        <v>18</v>
      </c>
      <c r="B807" s="2" t="s">
        <v>1586</v>
      </c>
      <c r="C807" s="2" t="s">
        <v>2582</v>
      </c>
      <c r="D807" s="2" t="s">
        <v>1588</v>
      </c>
      <c r="E807" s="4" t="n">
        <v>1179.82</v>
      </c>
      <c r="F807" s="4" t="n">
        <v>107.26</v>
      </c>
      <c r="G807" s="4" t="n">
        <v>1072.56</v>
      </c>
      <c r="H807" s="2" t="s">
        <v>1385</v>
      </c>
    </row>
    <row r="808" customFormat="false" ht="15" hidden="false" customHeight="false" outlineLevel="0" collapsed="false">
      <c r="A808" s="2" t="s">
        <v>18</v>
      </c>
      <c r="B808" s="2" t="s">
        <v>1931</v>
      </c>
      <c r="C808" s="2" t="s">
        <v>2583</v>
      </c>
      <c r="D808" s="2" t="s">
        <v>1933</v>
      </c>
      <c r="E808" s="4" t="n">
        <v>0</v>
      </c>
      <c r="F808" s="4" t="n">
        <v>0</v>
      </c>
      <c r="G808" s="4" t="n">
        <v>0</v>
      </c>
      <c r="H808" s="2" t="s">
        <v>1385</v>
      </c>
    </row>
    <row r="809" customFormat="false" ht="15" hidden="false" customHeight="false" outlineLevel="0" collapsed="false">
      <c r="A809" s="2" t="s">
        <v>18</v>
      </c>
      <c r="B809" s="2" t="s">
        <v>292</v>
      </c>
      <c r="C809" s="2" t="s">
        <v>2584</v>
      </c>
      <c r="D809" s="2" t="s">
        <v>294</v>
      </c>
      <c r="E809" s="4" t="n">
        <v>0</v>
      </c>
      <c r="F809" s="4" t="n">
        <v>0</v>
      </c>
      <c r="G809" s="4" t="n">
        <v>0</v>
      </c>
      <c r="H809" s="2" t="s">
        <v>1385</v>
      </c>
    </row>
    <row r="810" customFormat="false" ht="15" hidden="false" customHeight="false" outlineLevel="0" collapsed="false">
      <c r="A810" s="2" t="s">
        <v>18</v>
      </c>
      <c r="B810" s="2" t="s">
        <v>1889</v>
      </c>
      <c r="C810" s="2" t="s">
        <v>2585</v>
      </c>
      <c r="D810" s="2" t="s">
        <v>1891</v>
      </c>
      <c r="E810" s="4" t="n">
        <v>1518.56</v>
      </c>
      <c r="F810" s="4" t="n">
        <v>138.05</v>
      </c>
      <c r="G810" s="4" t="n">
        <v>1380.51</v>
      </c>
      <c r="H810" s="2" t="s">
        <v>1385</v>
      </c>
    </row>
    <row r="811" customFormat="false" ht="15" hidden="false" customHeight="false" outlineLevel="0" collapsed="false">
      <c r="A811" s="2" t="s">
        <v>18</v>
      </c>
      <c r="B811" s="2" t="s">
        <v>1996</v>
      </c>
      <c r="C811" s="2" t="s">
        <v>2586</v>
      </c>
      <c r="D811" s="2" t="s">
        <v>1998</v>
      </c>
      <c r="E811" s="4" t="n">
        <v>0</v>
      </c>
      <c r="F811" s="4" t="n">
        <v>0</v>
      </c>
      <c r="G811" s="4" t="n">
        <v>0</v>
      </c>
      <c r="H811" s="2" t="s">
        <v>1385</v>
      </c>
    </row>
    <row r="812" customFormat="false" ht="15" hidden="false" customHeight="false" outlineLevel="0" collapsed="false">
      <c r="A812" s="2" t="s">
        <v>18</v>
      </c>
      <c r="B812" s="2" t="s">
        <v>1814</v>
      </c>
      <c r="C812" s="2" t="s">
        <v>2587</v>
      </c>
      <c r="D812" s="2" t="s">
        <v>1816</v>
      </c>
      <c r="E812" s="4" t="n">
        <v>39.71</v>
      </c>
      <c r="F812" s="4" t="n">
        <v>3.62</v>
      </c>
      <c r="G812" s="4" t="n">
        <v>36.09</v>
      </c>
      <c r="H812" s="2" t="s">
        <v>1385</v>
      </c>
    </row>
    <row r="813" customFormat="false" ht="15" hidden="false" customHeight="false" outlineLevel="0" collapsed="false">
      <c r="A813" s="2" t="s">
        <v>18</v>
      </c>
      <c r="B813" s="2" t="s">
        <v>1643</v>
      </c>
      <c r="C813" s="2" t="s">
        <v>2588</v>
      </c>
      <c r="D813" s="2" t="s">
        <v>1645</v>
      </c>
      <c r="E813" s="4" t="n">
        <v>133.1</v>
      </c>
      <c r="F813" s="4" t="n">
        <v>12.11</v>
      </c>
      <c r="G813" s="4" t="n">
        <v>120.99</v>
      </c>
      <c r="H813" s="2" t="s">
        <v>1385</v>
      </c>
    </row>
    <row r="814" customFormat="false" ht="15" hidden="false" customHeight="false" outlineLevel="0" collapsed="false">
      <c r="A814" s="2" t="s">
        <v>18</v>
      </c>
      <c r="B814" s="2" t="s">
        <v>1526</v>
      </c>
      <c r="C814" s="2" t="s">
        <v>2589</v>
      </c>
      <c r="D814" s="2" t="s">
        <v>1528</v>
      </c>
      <c r="E814" s="4" t="n">
        <v>43.6</v>
      </c>
      <c r="F814" s="4" t="n">
        <v>3.98</v>
      </c>
      <c r="G814" s="4" t="n">
        <v>39.62</v>
      </c>
      <c r="H814" s="2" t="s">
        <v>1385</v>
      </c>
    </row>
    <row r="815" customFormat="false" ht="15" hidden="false" customHeight="false" outlineLevel="0" collapsed="false">
      <c r="A815" s="2" t="s">
        <v>18</v>
      </c>
      <c r="B815" s="2" t="s">
        <v>1874</v>
      </c>
      <c r="C815" s="2" t="s">
        <v>2590</v>
      </c>
      <c r="D815" s="2" t="s">
        <v>1876</v>
      </c>
      <c r="E815" s="4" t="n">
        <v>37.85</v>
      </c>
      <c r="F815" s="4" t="n">
        <v>3.45</v>
      </c>
      <c r="G815" s="4" t="n">
        <v>34.4</v>
      </c>
      <c r="H815" s="2" t="s">
        <v>1385</v>
      </c>
    </row>
    <row r="816" customFormat="false" ht="15" hidden="false" customHeight="false" outlineLevel="0" collapsed="false">
      <c r="A816" s="2" t="s">
        <v>18</v>
      </c>
      <c r="B816" s="2" t="s">
        <v>1984</v>
      </c>
      <c r="C816" s="2" t="s">
        <v>2591</v>
      </c>
      <c r="D816" s="2" t="s">
        <v>1986</v>
      </c>
      <c r="E816" s="4" t="n">
        <v>0</v>
      </c>
      <c r="F816" s="4" t="n">
        <v>0</v>
      </c>
      <c r="G816" s="4" t="n">
        <v>0</v>
      </c>
      <c r="H816" s="2" t="s">
        <v>1385</v>
      </c>
    </row>
    <row r="817" customFormat="false" ht="15" hidden="false" customHeight="false" outlineLevel="0" collapsed="false">
      <c r="A817" s="2" t="s">
        <v>18</v>
      </c>
      <c r="B817" s="2" t="s">
        <v>1934</v>
      </c>
      <c r="C817" s="2" t="s">
        <v>2592</v>
      </c>
      <c r="D817" s="2" t="s">
        <v>1936</v>
      </c>
      <c r="E817" s="4" t="n">
        <v>0</v>
      </c>
      <c r="F817" s="4" t="n">
        <v>0</v>
      </c>
      <c r="G817" s="4" t="n">
        <v>0</v>
      </c>
      <c r="H817" s="2" t="s">
        <v>1385</v>
      </c>
    </row>
    <row r="818" customFormat="false" ht="15" hidden="false" customHeight="false" outlineLevel="0" collapsed="false">
      <c r="A818" s="2" t="s">
        <v>18</v>
      </c>
      <c r="B818" s="2" t="s">
        <v>277</v>
      </c>
      <c r="C818" s="2" t="s">
        <v>2593</v>
      </c>
      <c r="D818" s="2" t="s">
        <v>279</v>
      </c>
      <c r="E818" s="4" t="n">
        <v>0</v>
      </c>
      <c r="F818" s="4" t="n">
        <v>0</v>
      </c>
      <c r="G818" s="4" t="n">
        <v>0</v>
      </c>
      <c r="H818" s="2" t="s">
        <v>1385</v>
      </c>
    </row>
    <row r="819" customFormat="false" ht="15" hidden="false" customHeight="false" outlineLevel="0" collapsed="false">
      <c r="A819" s="2" t="s">
        <v>18</v>
      </c>
      <c r="B819" s="2" t="s">
        <v>1964</v>
      </c>
      <c r="C819" s="2" t="s">
        <v>2594</v>
      </c>
      <c r="D819" s="2" t="s">
        <v>1966</v>
      </c>
      <c r="E819" s="4" t="n">
        <v>0</v>
      </c>
      <c r="F819" s="4" t="n">
        <v>0</v>
      </c>
      <c r="G819" s="4" t="n">
        <v>0</v>
      </c>
      <c r="H819" s="2" t="s">
        <v>1385</v>
      </c>
    </row>
    <row r="820" customFormat="false" ht="15" hidden="false" customHeight="false" outlineLevel="0" collapsed="false">
      <c r="A820" s="2" t="s">
        <v>18</v>
      </c>
      <c r="B820" s="2" t="s">
        <v>1987</v>
      </c>
      <c r="C820" s="2" t="s">
        <v>2595</v>
      </c>
      <c r="D820" s="2" t="s">
        <v>1989</v>
      </c>
      <c r="E820" s="4" t="n">
        <v>0</v>
      </c>
      <c r="F820" s="4" t="n">
        <v>0</v>
      </c>
      <c r="G820" s="4" t="n">
        <v>0</v>
      </c>
      <c r="H820" s="2" t="s">
        <v>1385</v>
      </c>
    </row>
    <row r="821" customFormat="false" ht="15" hidden="false" customHeight="false" outlineLevel="0" collapsed="false">
      <c r="A821" s="2" t="s">
        <v>18</v>
      </c>
      <c r="B821" s="2" t="s">
        <v>1955</v>
      </c>
      <c r="C821" s="2" t="s">
        <v>2596</v>
      </c>
      <c r="D821" s="2" t="s">
        <v>1957</v>
      </c>
      <c r="E821" s="4" t="n">
        <v>0</v>
      </c>
      <c r="F821" s="4" t="n">
        <v>0</v>
      </c>
      <c r="G821" s="4" t="n">
        <v>0</v>
      </c>
      <c r="H821" s="2" t="s">
        <v>1385</v>
      </c>
    </row>
    <row r="822" customFormat="false" ht="15" hidden="false" customHeight="false" outlineLevel="0" collapsed="false">
      <c r="A822" s="2" t="s">
        <v>18</v>
      </c>
      <c r="B822" s="2" t="s">
        <v>1928</v>
      </c>
      <c r="C822" s="2" t="s">
        <v>2597</v>
      </c>
      <c r="D822" s="2" t="s">
        <v>1930</v>
      </c>
      <c r="E822" s="4" t="n">
        <v>0</v>
      </c>
      <c r="F822" s="4" t="n">
        <v>0</v>
      </c>
      <c r="G822" s="4" t="n">
        <v>0</v>
      </c>
      <c r="H822" s="2" t="s">
        <v>1385</v>
      </c>
    </row>
    <row r="823" customFormat="false" ht="15" hidden="false" customHeight="false" outlineLevel="0" collapsed="false">
      <c r="A823" s="2" t="s">
        <v>18</v>
      </c>
      <c r="B823" s="2" t="s">
        <v>2023</v>
      </c>
      <c r="C823" s="2" t="s">
        <v>2598</v>
      </c>
      <c r="D823" s="2" t="s">
        <v>2025</v>
      </c>
      <c r="E823" s="4" t="n">
        <v>0</v>
      </c>
      <c r="F823" s="4" t="n">
        <v>0</v>
      </c>
      <c r="G823" s="4" t="n">
        <v>0</v>
      </c>
      <c r="H823" s="2" t="s">
        <v>1385</v>
      </c>
    </row>
    <row r="824" customFormat="false" ht="15" hidden="false" customHeight="false" outlineLevel="0" collapsed="false">
      <c r="A824" s="2" t="s">
        <v>18</v>
      </c>
      <c r="B824" s="2" t="s">
        <v>1694</v>
      </c>
      <c r="C824" s="2" t="s">
        <v>2599</v>
      </c>
      <c r="D824" s="2" t="s">
        <v>1696</v>
      </c>
      <c r="E824" s="4" t="n">
        <v>0</v>
      </c>
      <c r="F824" s="4" t="n">
        <v>0</v>
      </c>
      <c r="G824" s="4" t="n">
        <v>0</v>
      </c>
      <c r="H824" s="2" t="s">
        <v>1385</v>
      </c>
    </row>
    <row r="825" customFormat="false" ht="15" hidden="false" customHeight="false" outlineLevel="0" collapsed="false">
      <c r="A825" s="2" t="s">
        <v>18</v>
      </c>
      <c r="B825" s="2" t="s">
        <v>500</v>
      </c>
      <c r="C825" s="2" t="s">
        <v>2600</v>
      </c>
      <c r="D825" s="2" t="s">
        <v>502</v>
      </c>
      <c r="E825" s="4" t="n">
        <v>0</v>
      </c>
      <c r="F825" s="4" t="n">
        <v>0</v>
      </c>
      <c r="G825" s="4" t="n">
        <v>0</v>
      </c>
      <c r="H825" s="2" t="s">
        <v>1385</v>
      </c>
    </row>
    <row r="826" customFormat="false" ht="15" hidden="false" customHeight="false" outlineLevel="0" collapsed="false">
      <c r="A826" s="2" t="s">
        <v>18</v>
      </c>
      <c r="B826" s="2" t="s">
        <v>264</v>
      </c>
      <c r="C826" s="2" t="s">
        <v>2601</v>
      </c>
      <c r="D826" s="2" t="s">
        <v>266</v>
      </c>
      <c r="E826" s="4" t="n">
        <v>0</v>
      </c>
      <c r="F826" s="4" t="n">
        <v>0</v>
      </c>
      <c r="G826" s="4" t="n">
        <v>0</v>
      </c>
      <c r="H826" s="2" t="s">
        <v>1385</v>
      </c>
    </row>
    <row r="827" customFormat="false" ht="15" hidden="false" customHeight="false" outlineLevel="0" collapsed="false">
      <c r="A827" s="2" t="s">
        <v>18</v>
      </c>
      <c r="B827" s="2" t="s">
        <v>212</v>
      </c>
      <c r="C827" s="2" t="s">
        <v>2602</v>
      </c>
      <c r="D827" s="2" t="s">
        <v>214</v>
      </c>
      <c r="E827" s="4" t="n">
        <v>0</v>
      </c>
      <c r="F827" s="4" t="n">
        <v>0</v>
      </c>
      <c r="G827" s="4" t="n">
        <v>0</v>
      </c>
      <c r="H827" s="2" t="s">
        <v>1385</v>
      </c>
    </row>
    <row r="828" customFormat="false" ht="15" hidden="false" customHeight="false" outlineLevel="0" collapsed="false">
      <c r="A828" s="2" t="s">
        <v>18</v>
      </c>
      <c r="B828" s="2" t="s">
        <v>220</v>
      </c>
      <c r="C828" s="2" t="s">
        <v>2603</v>
      </c>
      <c r="D828" s="2" t="s">
        <v>222</v>
      </c>
      <c r="E828" s="4" t="n">
        <v>0</v>
      </c>
      <c r="F828" s="4" t="n">
        <v>0</v>
      </c>
      <c r="G828" s="4" t="n">
        <v>0</v>
      </c>
      <c r="H828" s="2" t="s">
        <v>1385</v>
      </c>
    </row>
    <row r="829" customFormat="false" ht="15" hidden="false" customHeight="false" outlineLevel="0" collapsed="false">
      <c r="A829" s="2" t="s">
        <v>18</v>
      </c>
      <c r="B829" s="2" t="s">
        <v>1937</v>
      </c>
      <c r="C829" s="2" t="s">
        <v>2604</v>
      </c>
      <c r="D829" s="2" t="s">
        <v>1939</v>
      </c>
      <c r="E829" s="4" t="n">
        <v>1335.72</v>
      </c>
      <c r="F829" s="4" t="n">
        <v>122.84</v>
      </c>
      <c r="G829" s="4" t="n">
        <v>1212.88</v>
      </c>
      <c r="H829" s="2" t="s">
        <v>1385</v>
      </c>
    </row>
    <row r="830" customFormat="false" ht="15" hidden="false" customHeight="false" outlineLevel="0" collapsed="false">
      <c r="A830" s="2" t="s">
        <v>18</v>
      </c>
      <c r="B830" s="2" t="s">
        <v>2173</v>
      </c>
      <c r="C830" s="2" t="s">
        <v>2605</v>
      </c>
      <c r="D830" s="2" t="s">
        <v>2175</v>
      </c>
      <c r="E830" s="4" t="n">
        <v>705.04</v>
      </c>
      <c r="F830" s="4" t="n">
        <v>64.1</v>
      </c>
      <c r="G830" s="4" t="n">
        <v>640.94</v>
      </c>
      <c r="H830" s="2" t="s">
        <v>1385</v>
      </c>
    </row>
    <row r="831" customFormat="false" ht="15" hidden="false" customHeight="false" outlineLevel="0" collapsed="false">
      <c r="A831" s="2" t="s">
        <v>18</v>
      </c>
      <c r="B831" s="2" t="s">
        <v>130</v>
      </c>
      <c r="C831" s="2" t="s">
        <v>131</v>
      </c>
      <c r="D831" s="2" t="s">
        <v>132</v>
      </c>
      <c r="E831" s="4" t="n">
        <v>442.98</v>
      </c>
      <c r="F831" s="4" t="n">
        <v>40.28</v>
      </c>
      <c r="G831" s="4" t="n">
        <v>402.7</v>
      </c>
      <c r="H831" s="2" t="s">
        <v>1381</v>
      </c>
    </row>
    <row r="832" customFormat="false" ht="15" hidden="false" customHeight="false" outlineLevel="0" collapsed="false">
      <c r="A832" s="2" t="s">
        <v>18</v>
      </c>
      <c r="B832" s="2" t="s">
        <v>2050</v>
      </c>
      <c r="C832" s="2" t="s">
        <v>2606</v>
      </c>
      <c r="D832" s="2" t="s">
        <v>2052</v>
      </c>
      <c r="E832" s="4" t="n">
        <v>0</v>
      </c>
      <c r="F832" s="4" t="n">
        <v>0</v>
      </c>
      <c r="G832" s="4" t="n">
        <v>0</v>
      </c>
      <c r="H832" s="2" t="s">
        <v>1385</v>
      </c>
    </row>
    <row r="833" customFormat="false" ht="15" hidden="false" customHeight="false" outlineLevel="0" collapsed="false">
      <c r="A833" s="2" t="s">
        <v>18</v>
      </c>
      <c r="B833" s="2" t="s">
        <v>270</v>
      </c>
      <c r="C833" s="2" t="s">
        <v>271</v>
      </c>
      <c r="D833" s="2" t="s">
        <v>272</v>
      </c>
      <c r="E833" s="4" t="n">
        <v>111.58</v>
      </c>
      <c r="F833" s="4" t="n">
        <v>10.15</v>
      </c>
      <c r="G833" s="4" t="n">
        <v>101.43</v>
      </c>
      <c r="H833" s="2" t="s">
        <v>1381</v>
      </c>
    </row>
    <row r="834" customFormat="false" ht="15" hidden="false" customHeight="false" outlineLevel="0" collapsed="false">
      <c r="A834" s="2" t="s">
        <v>18</v>
      </c>
      <c r="B834" s="2" t="s">
        <v>167</v>
      </c>
      <c r="C834" s="2" t="s">
        <v>168</v>
      </c>
      <c r="D834" s="2" t="s">
        <v>169</v>
      </c>
      <c r="E834" s="4" t="n">
        <v>266.55</v>
      </c>
      <c r="F834" s="4" t="n">
        <v>24.24</v>
      </c>
      <c r="G834" s="4" t="n">
        <v>242.31</v>
      </c>
      <c r="H834" s="2" t="s">
        <v>1381</v>
      </c>
    </row>
    <row r="835" customFormat="false" ht="15" hidden="false" customHeight="false" outlineLevel="0" collapsed="false">
      <c r="A835" s="2" t="s">
        <v>18</v>
      </c>
      <c r="B835" s="2" t="s">
        <v>2026</v>
      </c>
      <c r="C835" s="2" t="s">
        <v>2607</v>
      </c>
      <c r="D835" s="2" t="s">
        <v>2028</v>
      </c>
      <c r="E835" s="4" t="n">
        <v>141.26</v>
      </c>
      <c r="F835" s="4" t="n">
        <v>12.85</v>
      </c>
      <c r="G835" s="4" t="n">
        <v>128.41</v>
      </c>
      <c r="H835" s="2" t="s">
        <v>1385</v>
      </c>
    </row>
    <row r="836" customFormat="false" ht="15" hidden="false" customHeight="false" outlineLevel="0" collapsed="false">
      <c r="A836" s="2" t="s">
        <v>18</v>
      </c>
      <c r="B836" s="2" t="s">
        <v>2037</v>
      </c>
      <c r="C836" s="2" t="s">
        <v>2608</v>
      </c>
      <c r="D836" s="2" t="s">
        <v>2039</v>
      </c>
      <c r="E836" s="4" t="n">
        <v>125.98</v>
      </c>
      <c r="F836" s="4" t="n">
        <v>11.46</v>
      </c>
      <c r="G836" s="4" t="n">
        <v>114.52</v>
      </c>
      <c r="H836" s="2" t="s">
        <v>1385</v>
      </c>
    </row>
    <row r="837" customFormat="false" ht="15" hidden="false" customHeight="false" outlineLevel="0" collapsed="false">
      <c r="A837" s="2" t="s">
        <v>18</v>
      </c>
      <c r="B837" s="2" t="s">
        <v>2170</v>
      </c>
      <c r="C837" s="2" t="s">
        <v>2609</v>
      </c>
      <c r="D837" s="2" t="s">
        <v>2172</v>
      </c>
      <c r="E837" s="4" t="n">
        <v>191.69</v>
      </c>
      <c r="F837" s="4" t="n">
        <v>17.43</v>
      </c>
      <c r="G837" s="4" t="n">
        <v>174.26</v>
      </c>
      <c r="H837" s="2" t="s">
        <v>1385</v>
      </c>
    </row>
    <row r="838" customFormat="false" ht="15" hidden="false" customHeight="false" outlineLevel="0" collapsed="false">
      <c r="A838" s="2" t="s">
        <v>18</v>
      </c>
      <c r="B838" s="2" t="s">
        <v>233</v>
      </c>
      <c r="C838" s="2" t="s">
        <v>257</v>
      </c>
      <c r="D838" s="2" t="s">
        <v>235</v>
      </c>
      <c r="E838" s="4" t="n">
        <v>152.34</v>
      </c>
      <c r="F838" s="4" t="n">
        <v>13.84</v>
      </c>
      <c r="G838" s="4" t="n">
        <v>138.5</v>
      </c>
      <c r="H838" s="2" t="s">
        <v>1381</v>
      </c>
    </row>
    <row r="839" customFormat="false" ht="15" hidden="false" customHeight="false" outlineLevel="0" collapsed="false">
      <c r="A839" s="2" t="s">
        <v>18</v>
      </c>
      <c r="B839" s="2" t="s">
        <v>2176</v>
      </c>
      <c r="C839" s="2" t="s">
        <v>2610</v>
      </c>
      <c r="D839" s="2" t="s">
        <v>2178</v>
      </c>
      <c r="E839" s="4" t="n">
        <v>113.19</v>
      </c>
      <c r="F839" s="4" t="n">
        <v>10.29</v>
      </c>
      <c r="G839" s="4" t="n">
        <v>102.9</v>
      </c>
      <c r="H839" s="2" t="s">
        <v>1385</v>
      </c>
    </row>
    <row r="840" customFormat="false" ht="15" hidden="false" customHeight="false" outlineLevel="0" collapsed="false">
      <c r="A840" s="2" t="s">
        <v>18</v>
      </c>
      <c r="B840" s="2" t="s">
        <v>2208</v>
      </c>
      <c r="C840" s="2" t="s">
        <v>2611</v>
      </c>
      <c r="D840" s="2" t="s">
        <v>2210</v>
      </c>
      <c r="E840" s="4" t="n">
        <v>240.01</v>
      </c>
      <c r="F840" s="4" t="n">
        <v>21.83</v>
      </c>
      <c r="G840" s="4" t="n">
        <v>218.18</v>
      </c>
      <c r="H840" s="2" t="s">
        <v>1385</v>
      </c>
    </row>
    <row r="841" customFormat="false" ht="15" hidden="false" customHeight="false" outlineLevel="0" collapsed="false">
      <c r="A841" s="2" t="s">
        <v>18</v>
      </c>
      <c r="B841" s="2" t="s">
        <v>316</v>
      </c>
      <c r="C841" s="2" t="s">
        <v>317</v>
      </c>
      <c r="D841" s="2" t="s">
        <v>318</v>
      </c>
      <c r="E841" s="4" t="n">
        <v>113.2</v>
      </c>
      <c r="F841" s="4" t="n">
        <v>10.3</v>
      </c>
      <c r="G841" s="4" t="n">
        <v>102.9</v>
      </c>
      <c r="H841" s="2" t="s">
        <v>1381</v>
      </c>
    </row>
    <row r="842" customFormat="false" ht="15" hidden="false" customHeight="false" outlineLevel="0" collapsed="false">
      <c r="A842" s="2" t="s">
        <v>18</v>
      </c>
      <c r="B842" s="2" t="s">
        <v>2062</v>
      </c>
      <c r="C842" s="2" t="s">
        <v>2612</v>
      </c>
      <c r="D842" s="2" t="s">
        <v>2064</v>
      </c>
      <c r="E842" s="4" t="n">
        <v>331.29</v>
      </c>
      <c r="F842" s="4" t="n">
        <v>30.12</v>
      </c>
      <c r="G842" s="4" t="n">
        <v>301.17</v>
      </c>
      <c r="H842" s="2" t="s">
        <v>1385</v>
      </c>
    </row>
    <row r="843" customFormat="false" ht="15" hidden="false" customHeight="false" outlineLevel="0" collapsed="false">
      <c r="A843" s="2" t="s">
        <v>18</v>
      </c>
      <c r="B843" s="2" t="s">
        <v>2119</v>
      </c>
      <c r="C843" s="2" t="s">
        <v>2613</v>
      </c>
      <c r="D843" s="2" t="s">
        <v>2121</v>
      </c>
      <c r="E843" s="4" t="n">
        <v>1277.85</v>
      </c>
      <c r="F843" s="4" t="n">
        <v>116.17</v>
      </c>
      <c r="G843" s="4" t="n">
        <v>1161.68</v>
      </c>
      <c r="H843" s="2" t="s">
        <v>1385</v>
      </c>
    </row>
    <row r="844" customFormat="false" ht="15" hidden="false" customHeight="false" outlineLevel="0" collapsed="false">
      <c r="A844" s="2" t="s">
        <v>18</v>
      </c>
      <c r="B844" s="2" t="s">
        <v>2056</v>
      </c>
      <c r="C844" s="2" t="s">
        <v>2614</v>
      </c>
      <c r="D844" s="2" t="s">
        <v>2058</v>
      </c>
      <c r="E844" s="4" t="n">
        <v>293.17</v>
      </c>
      <c r="F844" s="4" t="n">
        <v>26.66</v>
      </c>
      <c r="G844" s="4" t="n">
        <v>266.51</v>
      </c>
      <c r="H844" s="2" t="s">
        <v>1385</v>
      </c>
    </row>
    <row r="845" customFormat="false" ht="15" hidden="false" customHeight="false" outlineLevel="0" collapsed="false">
      <c r="A845" s="2" t="s">
        <v>18</v>
      </c>
      <c r="B845" s="2" t="s">
        <v>2079</v>
      </c>
      <c r="C845" s="2" t="s">
        <v>2615</v>
      </c>
      <c r="D845" s="2" t="s">
        <v>2081</v>
      </c>
      <c r="E845" s="4" t="n">
        <v>455.18</v>
      </c>
      <c r="F845" s="4" t="n">
        <v>41.38</v>
      </c>
      <c r="G845" s="4" t="n">
        <v>413.8</v>
      </c>
      <c r="H845" s="2" t="s">
        <v>1385</v>
      </c>
    </row>
    <row r="846" customFormat="false" ht="15" hidden="false" customHeight="false" outlineLevel="0" collapsed="false">
      <c r="A846" s="2" t="s">
        <v>18</v>
      </c>
      <c r="B846" s="2" t="s">
        <v>2219</v>
      </c>
      <c r="C846" s="2" t="s">
        <v>2616</v>
      </c>
      <c r="D846" s="2" t="s">
        <v>2221</v>
      </c>
      <c r="E846" s="4" t="n">
        <v>166.11</v>
      </c>
      <c r="F846" s="4" t="n">
        <v>15.12</v>
      </c>
      <c r="G846" s="4" t="n">
        <v>150.99</v>
      </c>
      <c r="H846" s="2" t="s">
        <v>1385</v>
      </c>
    </row>
    <row r="847" customFormat="false" ht="15" hidden="false" customHeight="false" outlineLevel="0" collapsed="false">
      <c r="A847" s="2" t="s">
        <v>18</v>
      </c>
      <c r="B847" s="2" t="s">
        <v>546</v>
      </c>
      <c r="C847" s="2" t="s">
        <v>547</v>
      </c>
      <c r="D847" s="2" t="s">
        <v>548</v>
      </c>
      <c r="E847" s="4" t="n">
        <v>177.88</v>
      </c>
      <c r="F847" s="4" t="n">
        <v>16.18</v>
      </c>
      <c r="G847" s="4" t="n">
        <v>161.7</v>
      </c>
      <c r="H847" s="2" t="s">
        <v>1381</v>
      </c>
    </row>
    <row r="848" customFormat="false" ht="15" hidden="false" customHeight="false" outlineLevel="0" collapsed="false">
      <c r="A848" s="2" t="s">
        <v>18</v>
      </c>
      <c r="B848" s="2" t="s">
        <v>2040</v>
      </c>
      <c r="C848" s="2" t="s">
        <v>2617</v>
      </c>
      <c r="D848" s="2" t="s">
        <v>2042</v>
      </c>
      <c r="E848" s="4" t="n">
        <v>244.76</v>
      </c>
      <c r="F848" s="4" t="n">
        <v>22.26</v>
      </c>
      <c r="G848" s="4" t="n">
        <v>222.5</v>
      </c>
      <c r="H848" s="2" t="s">
        <v>1385</v>
      </c>
    </row>
    <row r="849" customFormat="false" ht="15" hidden="false" customHeight="false" outlineLevel="0" collapsed="false">
      <c r="A849" s="2" t="s">
        <v>18</v>
      </c>
      <c r="B849" s="2" t="s">
        <v>2131</v>
      </c>
      <c r="C849" s="2" t="s">
        <v>2618</v>
      </c>
      <c r="D849" s="2" t="s">
        <v>2133</v>
      </c>
      <c r="E849" s="4" t="n">
        <v>390.6</v>
      </c>
      <c r="F849" s="4" t="n">
        <v>35.52</v>
      </c>
      <c r="G849" s="4" t="n">
        <v>355.08</v>
      </c>
      <c r="H849" s="2" t="s">
        <v>1385</v>
      </c>
    </row>
    <row r="850" customFormat="false" ht="15" hidden="false" customHeight="false" outlineLevel="0" collapsed="false">
      <c r="A850" s="2" t="s">
        <v>18</v>
      </c>
      <c r="B850" s="2" t="s">
        <v>2191</v>
      </c>
      <c r="C850" s="2" t="s">
        <v>2619</v>
      </c>
      <c r="D850" s="2" t="s">
        <v>2193</v>
      </c>
      <c r="E850" s="4" t="n">
        <v>679.91</v>
      </c>
      <c r="F850" s="4" t="n">
        <v>61.81</v>
      </c>
      <c r="G850" s="4" t="n">
        <v>618.1</v>
      </c>
      <c r="H850" s="2" t="s">
        <v>1385</v>
      </c>
    </row>
    <row r="851" customFormat="false" ht="15" hidden="false" customHeight="false" outlineLevel="0" collapsed="false">
      <c r="A851" s="2" t="s">
        <v>18</v>
      </c>
      <c r="B851" s="2" t="s">
        <v>2134</v>
      </c>
      <c r="C851" s="2" t="s">
        <v>2620</v>
      </c>
      <c r="D851" s="2" t="s">
        <v>2136</v>
      </c>
      <c r="E851" s="4" t="n">
        <v>112.04</v>
      </c>
      <c r="F851" s="4" t="n">
        <v>10.19</v>
      </c>
      <c r="G851" s="4" t="n">
        <v>101.85</v>
      </c>
      <c r="H851" s="2" t="s">
        <v>1385</v>
      </c>
    </row>
    <row r="852" customFormat="false" ht="15" hidden="false" customHeight="false" outlineLevel="0" collapsed="false">
      <c r="A852" s="2" t="s">
        <v>18</v>
      </c>
      <c r="B852" s="2" t="s">
        <v>2137</v>
      </c>
      <c r="C852" s="2" t="s">
        <v>2621</v>
      </c>
      <c r="D852" s="2" t="s">
        <v>2139</v>
      </c>
      <c r="E852" s="4" t="n">
        <v>139.94</v>
      </c>
      <c r="F852" s="4" t="n">
        <v>12.72</v>
      </c>
      <c r="G852" s="4" t="n">
        <v>127.22</v>
      </c>
      <c r="H852" s="2" t="s">
        <v>1385</v>
      </c>
    </row>
    <row r="853" customFormat="false" ht="15" hidden="false" customHeight="false" outlineLevel="0" collapsed="false">
      <c r="A853" s="2" t="s">
        <v>18</v>
      </c>
      <c r="B853" s="2" t="s">
        <v>2099</v>
      </c>
      <c r="C853" s="2" t="s">
        <v>2622</v>
      </c>
      <c r="D853" s="2" t="s">
        <v>2101</v>
      </c>
      <c r="E853" s="4" t="n">
        <v>458.6</v>
      </c>
      <c r="F853" s="4" t="n">
        <v>41.7</v>
      </c>
      <c r="G853" s="4" t="n">
        <v>416.9</v>
      </c>
      <c r="H853" s="2" t="s">
        <v>1385</v>
      </c>
    </row>
    <row r="854" customFormat="false" ht="15" hidden="false" customHeight="false" outlineLevel="0" collapsed="false">
      <c r="A854" s="2" t="s">
        <v>18</v>
      </c>
      <c r="B854" s="2" t="s">
        <v>2116</v>
      </c>
      <c r="C854" s="2" t="s">
        <v>2623</v>
      </c>
      <c r="D854" s="2" t="s">
        <v>2118</v>
      </c>
      <c r="E854" s="4" t="n">
        <v>1202.89</v>
      </c>
      <c r="F854" s="4" t="n">
        <v>109.37</v>
      </c>
      <c r="G854" s="4" t="n">
        <v>1093.52</v>
      </c>
      <c r="H854" s="2" t="s">
        <v>1385</v>
      </c>
    </row>
    <row r="855" customFormat="false" ht="15" hidden="false" customHeight="false" outlineLevel="0" collapsed="false">
      <c r="A855" s="2" t="s">
        <v>18</v>
      </c>
      <c r="B855" s="2" t="s">
        <v>429</v>
      </c>
      <c r="C855" s="2" t="s">
        <v>430</v>
      </c>
      <c r="D855" s="2" t="s">
        <v>431</v>
      </c>
      <c r="E855" s="4" t="n">
        <v>219.4</v>
      </c>
      <c r="F855" s="4" t="n">
        <v>19.95</v>
      </c>
      <c r="G855" s="4" t="n">
        <v>199.45</v>
      </c>
      <c r="H855" s="2" t="s">
        <v>1381</v>
      </c>
    </row>
    <row r="856" customFormat="false" ht="15" hidden="false" customHeight="false" outlineLevel="0" collapsed="false">
      <c r="A856" s="2" t="s">
        <v>18</v>
      </c>
      <c r="B856" s="2" t="s">
        <v>2163</v>
      </c>
      <c r="C856" s="2" t="s">
        <v>2624</v>
      </c>
      <c r="D856" s="2" t="s">
        <v>2165</v>
      </c>
      <c r="E856" s="4" t="n">
        <v>1017.79</v>
      </c>
      <c r="F856" s="4" t="n">
        <v>92.53</v>
      </c>
      <c r="G856" s="4" t="n">
        <v>925.26</v>
      </c>
      <c r="H856" s="2" t="s">
        <v>1385</v>
      </c>
    </row>
    <row r="857" customFormat="false" ht="15" hidden="false" customHeight="false" outlineLevel="0" collapsed="false">
      <c r="A857" s="2" t="s">
        <v>18</v>
      </c>
      <c r="B857" s="2" t="s">
        <v>330</v>
      </c>
      <c r="C857" s="2" t="s">
        <v>331</v>
      </c>
      <c r="D857" s="2" t="s">
        <v>332</v>
      </c>
      <c r="E857" s="4" t="n">
        <v>128.74</v>
      </c>
      <c r="F857" s="4" t="n">
        <v>11.71</v>
      </c>
      <c r="G857" s="4" t="n">
        <v>117.03</v>
      </c>
      <c r="H857" s="2" t="s">
        <v>1381</v>
      </c>
    </row>
    <row r="858" customFormat="false" ht="15" hidden="false" customHeight="false" outlineLevel="0" collapsed="false">
      <c r="A858" s="2" t="s">
        <v>18</v>
      </c>
      <c r="B858" s="2" t="s">
        <v>311</v>
      </c>
      <c r="C858" s="2" t="s">
        <v>312</v>
      </c>
      <c r="D858" s="2" t="s">
        <v>313</v>
      </c>
      <c r="E858" s="4" t="n">
        <v>113.2</v>
      </c>
      <c r="F858" s="4" t="n">
        <v>10.3</v>
      </c>
      <c r="G858" s="4" t="n">
        <v>102.9</v>
      </c>
      <c r="H858" s="2" t="s">
        <v>1381</v>
      </c>
    </row>
    <row r="859" customFormat="false" ht="15" hidden="false" customHeight="false" outlineLevel="0" collapsed="false">
      <c r="A859" s="2" t="s">
        <v>18</v>
      </c>
      <c r="B859" s="2" t="s">
        <v>123</v>
      </c>
      <c r="C859" s="2" t="s">
        <v>124</v>
      </c>
      <c r="D859" s="2" t="s">
        <v>125</v>
      </c>
      <c r="E859" s="4" t="n">
        <v>476.67</v>
      </c>
      <c r="F859" s="4" t="n">
        <v>43.35</v>
      </c>
      <c r="G859" s="4" t="n">
        <v>433.32</v>
      </c>
      <c r="H859" s="2" t="s">
        <v>1381</v>
      </c>
    </row>
    <row r="860" customFormat="false" ht="15" hidden="false" customHeight="false" outlineLevel="0" collapsed="false">
      <c r="A860" s="2" t="s">
        <v>18</v>
      </c>
      <c r="B860" s="2" t="s">
        <v>412</v>
      </c>
      <c r="C860" s="2" t="s">
        <v>413</v>
      </c>
      <c r="D860" s="2" t="s">
        <v>414</v>
      </c>
      <c r="E860" s="4" t="n">
        <v>161.19</v>
      </c>
      <c r="F860" s="4" t="n">
        <v>14.66</v>
      </c>
      <c r="G860" s="4" t="n">
        <v>146.53</v>
      </c>
      <c r="H860" s="2" t="s">
        <v>1381</v>
      </c>
    </row>
    <row r="861" customFormat="false" ht="15" hidden="false" customHeight="false" outlineLevel="0" collapsed="false">
      <c r="A861" s="2" t="s">
        <v>18</v>
      </c>
      <c r="B861" s="2" t="s">
        <v>2011</v>
      </c>
      <c r="C861" s="2" t="s">
        <v>2625</v>
      </c>
      <c r="D861" s="2" t="s">
        <v>2013</v>
      </c>
      <c r="E861" s="4" t="n">
        <v>58.27</v>
      </c>
      <c r="F861" s="4" t="n">
        <v>8.45</v>
      </c>
      <c r="G861" s="4" t="n">
        <v>49.82</v>
      </c>
      <c r="H861" s="2" t="s">
        <v>1385</v>
      </c>
    </row>
    <row r="862" customFormat="false" ht="15" hidden="false" customHeight="false" outlineLevel="0" collapsed="false">
      <c r="A862" s="2" t="s">
        <v>18</v>
      </c>
      <c r="B862" s="2" t="s">
        <v>2017</v>
      </c>
      <c r="C862" s="2" t="s">
        <v>2626</v>
      </c>
      <c r="D862" s="2" t="s">
        <v>2019</v>
      </c>
      <c r="E862" s="4" t="n">
        <v>539.73</v>
      </c>
      <c r="F862" s="4" t="n">
        <v>49.07</v>
      </c>
      <c r="G862" s="4" t="n">
        <v>490.66</v>
      </c>
      <c r="H862" s="2" t="s">
        <v>1385</v>
      </c>
    </row>
    <row r="863" customFormat="false" ht="15" hidden="false" customHeight="false" outlineLevel="0" collapsed="false">
      <c r="A863" s="2" t="s">
        <v>18</v>
      </c>
      <c r="B863" s="2" t="s">
        <v>2166</v>
      </c>
      <c r="C863" s="2" t="s">
        <v>2627</v>
      </c>
      <c r="D863" s="2" t="s">
        <v>2168</v>
      </c>
      <c r="E863" s="4" t="n">
        <v>4946.73</v>
      </c>
      <c r="F863" s="4" t="n">
        <v>449.7</v>
      </c>
      <c r="G863" s="4" t="n">
        <v>4497.03</v>
      </c>
      <c r="H863" s="2" t="s">
        <v>1385</v>
      </c>
    </row>
    <row r="864" customFormat="false" ht="15" hidden="false" customHeight="false" outlineLevel="0" collapsed="false">
      <c r="A864" s="2" t="s">
        <v>18</v>
      </c>
      <c r="B864" s="2" t="s">
        <v>242</v>
      </c>
      <c r="C864" s="2" t="s">
        <v>255</v>
      </c>
      <c r="D864" s="2" t="s">
        <v>244</v>
      </c>
      <c r="E864" s="4" t="n">
        <v>105.34</v>
      </c>
      <c r="F864" s="4" t="n">
        <v>9.58</v>
      </c>
      <c r="G864" s="4" t="n">
        <v>95.76</v>
      </c>
      <c r="H864" s="2" t="s">
        <v>1381</v>
      </c>
    </row>
    <row r="865" customFormat="false" ht="15" hidden="false" customHeight="false" outlineLevel="0" collapsed="false">
      <c r="A865" s="2" t="s">
        <v>18</v>
      </c>
      <c r="B865" s="2" t="s">
        <v>2140</v>
      </c>
      <c r="C865" s="2" t="s">
        <v>2628</v>
      </c>
      <c r="D865" s="2" t="s">
        <v>2142</v>
      </c>
      <c r="E865" s="4" t="n">
        <v>173.53</v>
      </c>
      <c r="F865" s="4" t="n">
        <v>15.78</v>
      </c>
      <c r="G865" s="4" t="n">
        <v>157.75</v>
      </c>
      <c r="H865" s="2" t="s">
        <v>1385</v>
      </c>
    </row>
    <row r="866" customFormat="false" ht="15" hidden="false" customHeight="false" outlineLevel="0" collapsed="false">
      <c r="A866" s="2" t="s">
        <v>18</v>
      </c>
      <c r="B866" s="2" t="s">
        <v>1940</v>
      </c>
      <c r="C866" s="2" t="s">
        <v>2629</v>
      </c>
      <c r="D866" s="2" t="s">
        <v>1942</v>
      </c>
      <c r="E866" s="4" t="n">
        <v>0</v>
      </c>
      <c r="F866" s="4" t="n">
        <v>0</v>
      </c>
      <c r="G866" s="4" t="n">
        <v>0</v>
      </c>
      <c r="H866" s="2" t="s">
        <v>1385</v>
      </c>
    </row>
    <row r="867" customFormat="false" ht="15" hidden="false" customHeight="false" outlineLevel="0" collapsed="false">
      <c r="A867" s="2" t="s">
        <v>18</v>
      </c>
      <c r="B867" s="2" t="s">
        <v>564</v>
      </c>
      <c r="C867" s="2" t="s">
        <v>577</v>
      </c>
      <c r="D867" s="2" t="s">
        <v>566</v>
      </c>
      <c r="E867" s="4" t="n">
        <v>144.14</v>
      </c>
      <c r="F867" s="4" t="n">
        <v>13.11</v>
      </c>
      <c r="G867" s="4" t="n">
        <v>131.03</v>
      </c>
      <c r="H867" s="2" t="s">
        <v>1381</v>
      </c>
    </row>
    <row r="868" customFormat="false" ht="15" hidden="false" customHeight="false" outlineLevel="0" collapsed="false">
      <c r="A868" s="2" t="s">
        <v>18</v>
      </c>
      <c r="B868" s="2" t="s">
        <v>526</v>
      </c>
      <c r="C868" s="2" t="s">
        <v>527</v>
      </c>
      <c r="D868" s="2" t="s">
        <v>528</v>
      </c>
      <c r="E868" s="4" t="n">
        <v>160.66</v>
      </c>
      <c r="F868" s="4" t="n">
        <v>14.61</v>
      </c>
      <c r="G868" s="4" t="n">
        <v>146.05</v>
      </c>
      <c r="H868" s="2" t="s">
        <v>1381</v>
      </c>
    </row>
    <row r="869" customFormat="false" ht="15" hidden="false" customHeight="false" outlineLevel="0" collapsed="false">
      <c r="A869" s="2" t="s">
        <v>18</v>
      </c>
      <c r="B869" s="2" t="s">
        <v>2096</v>
      </c>
      <c r="C869" s="2" t="s">
        <v>2630</v>
      </c>
      <c r="D869" s="2" t="s">
        <v>2098</v>
      </c>
      <c r="E869" s="4" t="n">
        <v>186.67</v>
      </c>
      <c r="F869" s="4" t="n">
        <v>16.98</v>
      </c>
      <c r="G869" s="4" t="n">
        <v>169.69</v>
      </c>
      <c r="H869" s="2" t="s">
        <v>1385</v>
      </c>
    </row>
    <row r="870" customFormat="false" ht="15" hidden="false" customHeight="false" outlineLevel="0" collapsed="false">
      <c r="A870" s="2" t="s">
        <v>18</v>
      </c>
      <c r="B870" s="2" t="s">
        <v>1892</v>
      </c>
      <c r="C870" s="2" t="s">
        <v>2631</v>
      </c>
      <c r="D870" s="2" t="s">
        <v>1894</v>
      </c>
      <c r="E870" s="4" t="n">
        <v>0</v>
      </c>
      <c r="F870" s="4" t="n">
        <v>0</v>
      </c>
      <c r="G870" s="4" t="n">
        <v>0</v>
      </c>
      <c r="H870" s="2" t="s">
        <v>1385</v>
      </c>
    </row>
    <row r="871" customFormat="false" ht="15" hidden="false" customHeight="false" outlineLevel="0" collapsed="false">
      <c r="A871" s="2" t="s">
        <v>18</v>
      </c>
      <c r="B871" s="2" t="s">
        <v>2053</v>
      </c>
      <c r="C871" s="2" t="s">
        <v>2632</v>
      </c>
      <c r="D871" s="2" t="s">
        <v>2055</v>
      </c>
      <c r="E871" s="4" t="n">
        <v>361.86</v>
      </c>
      <c r="F871" s="4" t="n">
        <v>32.9</v>
      </c>
      <c r="G871" s="4" t="n">
        <v>328.96</v>
      </c>
      <c r="H871" s="2" t="s">
        <v>1385</v>
      </c>
    </row>
    <row r="872" customFormat="false" ht="15" hidden="false" customHeight="false" outlineLevel="0" collapsed="false">
      <c r="A872" s="2" t="s">
        <v>18</v>
      </c>
      <c r="B872" s="2" t="s">
        <v>2059</v>
      </c>
      <c r="C872" s="2" t="s">
        <v>2633</v>
      </c>
      <c r="D872" s="2" t="s">
        <v>2061</v>
      </c>
      <c r="E872" s="4" t="n">
        <v>117.28</v>
      </c>
      <c r="F872" s="4" t="n">
        <v>10.66</v>
      </c>
      <c r="G872" s="4" t="n">
        <v>106.62</v>
      </c>
      <c r="H872" s="2" t="s">
        <v>1385</v>
      </c>
    </row>
    <row r="873" customFormat="false" ht="15" hidden="false" customHeight="false" outlineLevel="0" collapsed="false">
      <c r="A873" s="2" t="s">
        <v>18</v>
      </c>
      <c r="B873" s="2" t="s">
        <v>52</v>
      </c>
      <c r="C873" s="2" t="s">
        <v>53</v>
      </c>
      <c r="D873" s="2" t="s">
        <v>54</v>
      </c>
      <c r="E873" s="4" t="n">
        <v>1419.4</v>
      </c>
      <c r="F873" s="4" t="n">
        <v>129.04</v>
      </c>
      <c r="G873" s="4" t="n">
        <v>1290.36</v>
      </c>
      <c r="H873" s="2" t="s">
        <v>1381</v>
      </c>
    </row>
    <row r="874" customFormat="false" ht="15" hidden="false" customHeight="false" outlineLevel="0" collapsed="false">
      <c r="A874" s="2" t="s">
        <v>18</v>
      </c>
      <c r="B874" s="2" t="s">
        <v>2029</v>
      </c>
      <c r="C874" s="2" t="s">
        <v>2634</v>
      </c>
      <c r="D874" s="2" t="s">
        <v>2031</v>
      </c>
      <c r="E874" s="4" t="n">
        <v>978.2</v>
      </c>
      <c r="F874" s="4" t="n">
        <v>88.93</v>
      </c>
      <c r="G874" s="4" t="n">
        <v>889.27</v>
      </c>
      <c r="H874" s="2" t="s">
        <v>1385</v>
      </c>
    </row>
    <row r="875" customFormat="false" ht="15" hidden="false" customHeight="false" outlineLevel="0" collapsed="false">
      <c r="A875" s="2" t="s">
        <v>18</v>
      </c>
      <c r="B875" s="2" t="s">
        <v>2032</v>
      </c>
      <c r="C875" s="2" t="s">
        <v>2635</v>
      </c>
      <c r="D875" s="2" t="s">
        <v>2034</v>
      </c>
      <c r="E875" s="4" t="n">
        <v>130.83</v>
      </c>
      <c r="F875" s="4" t="n">
        <v>11.89</v>
      </c>
      <c r="G875" s="4" t="n">
        <v>118.94</v>
      </c>
      <c r="H875" s="2" t="s">
        <v>1385</v>
      </c>
    </row>
    <row r="876" customFormat="false" ht="15" hidden="false" customHeight="false" outlineLevel="0" collapsed="false">
      <c r="A876" s="2" t="s">
        <v>18</v>
      </c>
      <c r="B876" s="2" t="s">
        <v>323</v>
      </c>
      <c r="C876" s="2" t="s">
        <v>324</v>
      </c>
      <c r="D876" s="2" t="s">
        <v>325</v>
      </c>
      <c r="E876" s="4" t="n">
        <v>131.71</v>
      </c>
      <c r="F876" s="4" t="n">
        <v>11.97</v>
      </c>
      <c r="G876" s="4" t="n">
        <v>119.74</v>
      </c>
      <c r="H876" s="2" t="s">
        <v>1381</v>
      </c>
    </row>
    <row r="877" customFormat="false" ht="15" hidden="false" customHeight="false" outlineLevel="0" collapsed="false">
      <c r="A877" s="2" t="s">
        <v>18</v>
      </c>
      <c r="B877" s="2" t="s">
        <v>1838</v>
      </c>
      <c r="C877" s="2" t="s">
        <v>2636</v>
      </c>
      <c r="D877" s="2" t="s">
        <v>1840</v>
      </c>
      <c r="E877" s="4" t="n">
        <v>794.11</v>
      </c>
      <c r="F877" s="4" t="n">
        <v>72.19</v>
      </c>
      <c r="G877" s="4" t="n">
        <v>721.92</v>
      </c>
      <c r="H877" s="2" t="s">
        <v>1385</v>
      </c>
    </row>
    <row r="878" customFormat="false" ht="15" hidden="false" customHeight="false" outlineLevel="0" collapsed="false">
      <c r="A878" s="2" t="s">
        <v>18</v>
      </c>
      <c r="B878" s="2" t="s">
        <v>2103</v>
      </c>
      <c r="C878" s="2" t="s">
        <v>2637</v>
      </c>
      <c r="D878" s="2" t="s">
        <v>2105</v>
      </c>
      <c r="E878" s="4" t="n">
        <v>198.26</v>
      </c>
      <c r="F878" s="4" t="n">
        <v>18.03</v>
      </c>
      <c r="G878" s="4" t="n">
        <v>180.23</v>
      </c>
      <c r="H878" s="2" t="s">
        <v>1385</v>
      </c>
    </row>
    <row r="879" customFormat="false" ht="15" hidden="false" customHeight="false" outlineLevel="0" collapsed="false">
      <c r="A879" s="2" t="s">
        <v>18</v>
      </c>
      <c r="B879" s="2" t="s">
        <v>2198</v>
      </c>
      <c r="C879" s="2" t="s">
        <v>2638</v>
      </c>
      <c r="D879" s="2" t="s">
        <v>2200</v>
      </c>
      <c r="E879" s="4" t="n">
        <v>633.75</v>
      </c>
      <c r="F879" s="4" t="n">
        <v>57.61</v>
      </c>
      <c r="G879" s="4" t="n">
        <v>576.14</v>
      </c>
      <c r="H879" s="2" t="s">
        <v>1385</v>
      </c>
    </row>
    <row r="880" customFormat="false" ht="15" hidden="false" customHeight="false" outlineLevel="0" collapsed="false">
      <c r="A880" s="2" t="s">
        <v>18</v>
      </c>
      <c r="B880" s="2" t="s">
        <v>1886</v>
      </c>
      <c r="C880" s="2" t="s">
        <v>2639</v>
      </c>
      <c r="D880" s="2" t="s">
        <v>1888</v>
      </c>
      <c r="E880" s="4" t="n">
        <v>0</v>
      </c>
      <c r="F880" s="4" t="n">
        <v>0</v>
      </c>
      <c r="G880" s="4" t="n">
        <v>0</v>
      </c>
      <c r="H880" s="2" t="s">
        <v>1385</v>
      </c>
    </row>
    <row r="881" customFormat="false" ht="15" hidden="false" customHeight="false" outlineLevel="0" collapsed="false">
      <c r="A881" s="2" t="s">
        <v>18</v>
      </c>
      <c r="B881" s="2" t="s">
        <v>2087</v>
      </c>
      <c r="C881" s="2" t="s">
        <v>2640</v>
      </c>
      <c r="D881" s="2" t="s">
        <v>2089</v>
      </c>
      <c r="E881" s="4" t="n">
        <v>1873.71</v>
      </c>
      <c r="F881" s="4" t="n">
        <v>170.34</v>
      </c>
      <c r="G881" s="4" t="n">
        <v>1703.37</v>
      </c>
      <c r="H881" s="2" t="s">
        <v>1385</v>
      </c>
    </row>
    <row r="882" customFormat="false" ht="15" hidden="false" customHeight="false" outlineLevel="0" collapsed="false">
      <c r="A882" s="2" t="s">
        <v>18</v>
      </c>
      <c r="B882" s="2" t="s">
        <v>226</v>
      </c>
      <c r="C882" s="2" t="s">
        <v>239</v>
      </c>
      <c r="D882" s="2" t="s">
        <v>228</v>
      </c>
      <c r="E882" s="4" t="n">
        <v>136.59</v>
      </c>
      <c r="F882" s="4" t="n">
        <v>12.42</v>
      </c>
      <c r="G882" s="4" t="n">
        <v>124.17</v>
      </c>
      <c r="H882" s="2" t="s">
        <v>1381</v>
      </c>
    </row>
    <row r="883" customFormat="false" ht="15" hidden="false" customHeight="false" outlineLevel="0" collapsed="false">
      <c r="A883" s="2" t="s">
        <v>18</v>
      </c>
      <c r="B883" s="2" t="s">
        <v>493</v>
      </c>
      <c r="C883" s="2" t="s">
        <v>494</v>
      </c>
      <c r="D883" s="2" t="s">
        <v>495</v>
      </c>
      <c r="E883" s="4" t="n">
        <v>108.56</v>
      </c>
      <c r="F883" s="4" t="n">
        <v>9.88</v>
      </c>
      <c r="G883" s="4" t="n">
        <v>98.68</v>
      </c>
      <c r="H883" s="2" t="s">
        <v>1381</v>
      </c>
    </row>
    <row r="884" customFormat="false" ht="15" hidden="false" customHeight="false" outlineLevel="0" collapsed="false">
      <c r="A884" s="2" t="s">
        <v>18</v>
      </c>
      <c r="B884" s="2" t="s">
        <v>2014</v>
      </c>
      <c r="C884" s="2" t="s">
        <v>2641</v>
      </c>
      <c r="D884" s="2" t="s">
        <v>2016</v>
      </c>
      <c r="E884" s="4" t="n">
        <v>707.85</v>
      </c>
      <c r="F884" s="4" t="n">
        <v>64.35</v>
      </c>
      <c r="G884" s="4" t="n">
        <v>643.5</v>
      </c>
      <c r="H884" s="2" t="s">
        <v>1385</v>
      </c>
    </row>
    <row r="885" customFormat="false" ht="15" hidden="false" customHeight="false" outlineLevel="0" collapsed="false">
      <c r="A885" s="2" t="s">
        <v>18</v>
      </c>
      <c r="B885" s="2" t="s">
        <v>1913</v>
      </c>
      <c r="C885" s="2" t="s">
        <v>2642</v>
      </c>
      <c r="D885" s="2" t="s">
        <v>1915</v>
      </c>
      <c r="E885" s="4" t="n">
        <v>1558.06</v>
      </c>
      <c r="F885" s="4" t="n">
        <v>141.65</v>
      </c>
      <c r="G885" s="4" t="n">
        <v>1416.41</v>
      </c>
      <c r="H885" s="2" t="s">
        <v>1385</v>
      </c>
    </row>
    <row r="886" customFormat="false" ht="15" hidden="false" customHeight="false" outlineLevel="0" collapsed="false">
      <c r="A886" s="2" t="s">
        <v>18</v>
      </c>
      <c r="B886" s="2" t="s">
        <v>2113</v>
      </c>
      <c r="C886" s="2" t="s">
        <v>2643</v>
      </c>
      <c r="D886" s="2" t="s">
        <v>2115</v>
      </c>
      <c r="E886" s="4" t="n">
        <v>1171.8</v>
      </c>
      <c r="F886" s="4" t="n">
        <v>106.53</v>
      </c>
      <c r="G886" s="4" t="n">
        <v>1065.27</v>
      </c>
      <c r="H886" s="2" t="s">
        <v>1385</v>
      </c>
    </row>
    <row r="887" customFormat="false" ht="15" hidden="false" customHeight="false" outlineLevel="0" collapsed="false">
      <c r="A887" s="2" t="s">
        <v>18</v>
      </c>
      <c r="B887" s="2" t="s">
        <v>1386</v>
      </c>
      <c r="C887" s="2" t="s">
        <v>2644</v>
      </c>
      <c r="D887" s="2" t="s">
        <v>1388</v>
      </c>
      <c r="E887" s="4" t="n">
        <v>0</v>
      </c>
      <c r="F887" s="4" t="n">
        <v>0</v>
      </c>
      <c r="G887" s="4" t="n">
        <v>0</v>
      </c>
      <c r="H887" s="2" t="s">
        <v>1385</v>
      </c>
    </row>
    <row r="888" customFormat="false" ht="15" hidden="false" customHeight="false" outlineLevel="0" collapsed="false">
      <c r="A888" s="2" t="s">
        <v>18</v>
      </c>
      <c r="B888" s="2" t="s">
        <v>2106</v>
      </c>
      <c r="C888" s="2" t="s">
        <v>2645</v>
      </c>
      <c r="D888" s="2" t="s">
        <v>2108</v>
      </c>
      <c r="E888" s="4" t="n">
        <v>483.84</v>
      </c>
      <c r="F888" s="4" t="n">
        <v>44</v>
      </c>
      <c r="G888" s="4" t="n">
        <v>439.84</v>
      </c>
      <c r="H888" s="2" t="s">
        <v>1385</v>
      </c>
    </row>
    <row r="889" customFormat="false" ht="15" hidden="false" customHeight="false" outlineLevel="0" collapsed="false">
      <c r="A889" s="2" t="s">
        <v>18</v>
      </c>
      <c r="B889" s="2" t="s">
        <v>1901</v>
      </c>
      <c r="C889" s="2" t="s">
        <v>2646</v>
      </c>
      <c r="D889" s="2" t="s">
        <v>1903</v>
      </c>
      <c r="E889" s="4" t="n">
        <v>989.39</v>
      </c>
      <c r="F889" s="4" t="n">
        <v>89.95</v>
      </c>
      <c r="G889" s="4" t="n">
        <v>899.44</v>
      </c>
      <c r="H889" s="2" t="s">
        <v>1385</v>
      </c>
    </row>
    <row r="890" customFormat="false" ht="15" hidden="false" customHeight="false" outlineLevel="0" collapsed="false">
      <c r="A890" s="2" t="s">
        <v>18</v>
      </c>
      <c r="B890" s="2" t="s">
        <v>384</v>
      </c>
      <c r="C890" s="2" t="s">
        <v>385</v>
      </c>
      <c r="D890" s="2" t="s">
        <v>386</v>
      </c>
      <c r="E890" s="4" t="n">
        <v>118.92</v>
      </c>
      <c r="F890" s="4" t="n">
        <v>10.81</v>
      </c>
      <c r="G890" s="4" t="n">
        <v>108.11</v>
      </c>
      <c r="H890" s="2" t="s">
        <v>1381</v>
      </c>
    </row>
    <row r="891" customFormat="false" ht="15" hidden="false" customHeight="false" outlineLevel="0" collapsed="false">
      <c r="A891" s="2" t="s">
        <v>18</v>
      </c>
      <c r="B891" s="2" t="s">
        <v>2154</v>
      </c>
      <c r="C891" s="2" t="s">
        <v>2647</v>
      </c>
      <c r="D891" s="2" t="s">
        <v>2156</v>
      </c>
      <c r="E891" s="4" t="n">
        <v>228.53</v>
      </c>
      <c r="F891" s="4" t="n">
        <v>20.79</v>
      </c>
      <c r="G891" s="4" t="n">
        <v>207.74</v>
      </c>
      <c r="H891" s="2" t="s">
        <v>1385</v>
      </c>
    </row>
    <row r="892" customFormat="false" ht="15" hidden="false" customHeight="false" outlineLevel="0" collapsed="false">
      <c r="A892" s="2" t="s">
        <v>18</v>
      </c>
      <c r="B892" s="2" t="s">
        <v>2068</v>
      </c>
      <c r="C892" s="2" t="s">
        <v>2648</v>
      </c>
      <c r="D892" s="2" t="s">
        <v>2070</v>
      </c>
      <c r="E892" s="4" t="n">
        <v>2898.17</v>
      </c>
      <c r="F892" s="4" t="n">
        <v>263.48</v>
      </c>
      <c r="G892" s="4" t="n">
        <v>2634.69</v>
      </c>
      <c r="H892" s="2" t="s">
        <v>1385</v>
      </c>
    </row>
    <row r="893" customFormat="false" ht="15" hidden="false" customHeight="false" outlineLevel="0" collapsed="false">
      <c r="A893" s="2" t="s">
        <v>18</v>
      </c>
      <c r="B893" s="2" t="s">
        <v>2195</v>
      </c>
      <c r="C893" s="2" t="s">
        <v>2649</v>
      </c>
      <c r="D893" s="2" t="s">
        <v>2197</v>
      </c>
      <c r="E893" s="4" t="n">
        <v>163.12</v>
      </c>
      <c r="F893" s="4" t="n">
        <v>14.84</v>
      </c>
      <c r="G893" s="4" t="n">
        <v>148.28</v>
      </c>
      <c r="H893" s="2" t="s">
        <v>1385</v>
      </c>
    </row>
    <row r="894" customFormat="false" ht="15" hidden="false" customHeight="false" outlineLevel="0" collapsed="false">
      <c r="A894" s="2" t="s">
        <v>18</v>
      </c>
      <c r="B894" s="2" t="s">
        <v>61</v>
      </c>
      <c r="C894" s="2" t="s">
        <v>76</v>
      </c>
      <c r="D894" s="2" t="s">
        <v>63</v>
      </c>
      <c r="E894" s="4" t="n">
        <v>909.35</v>
      </c>
      <c r="F894" s="4" t="n">
        <v>82.67</v>
      </c>
      <c r="G894" s="4" t="n">
        <v>826.68</v>
      </c>
      <c r="H894" s="2" t="s">
        <v>1381</v>
      </c>
    </row>
    <row r="895" customFormat="false" ht="15" hidden="false" customHeight="false" outlineLevel="0" collapsed="false">
      <c r="A895" s="2" t="s">
        <v>18</v>
      </c>
      <c r="B895" s="2" t="s">
        <v>405</v>
      </c>
      <c r="C895" s="2" t="s">
        <v>406</v>
      </c>
      <c r="D895" s="2" t="s">
        <v>407</v>
      </c>
      <c r="E895" s="4" t="n">
        <v>112.04</v>
      </c>
      <c r="F895" s="4" t="n">
        <v>10.19</v>
      </c>
      <c r="G895" s="4" t="n">
        <v>101.85</v>
      </c>
      <c r="H895" s="2" t="s">
        <v>1381</v>
      </c>
    </row>
    <row r="896" customFormat="false" ht="15" hidden="false" customHeight="false" outlineLevel="0" collapsed="false">
      <c r="A896" s="2" t="s">
        <v>18</v>
      </c>
      <c r="B896" s="2" t="s">
        <v>160</v>
      </c>
      <c r="C896" s="2" t="s">
        <v>161</v>
      </c>
      <c r="D896" s="2" t="s">
        <v>162</v>
      </c>
      <c r="E896" s="4" t="n">
        <v>322.98</v>
      </c>
      <c r="F896" s="4" t="n">
        <v>29.36</v>
      </c>
      <c r="G896" s="4" t="n">
        <v>293.62</v>
      </c>
      <c r="H896" s="2" t="s">
        <v>1381</v>
      </c>
    </row>
    <row r="897" customFormat="false" ht="15" hidden="false" customHeight="false" outlineLevel="0" collapsed="false">
      <c r="A897" s="2" t="s">
        <v>18</v>
      </c>
      <c r="B897" s="2" t="s">
        <v>444</v>
      </c>
      <c r="C897" s="2" t="s">
        <v>445</v>
      </c>
      <c r="D897" s="2" t="s">
        <v>446</v>
      </c>
      <c r="E897" s="4" t="n">
        <v>114.07</v>
      </c>
      <c r="F897" s="4" t="n">
        <v>10.37</v>
      </c>
      <c r="G897" s="4" t="n">
        <v>103.7</v>
      </c>
      <c r="H897" s="2" t="s">
        <v>1381</v>
      </c>
    </row>
    <row r="898" customFormat="false" ht="15" hidden="false" customHeight="false" outlineLevel="0" collapsed="false">
      <c r="A898" s="2" t="s">
        <v>18</v>
      </c>
      <c r="B898" s="2" t="s">
        <v>582</v>
      </c>
      <c r="C898" s="2" t="s">
        <v>583</v>
      </c>
      <c r="D898" s="2" t="s">
        <v>584</v>
      </c>
      <c r="E898" s="4" t="n">
        <v>96.15</v>
      </c>
      <c r="F898" s="4" t="n">
        <v>8.73</v>
      </c>
      <c r="G898" s="4" t="n">
        <v>87.42</v>
      </c>
      <c r="H898" s="2" t="s">
        <v>1381</v>
      </c>
    </row>
    <row r="899" customFormat="false" ht="15" hidden="false" customHeight="false" outlineLevel="0" collapsed="false">
      <c r="A899" s="2" t="s">
        <v>18</v>
      </c>
      <c r="B899" s="2" t="s">
        <v>2185</v>
      </c>
      <c r="C899" s="2" t="s">
        <v>2650</v>
      </c>
      <c r="D899" s="2" t="s">
        <v>2187</v>
      </c>
      <c r="E899" s="4" t="n">
        <v>195.81</v>
      </c>
      <c r="F899" s="4" t="n">
        <v>17.8</v>
      </c>
      <c r="G899" s="4" t="n">
        <v>178.01</v>
      </c>
      <c r="H899" s="2" t="s">
        <v>1385</v>
      </c>
    </row>
    <row r="900" customFormat="false" ht="15" hidden="false" customHeight="false" outlineLevel="0" collapsed="false">
      <c r="A900" s="2" t="s">
        <v>18</v>
      </c>
      <c r="B900" s="2" t="s">
        <v>2148</v>
      </c>
      <c r="C900" s="2" t="s">
        <v>2651</v>
      </c>
      <c r="D900" s="2" t="s">
        <v>2150</v>
      </c>
      <c r="E900" s="4" t="n">
        <v>452.69</v>
      </c>
      <c r="F900" s="4" t="n">
        <v>41.15</v>
      </c>
      <c r="G900" s="4" t="n">
        <v>411.54</v>
      </c>
      <c r="H900" s="2" t="s">
        <v>1385</v>
      </c>
    </row>
    <row r="901" customFormat="false" ht="15" hidden="false" customHeight="false" outlineLevel="0" collapsed="false">
      <c r="A901" s="2" t="s">
        <v>18</v>
      </c>
      <c r="B901" s="2" t="s">
        <v>354</v>
      </c>
      <c r="C901" s="2" t="s">
        <v>355</v>
      </c>
      <c r="D901" s="2" t="s">
        <v>356</v>
      </c>
      <c r="E901" s="4" t="n">
        <v>134.69</v>
      </c>
      <c r="F901" s="4" t="n">
        <v>12.25</v>
      </c>
      <c r="G901" s="4" t="n">
        <v>122.44</v>
      </c>
      <c r="H901" s="2" t="s">
        <v>1381</v>
      </c>
    </row>
    <row r="902" customFormat="false" ht="15" hidden="false" customHeight="false" outlineLevel="0" collapsed="false">
      <c r="A902" s="2" t="s">
        <v>18</v>
      </c>
      <c r="B902" s="2" t="s">
        <v>2126</v>
      </c>
      <c r="C902" s="2" t="s">
        <v>2652</v>
      </c>
      <c r="D902" s="2" t="s">
        <v>2128</v>
      </c>
      <c r="E902" s="4" t="n">
        <v>556.88</v>
      </c>
      <c r="F902" s="4" t="n">
        <v>50.63</v>
      </c>
      <c r="G902" s="4" t="n">
        <v>506.25</v>
      </c>
      <c r="H902" s="2" t="s">
        <v>1385</v>
      </c>
    </row>
    <row r="903" customFormat="false" ht="15" hidden="false" customHeight="false" outlineLevel="0" collapsed="false">
      <c r="A903" s="2" t="s">
        <v>18</v>
      </c>
      <c r="B903" s="2" t="s">
        <v>2091</v>
      </c>
      <c r="C903" s="2" t="s">
        <v>2653</v>
      </c>
      <c r="D903" s="2" t="s">
        <v>2093</v>
      </c>
      <c r="E903" s="4" t="n">
        <v>1295.91</v>
      </c>
      <c r="F903" s="4" t="n">
        <v>117.82</v>
      </c>
      <c r="G903" s="4" t="n">
        <v>1178.09</v>
      </c>
      <c r="H903" s="2" t="s">
        <v>1385</v>
      </c>
    </row>
    <row r="904" customFormat="false" ht="15" hidden="false" customHeight="false" outlineLevel="0" collapsed="false">
      <c r="A904" s="2" t="s">
        <v>18</v>
      </c>
      <c r="B904" s="2" t="s">
        <v>2143</v>
      </c>
      <c r="C904" s="2" t="s">
        <v>2654</v>
      </c>
      <c r="D904" s="2" t="s">
        <v>2145</v>
      </c>
      <c r="E904" s="4" t="n">
        <v>588.52</v>
      </c>
      <c r="F904" s="4" t="n">
        <v>53.5</v>
      </c>
      <c r="G904" s="4" t="n">
        <v>535.02</v>
      </c>
      <c r="H904" s="2" t="s">
        <v>1385</v>
      </c>
    </row>
    <row r="905" customFormat="false" ht="15" hidden="false" customHeight="false" outlineLevel="0" collapsed="false">
      <c r="A905" s="2" t="s">
        <v>18</v>
      </c>
      <c r="B905" s="2" t="s">
        <v>305</v>
      </c>
      <c r="C905" s="2" t="s">
        <v>306</v>
      </c>
      <c r="D905" s="2" t="s">
        <v>307</v>
      </c>
      <c r="E905" s="4" t="n">
        <v>112.73</v>
      </c>
      <c r="F905" s="4" t="n">
        <v>10.25</v>
      </c>
      <c r="G905" s="4" t="n">
        <v>102.48</v>
      </c>
      <c r="H905" s="2" t="s">
        <v>1381</v>
      </c>
    </row>
    <row r="906" customFormat="false" ht="15" hidden="false" customHeight="false" outlineLevel="0" collapsed="false">
      <c r="A906" s="2" t="s">
        <v>18</v>
      </c>
      <c r="B906" s="2" t="s">
        <v>298</v>
      </c>
      <c r="C906" s="2" t="s">
        <v>299</v>
      </c>
      <c r="D906" s="2" t="s">
        <v>300</v>
      </c>
      <c r="E906" s="4" t="n">
        <v>117.08</v>
      </c>
      <c r="F906" s="4" t="n">
        <v>10.65</v>
      </c>
      <c r="G906" s="4" t="n">
        <v>106.43</v>
      </c>
      <c r="H906" s="2" t="s">
        <v>1381</v>
      </c>
    </row>
    <row r="907" customFormat="false" ht="15" hidden="false" customHeight="false" outlineLevel="0" collapsed="false">
      <c r="A907" s="2" t="s">
        <v>18</v>
      </c>
      <c r="B907" s="2" t="s">
        <v>2065</v>
      </c>
      <c r="C907" s="2" t="s">
        <v>2655</v>
      </c>
      <c r="D907" s="2" t="s">
        <v>2067</v>
      </c>
      <c r="E907" s="4" t="n">
        <v>0</v>
      </c>
      <c r="F907" s="4" t="n">
        <v>0</v>
      </c>
      <c r="G907" s="4" t="n">
        <v>0</v>
      </c>
      <c r="H907" s="2" t="s">
        <v>1385</v>
      </c>
    </row>
    <row r="908" customFormat="false" ht="15" hidden="false" customHeight="false" outlineLevel="0" collapsed="false">
      <c r="A908" s="2" t="s">
        <v>18</v>
      </c>
      <c r="B908" s="2" t="s">
        <v>2188</v>
      </c>
      <c r="C908" s="2" t="s">
        <v>2656</v>
      </c>
      <c r="D908" s="2" t="s">
        <v>2190</v>
      </c>
      <c r="E908" s="4" t="n">
        <v>724.25</v>
      </c>
      <c r="F908" s="4" t="n">
        <v>65.84</v>
      </c>
      <c r="G908" s="4" t="n">
        <v>658.41</v>
      </c>
      <c r="H908" s="2" t="s">
        <v>1385</v>
      </c>
    </row>
    <row r="909" customFormat="false" ht="15" hidden="false" customHeight="false" outlineLevel="0" collapsed="false">
      <c r="A909" s="2" t="s">
        <v>18</v>
      </c>
      <c r="B909" s="2" t="s">
        <v>2182</v>
      </c>
      <c r="C909" s="2" t="s">
        <v>2657</v>
      </c>
      <c r="D909" s="2" t="s">
        <v>2184</v>
      </c>
      <c r="E909" s="4" t="n">
        <v>735.89</v>
      </c>
      <c r="F909" s="4" t="n">
        <v>66.91</v>
      </c>
      <c r="G909" s="4" t="n">
        <v>668.98</v>
      </c>
      <c r="H909" s="2" t="s">
        <v>1385</v>
      </c>
    </row>
    <row r="910" customFormat="false" ht="15" hidden="false" customHeight="false" outlineLevel="0" collapsed="false">
      <c r="A910" s="2" t="s">
        <v>18</v>
      </c>
      <c r="B910" s="2" t="s">
        <v>1922</v>
      </c>
      <c r="C910" s="2" t="s">
        <v>2658</v>
      </c>
      <c r="D910" s="2" t="s">
        <v>1924</v>
      </c>
      <c r="E910" s="4" t="n">
        <v>1392.37</v>
      </c>
      <c r="F910" s="4" t="n">
        <v>126.58</v>
      </c>
      <c r="G910" s="4" t="n">
        <v>1265.79</v>
      </c>
      <c r="H910" s="2" t="s">
        <v>1385</v>
      </c>
    </row>
    <row r="911" customFormat="false" ht="15" hidden="false" customHeight="false" outlineLevel="0" collapsed="false">
      <c r="A911" s="2" t="s">
        <v>18</v>
      </c>
      <c r="B911" s="2" t="s">
        <v>2179</v>
      </c>
      <c r="C911" s="2" t="s">
        <v>2659</v>
      </c>
      <c r="D911" s="2" t="s">
        <v>2181</v>
      </c>
      <c r="E911" s="4" t="n">
        <v>423.85</v>
      </c>
      <c r="F911" s="4" t="n">
        <v>38.54</v>
      </c>
      <c r="G911" s="4" t="n">
        <v>385.31</v>
      </c>
      <c r="H911" s="2" t="s">
        <v>1385</v>
      </c>
    </row>
    <row r="912" customFormat="false" ht="15" hidden="false" customHeight="false" outlineLevel="0" collapsed="false">
      <c r="A912" s="2" t="s">
        <v>18</v>
      </c>
      <c r="B912" s="2" t="s">
        <v>2212</v>
      </c>
      <c r="C912" s="2" t="s">
        <v>2660</v>
      </c>
      <c r="D912" s="2" t="s">
        <v>2214</v>
      </c>
      <c r="E912" s="4" t="n">
        <v>235.2</v>
      </c>
      <c r="F912" s="4" t="n">
        <v>21.38</v>
      </c>
      <c r="G912" s="4" t="n">
        <v>213.82</v>
      </c>
      <c r="H912" s="2" t="s">
        <v>1385</v>
      </c>
    </row>
    <row r="913" customFormat="false" ht="15" hidden="false" customHeight="false" outlineLevel="0" collapsed="false">
      <c r="A913" s="2" t="s">
        <v>18</v>
      </c>
      <c r="B913" s="2" t="s">
        <v>2216</v>
      </c>
      <c r="C913" s="2" t="s">
        <v>2661</v>
      </c>
      <c r="D913" s="2" t="s">
        <v>2218</v>
      </c>
      <c r="E913" s="4" t="n">
        <v>212.18</v>
      </c>
      <c r="F913" s="4" t="n">
        <v>19.3</v>
      </c>
      <c r="G913" s="4" t="n">
        <v>192.88</v>
      </c>
      <c r="H913" s="2" t="s">
        <v>1385</v>
      </c>
    </row>
    <row r="914" customFormat="false" ht="15" hidden="false" customHeight="false" outlineLevel="0" collapsed="false">
      <c r="A914" s="2" t="s">
        <v>18</v>
      </c>
      <c r="B914" s="2" t="s">
        <v>2071</v>
      </c>
      <c r="C914" s="2" t="s">
        <v>2662</v>
      </c>
      <c r="D914" s="2" t="s">
        <v>2073</v>
      </c>
      <c r="E914" s="4" t="n">
        <v>2407.8</v>
      </c>
      <c r="F914" s="4" t="n">
        <v>218.89</v>
      </c>
      <c r="G914" s="4" t="n">
        <v>2188.91</v>
      </c>
      <c r="H914" s="2" t="s">
        <v>1385</v>
      </c>
    </row>
    <row r="915" customFormat="false" ht="15" hidden="false" customHeight="false" outlineLevel="0" collapsed="false">
      <c r="A915" s="2" t="s">
        <v>18</v>
      </c>
      <c r="B915" s="2" t="s">
        <v>591</v>
      </c>
      <c r="C915" s="2" t="s">
        <v>592</v>
      </c>
      <c r="D915" s="2" t="s">
        <v>593</v>
      </c>
      <c r="E915" s="4" t="n">
        <v>123.68</v>
      </c>
      <c r="F915" s="4" t="n">
        <v>11.25</v>
      </c>
      <c r="G915" s="4" t="n">
        <v>112.43</v>
      </c>
      <c r="H915" s="2" t="s">
        <v>1381</v>
      </c>
    </row>
    <row r="916" customFormat="false" ht="15" hidden="false" customHeight="false" outlineLevel="0" collapsed="false">
      <c r="A916" s="2" t="s">
        <v>18</v>
      </c>
      <c r="B916" s="2" t="s">
        <v>2082</v>
      </c>
      <c r="C916" s="2" t="s">
        <v>2663</v>
      </c>
      <c r="D916" s="2" t="s">
        <v>2084</v>
      </c>
      <c r="E916" s="4" t="n">
        <v>135.56</v>
      </c>
      <c r="F916" s="4" t="n">
        <v>12.34</v>
      </c>
      <c r="G916" s="4" t="n">
        <v>123.22</v>
      </c>
      <c r="H916" s="2" t="s">
        <v>1385</v>
      </c>
    </row>
    <row r="917" customFormat="false" ht="15" hidden="false" customHeight="false" outlineLevel="0" collapsed="false">
      <c r="A917" s="2" t="s">
        <v>18</v>
      </c>
      <c r="B917" s="2" t="s">
        <v>2157</v>
      </c>
      <c r="C917" s="2" t="s">
        <v>2664</v>
      </c>
      <c r="D917" s="2" t="s">
        <v>2159</v>
      </c>
      <c r="E917" s="4" t="n">
        <v>92.78</v>
      </c>
      <c r="F917" s="4" t="n">
        <v>8.44</v>
      </c>
      <c r="G917" s="4" t="n">
        <v>84.34</v>
      </c>
      <c r="H917" s="2" t="s">
        <v>1385</v>
      </c>
    </row>
    <row r="918" customFormat="false" ht="15" hidden="false" customHeight="false" outlineLevel="0" collapsed="false">
      <c r="A918" s="2" t="s">
        <v>18</v>
      </c>
      <c r="B918" s="2" t="s">
        <v>378</v>
      </c>
      <c r="C918" s="2" t="s">
        <v>379</v>
      </c>
      <c r="D918" s="2" t="s">
        <v>380</v>
      </c>
      <c r="E918" s="4" t="n">
        <v>113.66</v>
      </c>
      <c r="F918" s="4" t="n">
        <v>10.34</v>
      </c>
      <c r="G918" s="4" t="n">
        <v>103.32</v>
      </c>
      <c r="H918" s="2" t="s">
        <v>1381</v>
      </c>
    </row>
    <row r="919" customFormat="false" ht="15" hidden="false" customHeight="false" outlineLevel="0" collapsed="false">
      <c r="A919" s="2" t="s">
        <v>18</v>
      </c>
      <c r="B919" s="2" t="s">
        <v>2203</v>
      </c>
      <c r="C919" s="2" t="s">
        <v>2665</v>
      </c>
      <c r="D919" s="2" t="s">
        <v>2205</v>
      </c>
      <c r="E919" s="4" t="n">
        <v>174.28</v>
      </c>
      <c r="F919" s="4" t="n">
        <v>15.84</v>
      </c>
      <c r="G919" s="4" t="n">
        <v>158.44</v>
      </c>
      <c r="H919" s="2" t="s">
        <v>1385</v>
      </c>
    </row>
    <row r="920" customFormat="false" ht="15" hidden="false" customHeight="false" outlineLevel="0" collapsed="false">
      <c r="A920" s="2" t="s">
        <v>18</v>
      </c>
      <c r="B920" s="2" t="s">
        <v>2047</v>
      </c>
      <c r="C920" s="2" t="s">
        <v>2666</v>
      </c>
      <c r="D920" s="2" t="s">
        <v>2049</v>
      </c>
      <c r="E920" s="4" t="n">
        <v>123.81</v>
      </c>
      <c r="F920" s="4" t="n">
        <v>11.26</v>
      </c>
      <c r="G920" s="4" t="n">
        <v>112.55</v>
      </c>
      <c r="H920" s="2" t="s">
        <v>1385</v>
      </c>
    </row>
    <row r="921" customFormat="false" ht="15" hidden="false" customHeight="false" outlineLevel="0" collapsed="false">
      <c r="A921" s="2" t="s">
        <v>18</v>
      </c>
      <c r="B921" s="2" t="s">
        <v>109</v>
      </c>
      <c r="C921" s="2" t="s">
        <v>110</v>
      </c>
      <c r="D921" s="2" t="s">
        <v>111</v>
      </c>
      <c r="E921" s="4" t="n">
        <v>444.05</v>
      </c>
      <c r="F921" s="4" t="n">
        <v>40.37</v>
      </c>
      <c r="G921" s="4" t="n">
        <v>403.68</v>
      </c>
      <c r="H921" s="2" t="s">
        <v>1381</v>
      </c>
    </row>
    <row r="922" customFormat="false" ht="15" hidden="false" customHeight="false" outlineLevel="0" collapsed="false">
      <c r="A922" s="2" t="s">
        <v>18</v>
      </c>
      <c r="B922" s="2" t="s">
        <v>436</v>
      </c>
      <c r="C922" s="2" t="s">
        <v>437</v>
      </c>
      <c r="D922" s="2" t="s">
        <v>438</v>
      </c>
      <c r="E922" s="4" t="n">
        <v>111.31</v>
      </c>
      <c r="F922" s="4" t="n">
        <v>10.12</v>
      </c>
      <c r="G922" s="4" t="n">
        <v>101.19</v>
      </c>
      <c r="H922" s="2" t="s">
        <v>1381</v>
      </c>
    </row>
    <row r="923" customFormat="false" ht="15" hidden="false" customHeight="false" outlineLevel="0" collapsed="false">
      <c r="A923" s="2" t="s">
        <v>18</v>
      </c>
      <c r="B923" s="2" t="s">
        <v>571</v>
      </c>
      <c r="C923" s="2" t="s">
        <v>572</v>
      </c>
      <c r="D923" s="2" t="s">
        <v>573</v>
      </c>
      <c r="E923" s="4" t="n">
        <v>107.42</v>
      </c>
      <c r="F923" s="4" t="n">
        <v>9.77</v>
      </c>
      <c r="G923" s="4" t="n">
        <v>97.65</v>
      </c>
      <c r="H923" s="2" t="s">
        <v>1381</v>
      </c>
    </row>
    <row r="924" customFormat="false" ht="15" hidden="false" customHeight="false" outlineLevel="0" collapsed="false">
      <c r="A924" s="2" t="s">
        <v>18</v>
      </c>
      <c r="B924" s="2" t="s">
        <v>2043</v>
      </c>
      <c r="C924" s="2" t="s">
        <v>2667</v>
      </c>
      <c r="D924" s="2" t="s">
        <v>2045</v>
      </c>
      <c r="E924" s="4" t="n">
        <v>367.78</v>
      </c>
      <c r="F924" s="4" t="n">
        <v>33.44</v>
      </c>
      <c r="G924" s="4" t="n">
        <v>334.34</v>
      </c>
      <c r="H924" s="2" t="s">
        <v>1385</v>
      </c>
    </row>
    <row r="925" customFormat="false" ht="15" hidden="false" customHeight="false" outlineLevel="0" collapsed="false">
      <c r="A925" s="2" t="s">
        <v>18</v>
      </c>
      <c r="B925" s="2" t="s">
        <v>2160</v>
      </c>
      <c r="C925" s="2" t="s">
        <v>2668</v>
      </c>
      <c r="D925" s="2" t="s">
        <v>2162</v>
      </c>
      <c r="E925" s="4" t="n">
        <v>117.26</v>
      </c>
      <c r="F925" s="4" t="n">
        <v>10.67</v>
      </c>
      <c r="G925" s="4" t="n">
        <v>106.59</v>
      </c>
      <c r="H925" s="2" t="s">
        <v>1385</v>
      </c>
    </row>
    <row r="926" customFormat="false" ht="15" hidden="false" customHeight="false" outlineLevel="0" collapsed="false">
      <c r="A926" s="2" t="s">
        <v>18</v>
      </c>
      <c r="B926" s="2" t="s">
        <v>2020</v>
      </c>
      <c r="C926" s="2" t="s">
        <v>2669</v>
      </c>
      <c r="D926" s="2" t="s">
        <v>2022</v>
      </c>
      <c r="E926" s="4" t="n">
        <v>281.64</v>
      </c>
      <c r="F926" s="4" t="n">
        <v>25.6</v>
      </c>
      <c r="G926" s="4" t="n">
        <v>256.04</v>
      </c>
      <c r="H926" s="2" t="s">
        <v>1385</v>
      </c>
    </row>
    <row r="927" customFormat="false" ht="15" hidden="false" customHeight="false" outlineLevel="0" collapsed="false">
      <c r="A927" s="2" t="s">
        <v>18</v>
      </c>
      <c r="B927" s="2" t="s">
        <v>69</v>
      </c>
      <c r="C927" s="2" t="s">
        <v>70</v>
      </c>
      <c r="D927" s="2" t="s">
        <v>71</v>
      </c>
      <c r="E927" s="4" t="n">
        <v>1550.82</v>
      </c>
      <c r="F927" s="4" t="n">
        <v>140.98</v>
      </c>
      <c r="G927" s="4" t="n">
        <v>1409.84</v>
      </c>
      <c r="H927" s="2" t="s">
        <v>1381</v>
      </c>
    </row>
    <row r="928" customFormat="false" ht="15" hidden="false" customHeight="false" outlineLevel="0" collapsed="false">
      <c r="A928" s="2" t="s">
        <v>18</v>
      </c>
      <c r="B928" s="2" t="s">
        <v>2122</v>
      </c>
      <c r="C928" s="2" t="s">
        <v>2670</v>
      </c>
      <c r="D928" s="2" t="s">
        <v>2124</v>
      </c>
      <c r="E928" s="4" t="n">
        <v>2739.38</v>
      </c>
      <c r="F928" s="4" t="n">
        <v>249.04</v>
      </c>
      <c r="G928" s="4" t="n">
        <v>2490.34</v>
      </c>
      <c r="H928" s="2" t="s">
        <v>1385</v>
      </c>
    </row>
    <row r="929" customFormat="false" ht="15" hidden="false" customHeight="false" outlineLevel="0" collapsed="false">
      <c r="A929" s="2" t="s">
        <v>18</v>
      </c>
      <c r="B929" s="2" t="s">
        <v>2110</v>
      </c>
      <c r="C929" s="2" t="s">
        <v>2671</v>
      </c>
      <c r="D929" s="2" t="s">
        <v>2112</v>
      </c>
      <c r="E929" s="4" t="n">
        <v>5802.29</v>
      </c>
      <c r="F929" s="4" t="n">
        <v>527.49</v>
      </c>
      <c r="G929" s="4" t="n">
        <v>5274.8</v>
      </c>
      <c r="H929" s="2" t="s">
        <v>1385</v>
      </c>
    </row>
    <row r="930" customFormat="false" ht="15" hidden="false" customHeight="false" outlineLevel="0" collapsed="false">
      <c r="A930" s="2" t="s">
        <v>18</v>
      </c>
      <c r="B930" s="2" t="s">
        <v>697</v>
      </c>
      <c r="C930" s="2" t="s">
        <v>698</v>
      </c>
      <c r="D930" s="2" t="s">
        <v>699</v>
      </c>
      <c r="E930" s="4" t="n">
        <v>97.84</v>
      </c>
      <c r="F930" s="4" t="n">
        <v>8.9</v>
      </c>
      <c r="G930" s="4" t="n">
        <v>88.94</v>
      </c>
      <c r="H930" s="2" t="s">
        <v>1381</v>
      </c>
    </row>
    <row r="931" customFormat="false" ht="15" hidden="false" customHeight="false" outlineLevel="0" collapsed="false">
      <c r="A931" s="2" t="s">
        <v>18</v>
      </c>
      <c r="B931" s="2" t="s">
        <v>204</v>
      </c>
      <c r="C931" s="2" t="s">
        <v>205</v>
      </c>
      <c r="D931" s="2" t="s">
        <v>206</v>
      </c>
      <c r="E931" s="4" t="n">
        <v>240.64</v>
      </c>
      <c r="F931" s="4" t="n">
        <v>21.88</v>
      </c>
      <c r="G931" s="4" t="n">
        <v>218.76</v>
      </c>
      <c r="H931" s="2" t="s">
        <v>1381</v>
      </c>
    </row>
    <row r="932" customFormat="false" ht="15" hidden="false" customHeight="false" outlineLevel="0" collapsed="false">
      <c r="A932" s="2" t="s">
        <v>22</v>
      </c>
      <c r="B932" s="2" t="s">
        <v>2672</v>
      </c>
      <c r="C932" s="2" t="s">
        <v>2673</v>
      </c>
      <c r="D932" s="2"/>
      <c r="E932" s="4" t="n">
        <v>0</v>
      </c>
      <c r="F932" s="4" t="n">
        <v>0</v>
      </c>
      <c r="G932" s="4" t="n">
        <v>0</v>
      </c>
      <c r="H932" s="2" t="s">
        <v>1385</v>
      </c>
    </row>
    <row r="933" customFormat="false" ht="15" hidden="false" customHeight="false" outlineLevel="0" collapsed="false">
      <c r="A933" s="2" t="s">
        <v>22</v>
      </c>
      <c r="B933" s="2" t="s">
        <v>2674</v>
      </c>
      <c r="C933" s="2" t="s">
        <v>2675</v>
      </c>
      <c r="D933" s="2" t="s">
        <v>2676</v>
      </c>
      <c r="E933" s="4" t="n">
        <v>0</v>
      </c>
      <c r="F933" s="4" t="n">
        <v>0</v>
      </c>
      <c r="G933" s="4" t="n">
        <v>0</v>
      </c>
      <c r="H933" s="2" t="s">
        <v>1385</v>
      </c>
    </row>
    <row r="934" customFormat="false" ht="15" hidden="false" customHeight="false" outlineLevel="0" collapsed="false">
      <c r="A934" s="2" t="s">
        <v>22</v>
      </c>
      <c r="B934" s="2" t="s">
        <v>2677</v>
      </c>
      <c r="C934" s="2" t="s">
        <v>2678</v>
      </c>
      <c r="D934" s="2" t="s">
        <v>2679</v>
      </c>
      <c r="E934" s="4" t="n">
        <v>76.92</v>
      </c>
      <c r="F934" s="4" t="n">
        <v>7</v>
      </c>
      <c r="G934" s="4" t="n">
        <v>69.92</v>
      </c>
      <c r="H934" s="2" t="s">
        <v>1385</v>
      </c>
    </row>
    <row r="935" customFormat="false" ht="15" hidden="false" customHeight="false" outlineLevel="0" collapsed="false">
      <c r="A935" s="2" t="s">
        <v>22</v>
      </c>
      <c r="B935" s="2" t="s">
        <v>2680</v>
      </c>
      <c r="C935" s="2" t="s">
        <v>2681</v>
      </c>
      <c r="D935" s="2" t="s">
        <v>2682</v>
      </c>
      <c r="E935" s="4" t="n">
        <v>97.28</v>
      </c>
      <c r="F935" s="4" t="n">
        <v>9.1</v>
      </c>
      <c r="G935" s="4" t="n">
        <v>88.18</v>
      </c>
      <c r="H935" s="2" t="s">
        <v>1385</v>
      </c>
    </row>
    <row r="936" customFormat="false" ht="15" hidden="false" customHeight="false" outlineLevel="0" collapsed="false">
      <c r="A936" s="2" t="s">
        <v>22</v>
      </c>
      <c r="B936" s="2" t="s">
        <v>478</v>
      </c>
      <c r="C936" s="2" t="s">
        <v>479</v>
      </c>
      <c r="D936" s="2" t="s">
        <v>480</v>
      </c>
      <c r="E936" s="4" t="n">
        <v>256.07</v>
      </c>
      <c r="F936" s="4" t="n">
        <v>23.29</v>
      </c>
      <c r="G936" s="4" t="n">
        <v>232.78</v>
      </c>
      <c r="H936" s="2" t="s">
        <v>1381</v>
      </c>
    </row>
    <row r="937" customFormat="false" ht="15" hidden="false" customHeight="false" outlineLevel="0" collapsed="false">
      <c r="A937" s="2" t="s">
        <v>22</v>
      </c>
      <c r="B937" s="2" t="s">
        <v>1604</v>
      </c>
      <c r="C937" s="2" t="s">
        <v>2683</v>
      </c>
      <c r="D937" s="2" t="s">
        <v>1606</v>
      </c>
      <c r="E937" s="4" t="n">
        <v>1559.77</v>
      </c>
      <c r="F937" s="4" t="n">
        <v>141.8</v>
      </c>
      <c r="G937" s="4" t="n">
        <v>1417.97</v>
      </c>
      <c r="H937" s="2" t="s">
        <v>1385</v>
      </c>
    </row>
    <row r="938" customFormat="false" ht="15" hidden="false" customHeight="false" outlineLevel="0" collapsed="false">
      <c r="A938" s="2" t="s">
        <v>22</v>
      </c>
      <c r="B938" s="2" t="s">
        <v>945</v>
      </c>
      <c r="C938" s="2" t="s">
        <v>1122</v>
      </c>
      <c r="D938" s="2" t="s">
        <v>947</v>
      </c>
      <c r="E938" s="4" t="n">
        <v>35.59</v>
      </c>
      <c r="F938" s="4" t="n">
        <v>3.24</v>
      </c>
      <c r="G938" s="4" t="n">
        <v>32.35</v>
      </c>
      <c r="H938" s="2" t="s">
        <v>1381</v>
      </c>
    </row>
    <row r="939" customFormat="false" ht="15" hidden="false" customHeight="false" outlineLevel="0" collapsed="false">
      <c r="A939" s="2" t="s">
        <v>22</v>
      </c>
      <c r="B939" s="2" t="s">
        <v>1862</v>
      </c>
      <c r="C939" s="2" t="s">
        <v>2684</v>
      </c>
      <c r="D939" s="2" t="s">
        <v>1864</v>
      </c>
      <c r="E939" s="4" t="n">
        <v>1636.29</v>
      </c>
      <c r="F939" s="4" t="n">
        <v>148.75</v>
      </c>
      <c r="G939" s="4" t="n">
        <v>1487.54</v>
      </c>
      <c r="H939" s="2" t="s">
        <v>1385</v>
      </c>
    </row>
    <row r="940" customFormat="false" ht="15" hidden="false" customHeight="false" outlineLevel="0" collapsed="false">
      <c r="A940" s="2" t="s">
        <v>22</v>
      </c>
      <c r="B940" s="2" t="s">
        <v>1616</v>
      </c>
      <c r="C940" s="2" t="s">
        <v>2685</v>
      </c>
      <c r="D940" s="2" t="s">
        <v>1618</v>
      </c>
      <c r="E940" s="4" t="n">
        <v>216.07</v>
      </c>
      <c r="F940" s="4" t="n">
        <v>19.64</v>
      </c>
      <c r="G940" s="4" t="n">
        <v>196.43</v>
      </c>
      <c r="H940" s="2" t="s">
        <v>1385</v>
      </c>
    </row>
    <row r="941" customFormat="false" ht="15" hidden="false" customHeight="false" outlineLevel="0" collapsed="false">
      <c r="A941" s="2" t="s">
        <v>22</v>
      </c>
      <c r="B941" s="2" t="s">
        <v>1619</v>
      </c>
      <c r="C941" s="2" t="s">
        <v>2686</v>
      </c>
      <c r="D941" s="2" t="s">
        <v>1621</v>
      </c>
      <c r="E941" s="4" t="n">
        <v>76.26</v>
      </c>
      <c r="F941" s="4" t="n">
        <v>6.93</v>
      </c>
      <c r="G941" s="4" t="n">
        <v>69.33</v>
      </c>
      <c r="H941" s="2" t="s">
        <v>1385</v>
      </c>
    </row>
    <row r="942" customFormat="false" ht="15" hidden="false" customHeight="false" outlineLevel="0" collapsed="false">
      <c r="A942" s="2" t="s">
        <v>22</v>
      </c>
      <c r="B942" s="2" t="s">
        <v>1712</v>
      </c>
      <c r="C942" s="2" t="s">
        <v>2687</v>
      </c>
      <c r="D942" s="2" t="s">
        <v>1714</v>
      </c>
      <c r="E942" s="4" t="n">
        <v>1592.62</v>
      </c>
      <c r="F942" s="4" t="n">
        <v>144.78</v>
      </c>
      <c r="G942" s="4" t="n">
        <v>1447.84</v>
      </c>
      <c r="H942" s="2" t="s">
        <v>1385</v>
      </c>
    </row>
    <row r="943" customFormat="false" ht="15" hidden="false" customHeight="false" outlineLevel="0" collapsed="false">
      <c r="A943" s="2" t="s">
        <v>22</v>
      </c>
      <c r="B943" s="2" t="s">
        <v>1688</v>
      </c>
      <c r="C943" s="2" t="s">
        <v>2688</v>
      </c>
      <c r="D943" s="2" t="s">
        <v>1690</v>
      </c>
      <c r="E943" s="4" t="n">
        <v>387.91</v>
      </c>
      <c r="F943" s="4" t="n">
        <v>35.26</v>
      </c>
      <c r="G943" s="4" t="n">
        <v>352.65</v>
      </c>
      <c r="H943" s="2" t="s">
        <v>1385</v>
      </c>
    </row>
    <row r="944" customFormat="false" ht="15" hidden="false" customHeight="false" outlineLevel="0" collapsed="false">
      <c r="A944" s="2" t="s">
        <v>22</v>
      </c>
      <c r="B944" s="2" t="s">
        <v>1772</v>
      </c>
      <c r="C944" s="2" t="s">
        <v>2689</v>
      </c>
      <c r="D944" s="2" t="s">
        <v>1774</v>
      </c>
      <c r="E944" s="4" t="n">
        <v>69.34</v>
      </c>
      <c r="F944" s="4" t="n">
        <v>6.3</v>
      </c>
      <c r="G944" s="4" t="n">
        <v>63.04</v>
      </c>
      <c r="H944" s="2" t="s">
        <v>1385</v>
      </c>
    </row>
    <row r="945" customFormat="false" ht="15" hidden="false" customHeight="false" outlineLevel="0" collapsed="false">
      <c r="A945" s="2" t="s">
        <v>22</v>
      </c>
      <c r="B945" s="2" t="s">
        <v>1547</v>
      </c>
      <c r="C945" s="2" t="s">
        <v>2690</v>
      </c>
      <c r="D945" s="2" t="s">
        <v>1549</v>
      </c>
      <c r="E945" s="4" t="n">
        <v>85.81</v>
      </c>
      <c r="F945" s="4" t="n">
        <v>7.8</v>
      </c>
      <c r="G945" s="4" t="n">
        <v>78.01</v>
      </c>
      <c r="H945" s="2" t="s">
        <v>1385</v>
      </c>
    </row>
    <row r="946" customFormat="false" ht="15" hidden="false" customHeight="false" outlineLevel="0" collapsed="false">
      <c r="A946" s="2" t="s">
        <v>22</v>
      </c>
      <c r="B946" s="2" t="s">
        <v>1622</v>
      </c>
      <c r="C946" s="2" t="s">
        <v>2691</v>
      </c>
      <c r="D946" s="2" t="s">
        <v>1624</v>
      </c>
      <c r="E946" s="4" t="n">
        <v>101.37</v>
      </c>
      <c r="F946" s="4" t="n">
        <v>9.22</v>
      </c>
      <c r="G946" s="4" t="n">
        <v>92.15</v>
      </c>
      <c r="H946" s="2" t="s">
        <v>1385</v>
      </c>
    </row>
    <row r="947" customFormat="false" ht="15" hidden="false" customHeight="false" outlineLevel="0" collapsed="false">
      <c r="A947" s="2" t="s">
        <v>22</v>
      </c>
      <c r="B947" s="2" t="s">
        <v>1760</v>
      </c>
      <c r="C947" s="2" t="s">
        <v>2692</v>
      </c>
      <c r="D947" s="2" t="s">
        <v>1762</v>
      </c>
      <c r="E947" s="4" t="n">
        <v>188.14</v>
      </c>
      <c r="F947" s="4" t="n">
        <v>17.1</v>
      </c>
      <c r="G947" s="4" t="n">
        <v>171.04</v>
      </c>
      <c r="H947" s="2" t="s">
        <v>1385</v>
      </c>
    </row>
    <row r="948" customFormat="false" ht="15" hidden="false" customHeight="false" outlineLevel="0" collapsed="false">
      <c r="A948" s="2" t="s">
        <v>22</v>
      </c>
      <c r="B948" s="2" t="s">
        <v>1019</v>
      </c>
      <c r="C948" s="2" t="s">
        <v>1144</v>
      </c>
      <c r="D948" s="2" t="s">
        <v>1021</v>
      </c>
      <c r="E948" s="4" t="n">
        <v>63.02</v>
      </c>
      <c r="F948" s="4" t="n">
        <v>5.73</v>
      </c>
      <c r="G948" s="4" t="n">
        <v>57.29</v>
      </c>
      <c r="H948" s="2" t="s">
        <v>1381</v>
      </c>
    </row>
    <row r="949" customFormat="false" ht="15" hidden="false" customHeight="false" outlineLevel="0" collapsed="false">
      <c r="A949" s="2" t="s">
        <v>22</v>
      </c>
      <c r="B949" s="2" t="s">
        <v>1751</v>
      </c>
      <c r="C949" s="2" t="s">
        <v>2693</v>
      </c>
      <c r="D949" s="2" t="s">
        <v>1753</v>
      </c>
      <c r="E949" s="4" t="n">
        <v>34.65</v>
      </c>
      <c r="F949" s="4" t="n">
        <v>3.15</v>
      </c>
      <c r="G949" s="4" t="n">
        <v>31.5</v>
      </c>
      <c r="H949" s="2" t="s">
        <v>1385</v>
      </c>
    </row>
    <row r="950" customFormat="false" ht="15" hidden="false" customHeight="false" outlineLevel="0" collapsed="false">
      <c r="A950" s="2" t="s">
        <v>22</v>
      </c>
      <c r="B950" s="2" t="s">
        <v>1026</v>
      </c>
      <c r="C950" s="2" t="s">
        <v>1146</v>
      </c>
      <c r="D950" s="2" t="s">
        <v>1028</v>
      </c>
      <c r="E950" s="4" t="n">
        <v>64.1</v>
      </c>
      <c r="F950" s="4" t="n">
        <v>5.83</v>
      </c>
      <c r="G950" s="4" t="n">
        <v>58.27</v>
      </c>
      <c r="H950" s="2" t="s">
        <v>1381</v>
      </c>
    </row>
    <row r="951" customFormat="false" ht="15" hidden="false" customHeight="false" outlineLevel="0" collapsed="false">
      <c r="A951" s="2" t="s">
        <v>22</v>
      </c>
      <c r="B951" s="2" t="s">
        <v>1778</v>
      </c>
      <c r="C951" s="2" t="s">
        <v>2694</v>
      </c>
      <c r="D951" s="2" t="s">
        <v>2445</v>
      </c>
      <c r="E951" s="4" t="n">
        <v>60.24</v>
      </c>
      <c r="F951" s="4" t="n">
        <v>5.48</v>
      </c>
      <c r="G951" s="4" t="n">
        <v>54.76</v>
      </c>
      <c r="H951" s="2" t="s">
        <v>1385</v>
      </c>
    </row>
    <row r="952" customFormat="false" ht="15" hidden="false" customHeight="false" outlineLevel="0" collapsed="false">
      <c r="A952" s="2" t="s">
        <v>22</v>
      </c>
      <c r="B952" s="2" t="s">
        <v>1634</v>
      </c>
      <c r="C952" s="2" t="s">
        <v>2695</v>
      </c>
      <c r="D952" s="2" t="s">
        <v>1636</v>
      </c>
      <c r="E952" s="4" t="n">
        <v>30.96</v>
      </c>
      <c r="F952" s="4" t="n">
        <v>2.81</v>
      </c>
      <c r="G952" s="4" t="n">
        <v>28.15</v>
      </c>
      <c r="H952" s="2" t="s">
        <v>1385</v>
      </c>
    </row>
    <row r="953" customFormat="false" ht="15" hidden="false" customHeight="false" outlineLevel="0" collapsed="false">
      <c r="A953" s="2" t="s">
        <v>22</v>
      </c>
      <c r="B953" s="2" t="s">
        <v>1733</v>
      </c>
      <c r="C953" s="2" t="s">
        <v>2696</v>
      </c>
      <c r="D953" s="2" t="s">
        <v>2697</v>
      </c>
      <c r="E953" s="4" t="n">
        <v>5141.65</v>
      </c>
      <c r="F953" s="4" t="n">
        <v>467.42</v>
      </c>
      <c r="G953" s="4" t="n">
        <v>4674.23</v>
      </c>
      <c r="H953" s="2" t="s">
        <v>1385</v>
      </c>
    </row>
    <row r="954" customFormat="false" ht="15" hidden="false" customHeight="false" outlineLevel="0" collapsed="false">
      <c r="A954" s="2" t="s">
        <v>22</v>
      </c>
      <c r="B954" s="2" t="s">
        <v>1868</v>
      </c>
      <c r="C954" s="2" t="s">
        <v>2698</v>
      </c>
      <c r="D954" s="2" t="s">
        <v>1870</v>
      </c>
      <c r="E954" s="4" t="n">
        <v>359.55</v>
      </c>
      <c r="F954" s="4" t="n">
        <v>32.69</v>
      </c>
      <c r="G954" s="4" t="n">
        <v>326.86</v>
      </c>
      <c r="H954" s="2" t="s">
        <v>1385</v>
      </c>
    </row>
    <row r="955" customFormat="false" ht="15" hidden="false" customHeight="false" outlineLevel="0" collapsed="false">
      <c r="A955" s="2" t="s">
        <v>22</v>
      </c>
      <c r="B955" s="2" t="s">
        <v>1673</v>
      </c>
      <c r="C955" s="2" t="s">
        <v>2699</v>
      </c>
      <c r="D955" s="2" t="s">
        <v>1675</v>
      </c>
      <c r="E955" s="4" t="n">
        <v>329.96</v>
      </c>
      <c r="F955" s="4" t="n">
        <v>30</v>
      </c>
      <c r="G955" s="4" t="n">
        <v>299.96</v>
      </c>
      <c r="H955" s="2" t="s">
        <v>1385</v>
      </c>
    </row>
    <row r="956" customFormat="false" ht="15" hidden="false" customHeight="false" outlineLevel="0" collapsed="false">
      <c r="A956" s="2" t="s">
        <v>22</v>
      </c>
      <c r="B956" s="2" t="s">
        <v>1703</v>
      </c>
      <c r="C956" s="2" t="s">
        <v>2700</v>
      </c>
      <c r="D956" s="2" t="s">
        <v>1705</v>
      </c>
      <c r="E956" s="4" t="n">
        <v>104.53</v>
      </c>
      <c r="F956" s="4" t="n">
        <v>9.5</v>
      </c>
      <c r="G956" s="4" t="n">
        <v>95.03</v>
      </c>
      <c r="H956" s="2" t="s">
        <v>1385</v>
      </c>
    </row>
    <row r="957" customFormat="false" ht="15" hidden="false" customHeight="false" outlineLevel="0" collapsed="false">
      <c r="A957" s="2" t="s">
        <v>22</v>
      </c>
      <c r="B957" s="2" t="s">
        <v>1607</v>
      </c>
      <c r="C957" s="2" t="s">
        <v>2701</v>
      </c>
      <c r="D957" s="2" t="s">
        <v>1609</v>
      </c>
      <c r="E957" s="4" t="n">
        <v>63.08</v>
      </c>
      <c r="F957" s="4" t="n">
        <v>5.73</v>
      </c>
      <c r="G957" s="4" t="n">
        <v>57.35</v>
      </c>
      <c r="H957" s="2" t="s">
        <v>1385</v>
      </c>
    </row>
    <row r="958" customFormat="false" ht="15" hidden="false" customHeight="false" outlineLevel="0" collapsed="false">
      <c r="A958" s="2" t="s">
        <v>22</v>
      </c>
      <c r="B958" s="2" t="s">
        <v>896</v>
      </c>
      <c r="C958" s="2" t="s">
        <v>1202</v>
      </c>
      <c r="D958" s="2" t="s">
        <v>898</v>
      </c>
      <c r="E958" s="4" t="n">
        <v>56.63</v>
      </c>
      <c r="F958" s="4" t="n">
        <v>5.15</v>
      </c>
      <c r="G958" s="4" t="n">
        <v>51.48</v>
      </c>
      <c r="H958" s="2" t="s">
        <v>1381</v>
      </c>
    </row>
    <row r="959" customFormat="false" ht="15" hidden="false" customHeight="false" outlineLevel="0" collapsed="false">
      <c r="A959" s="2" t="s">
        <v>22</v>
      </c>
      <c r="B959" s="2" t="s">
        <v>1640</v>
      </c>
      <c r="C959" s="2" t="s">
        <v>2702</v>
      </c>
      <c r="D959" s="2" t="s">
        <v>1642</v>
      </c>
      <c r="E959" s="4" t="n">
        <v>2079.75</v>
      </c>
      <c r="F959" s="4" t="n">
        <v>189.07</v>
      </c>
      <c r="G959" s="4" t="n">
        <v>1890.68</v>
      </c>
      <c r="H959" s="2" t="s">
        <v>1385</v>
      </c>
    </row>
    <row r="960" customFormat="false" ht="15" hidden="false" customHeight="false" outlineLevel="0" collapsed="false">
      <c r="A960" s="2" t="s">
        <v>22</v>
      </c>
      <c r="B960" s="2" t="s">
        <v>661</v>
      </c>
      <c r="C960" s="2" t="s">
        <v>716</v>
      </c>
      <c r="D960" s="2" t="s">
        <v>663</v>
      </c>
      <c r="E960" s="4" t="n">
        <v>96.83</v>
      </c>
      <c r="F960" s="4" t="n">
        <v>8.8</v>
      </c>
      <c r="G960" s="4" t="n">
        <v>88.03</v>
      </c>
      <c r="H960" s="2" t="s">
        <v>1381</v>
      </c>
    </row>
    <row r="961" customFormat="false" ht="15" hidden="false" customHeight="false" outlineLevel="0" collapsed="false">
      <c r="A961" s="2" t="s">
        <v>22</v>
      </c>
      <c r="B961" s="2" t="s">
        <v>1250</v>
      </c>
      <c r="C961" s="2" t="s">
        <v>1308</v>
      </c>
      <c r="D961" s="2" t="s">
        <v>1252</v>
      </c>
      <c r="E961" s="4" t="n">
        <v>37.4</v>
      </c>
      <c r="F961" s="4" t="n">
        <v>3.4</v>
      </c>
      <c r="G961" s="4" t="n">
        <v>34</v>
      </c>
      <c r="H961" s="2" t="s">
        <v>1381</v>
      </c>
    </row>
    <row r="962" customFormat="false" ht="15" hidden="false" customHeight="false" outlineLevel="0" collapsed="false">
      <c r="A962" s="2" t="s">
        <v>22</v>
      </c>
      <c r="B962" s="2" t="s">
        <v>533</v>
      </c>
      <c r="C962" s="2" t="s">
        <v>1126</v>
      </c>
      <c r="D962" s="2" t="s">
        <v>535</v>
      </c>
      <c r="E962" s="4" t="n">
        <v>34.65</v>
      </c>
      <c r="F962" s="4" t="n">
        <v>3.15</v>
      </c>
      <c r="G962" s="4" t="n">
        <v>31.5</v>
      </c>
      <c r="H962" s="2" t="s">
        <v>1381</v>
      </c>
    </row>
    <row r="963" customFormat="false" ht="15" hidden="false" customHeight="false" outlineLevel="0" collapsed="false">
      <c r="A963" s="2" t="s">
        <v>22</v>
      </c>
      <c r="B963" s="2" t="s">
        <v>1724</v>
      </c>
      <c r="C963" s="2" t="s">
        <v>2703</v>
      </c>
      <c r="D963" s="2" t="s">
        <v>1726</v>
      </c>
      <c r="E963" s="4" t="n">
        <v>58.17</v>
      </c>
      <c r="F963" s="4" t="n">
        <v>5.29</v>
      </c>
      <c r="G963" s="4" t="n">
        <v>52.88</v>
      </c>
      <c r="H963" s="2" t="s">
        <v>1385</v>
      </c>
    </row>
    <row r="964" customFormat="false" ht="15" hidden="false" customHeight="false" outlineLevel="0" collapsed="false">
      <c r="A964" s="2" t="s">
        <v>22</v>
      </c>
      <c r="B964" s="2" t="s">
        <v>1829</v>
      </c>
      <c r="C964" s="2" t="s">
        <v>2704</v>
      </c>
      <c r="D964" s="2" t="s">
        <v>1831</v>
      </c>
      <c r="E964" s="4" t="n">
        <v>47.97</v>
      </c>
      <c r="F964" s="4" t="n">
        <v>4.36</v>
      </c>
      <c r="G964" s="4" t="n">
        <v>43.61</v>
      </c>
      <c r="H964" s="2" t="s">
        <v>1385</v>
      </c>
    </row>
    <row r="965" customFormat="false" ht="15" hidden="false" customHeight="false" outlineLevel="0" collapsed="false">
      <c r="A965" s="2" t="s">
        <v>22</v>
      </c>
      <c r="B965" s="2" t="s">
        <v>1679</v>
      </c>
      <c r="C965" s="2" t="s">
        <v>2705</v>
      </c>
      <c r="D965" s="2" t="s">
        <v>1681</v>
      </c>
      <c r="E965" s="4" t="n">
        <v>169.19</v>
      </c>
      <c r="F965" s="4" t="n">
        <v>15.38</v>
      </c>
      <c r="G965" s="4" t="n">
        <v>153.81</v>
      </c>
      <c r="H965" s="2" t="s">
        <v>1385</v>
      </c>
    </row>
    <row r="966" customFormat="false" ht="15" hidden="false" customHeight="false" outlineLevel="0" collapsed="false">
      <c r="A966" s="2" t="s">
        <v>22</v>
      </c>
      <c r="B966" s="2" t="s">
        <v>1571</v>
      </c>
      <c r="C966" s="2" t="s">
        <v>2706</v>
      </c>
      <c r="D966" s="2" t="s">
        <v>1573</v>
      </c>
      <c r="E966" s="4" t="n">
        <v>198.75</v>
      </c>
      <c r="F966" s="4" t="n">
        <v>18.07</v>
      </c>
      <c r="G966" s="4" t="n">
        <v>180.68</v>
      </c>
      <c r="H966" s="2" t="s">
        <v>1385</v>
      </c>
    </row>
    <row r="967" customFormat="false" ht="15" hidden="false" customHeight="false" outlineLevel="0" collapsed="false">
      <c r="A967" s="2" t="s">
        <v>22</v>
      </c>
      <c r="B967" s="2" t="s">
        <v>1598</v>
      </c>
      <c r="C967" s="2" t="s">
        <v>2707</v>
      </c>
      <c r="D967" s="2" t="s">
        <v>1600</v>
      </c>
      <c r="E967" s="4" t="n">
        <v>74.36</v>
      </c>
      <c r="F967" s="4" t="n">
        <v>6.76</v>
      </c>
      <c r="G967" s="4" t="n">
        <v>67.6</v>
      </c>
      <c r="H967" s="2" t="s">
        <v>1385</v>
      </c>
    </row>
    <row r="968" customFormat="false" ht="15" hidden="false" customHeight="false" outlineLevel="0" collapsed="false">
      <c r="A968" s="2" t="s">
        <v>22</v>
      </c>
      <c r="B968" s="2" t="s">
        <v>1658</v>
      </c>
      <c r="C968" s="2" t="s">
        <v>2708</v>
      </c>
      <c r="D968" s="2" t="s">
        <v>1660</v>
      </c>
      <c r="E968" s="4" t="n">
        <v>85.74</v>
      </c>
      <c r="F968" s="4" t="n">
        <v>7.79</v>
      </c>
      <c r="G968" s="4" t="n">
        <v>77.95</v>
      </c>
      <c r="H968" s="2" t="s">
        <v>1385</v>
      </c>
    </row>
    <row r="969" customFormat="false" ht="15" hidden="false" customHeight="false" outlineLevel="0" collapsed="false">
      <c r="A969" s="2" t="s">
        <v>22</v>
      </c>
      <c r="B969" s="2" t="s">
        <v>1787</v>
      </c>
      <c r="C969" s="2" t="s">
        <v>2709</v>
      </c>
      <c r="D969" s="2" t="s">
        <v>1789</v>
      </c>
      <c r="E969" s="4" t="n">
        <v>218.85</v>
      </c>
      <c r="F969" s="4" t="n">
        <v>19.9</v>
      </c>
      <c r="G969" s="4" t="n">
        <v>198.95</v>
      </c>
      <c r="H969" s="2" t="s">
        <v>1385</v>
      </c>
    </row>
    <row r="970" customFormat="false" ht="15" hidden="false" customHeight="false" outlineLevel="0" collapsed="false">
      <c r="A970" s="2" t="s">
        <v>22</v>
      </c>
      <c r="B970" s="2" t="s">
        <v>999</v>
      </c>
      <c r="C970" s="2" t="s">
        <v>1138</v>
      </c>
      <c r="D970" s="2" t="s">
        <v>1001</v>
      </c>
      <c r="E970" s="4" t="n">
        <v>34.94</v>
      </c>
      <c r="F970" s="4" t="n">
        <v>3.18</v>
      </c>
      <c r="G970" s="4" t="n">
        <v>31.76</v>
      </c>
      <c r="H970" s="2" t="s">
        <v>1381</v>
      </c>
    </row>
    <row r="971" customFormat="false" ht="15" hidden="false" customHeight="false" outlineLevel="0" collapsed="false">
      <c r="A971" s="2" t="s">
        <v>22</v>
      </c>
      <c r="B971" s="2" t="s">
        <v>1012</v>
      </c>
      <c r="C971" s="2" t="s">
        <v>1142</v>
      </c>
      <c r="D971" s="2" t="s">
        <v>1014</v>
      </c>
      <c r="E971" s="4" t="n">
        <v>34.65</v>
      </c>
      <c r="F971" s="4" t="n">
        <v>3.15</v>
      </c>
      <c r="G971" s="4" t="n">
        <v>31.5</v>
      </c>
      <c r="H971" s="2" t="s">
        <v>1381</v>
      </c>
    </row>
    <row r="972" customFormat="false" ht="15" hidden="false" customHeight="false" outlineLevel="0" collapsed="false">
      <c r="A972" s="2" t="s">
        <v>22</v>
      </c>
      <c r="B972" s="2" t="s">
        <v>1790</v>
      </c>
      <c r="C972" s="2" t="s">
        <v>2710</v>
      </c>
      <c r="D972" s="2" t="s">
        <v>1792</v>
      </c>
      <c r="E972" s="4" t="n">
        <v>81.14</v>
      </c>
      <c r="F972" s="4" t="n">
        <v>7.38</v>
      </c>
      <c r="G972" s="4" t="n">
        <v>73.76</v>
      </c>
      <c r="H972" s="2" t="s">
        <v>1385</v>
      </c>
    </row>
    <row r="973" customFormat="false" ht="15" hidden="false" customHeight="false" outlineLevel="0" collapsed="false">
      <c r="A973" s="2" t="s">
        <v>22</v>
      </c>
      <c r="B973" s="2" t="s">
        <v>1841</v>
      </c>
      <c r="C973" s="2" t="s">
        <v>2711</v>
      </c>
      <c r="D973" s="2" t="s">
        <v>1843</v>
      </c>
      <c r="E973" s="4" t="n">
        <v>35.21</v>
      </c>
      <c r="F973" s="4" t="n">
        <v>3.2</v>
      </c>
      <c r="G973" s="4" t="n">
        <v>32.01</v>
      </c>
      <c r="H973" s="2" t="s">
        <v>1385</v>
      </c>
    </row>
    <row r="974" customFormat="false" ht="15" hidden="false" customHeight="false" outlineLevel="0" collapsed="false">
      <c r="A974" s="2" t="s">
        <v>22</v>
      </c>
      <c r="B974" s="2" t="s">
        <v>1823</v>
      </c>
      <c r="C974" s="2" t="s">
        <v>2712</v>
      </c>
      <c r="D974" s="2" t="s">
        <v>1825</v>
      </c>
      <c r="E974" s="4" t="n">
        <v>91.47</v>
      </c>
      <c r="F974" s="4" t="n">
        <v>8.32</v>
      </c>
      <c r="G974" s="4" t="n">
        <v>83.15</v>
      </c>
      <c r="H974" s="2" t="s">
        <v>1385</v>
      </c>
    </row>
    <row r="975" customFormat="false" ht="15" hidden="false" customHeight="false" outlineLevel="0" collapsed="false">
      <c r="A975" s="2" t="s">
        <v>22</v>
      </c>
      <c r="B975" s="2" t="s">
        <v>1544</v>
      </c>
      <c r="C975" s="2" t="s">
        <v>2713</v>
      </c>
      <c r="D975" s="2" t="s">
        <v>1546</v>
      </c>
      <c r="E975" s="4" t="n">
        <v>49.54</v>
      </c>
      <c r="F975" s="4" t="n">
        <v>4.51</v>
      </c>
      <c r="G975" s="4" t="n">
        <v>45.03</v>
      </c>
      <c r="H975" s="2" t="s">
        <v>1385</v>
      </c>
    </row>
    <row r="976" customFormat="false" ht="15" hidden="false" customHeight="false" outlineLevel="0" collapsed="false">
      <c r="A976" s="2" t="s">
        <v>22</v>
      </c>
      <c r="B976" s="2" t="s">
        <v>822</v>
      </c>
      <c r="C976" s="2" t="s">
        <v>1120</v>
      </c>
      <c r="D976" s="2" t="s">
        <v>824</v>
      </c>
      <c r="E976" s="4" t="n">
        <v>64.88</v>
      </c>
      <c r="F976" s="4" t="n">
        <v>5.9</v>
      </c>
      <c r="G976" s="4" t="n">
        <v>58.98</v>
      </c>
      <c r="H976" s="2" t="s">
        <v>1381</v>
      </c>
    </row>
    <row r="977" customFormat="false" ht="15" hidden="false" customHeight="false" outlineLevel="0" collapsed="false">
      <c r="A977" s="2" t="s">
        <v>22</v>
      </c>
      <c r="B977" s="2" t="s">
        <v>965</v>
      </c>
      <c r="C977" s="2" t="s">
        <v>1132</v>
      </c>
      <c r="D977" s="2" t="s">
        <v>967</v>
      </c>
      <c r="E977" s="4" t="n">
        <v>34.65</v>
      </c>
      <c r="F977" s="4" t="n">
        <v>3.15</v>
      </c>
      <c r="G977" s="4" t="n">
        <v>31.5</v>
      </c>
      <c r="H977" s="2" t="s">
        <v>1381</v>
      </c>
    </row>
    <row r="978" customFormat="false" ht="15" hidden="false" customHeight="false" outlineLevel="0" collapsed="false">
      <c r="A978" s="2" t="s">
        <v>22</v>
      </c>
      <c r="B978" s="2" t="s">
        <v>1745</v>
      </c>
      <c r="C978" s="2" t="s">
        <v>2714</v>
      </c>
      <c r="D978" s="2" t="s">
        <v>1747</v>
      </c>
      <c r="E978" s="4" t="n">
        <v>36.12</v>
      </c>
      <c r="F978" s="4" t="n">
        <v>3.28</v>
      </c>
      <c r="G978" s="4" t="n">
        <v>32.84</v>
      </c>
      <c r="H978" s="2" t="s">
        <v>1385</v>
      </c>
    </row>
    <row r="979" customFormat="false" ht="15" hidden="false" customHeight="false" outlineLevel="0" collapsed="false">
      <c r="A979" s="2" t="s">
        <v>22</v>
      </c>
      <c r="B979" s="2" t="s">
        <v>1871</v>
      </c>
      <c r="C979" s="2" t="s">
        <v>2715</v>
      </c>
      <c r="D979" s="2" t="s">
        <v>1873</v>
      </c>
      <c r="E979" s="4" t="n">
        <v>76.87</v>
      </c>
      <c r="F979" s="4" t="n">
        <v>6.99</v>
      </c>
      <c r="G979" s="4" t="n">
        <v>69.88</v>
      </c>
      <c r="H979" s="2" t="s">
        <v>1385</v>
      </c>
    </row>
    <row r="980" customFormat="false" ht="15" hidden="false" customHeight="false" outlineLevel="0" collapsed="false">
      <c r="A980" s="2" t="s">
        <v>22</v>
      </c>
      <c r="B980" s="2" t="s">
        <v>816</v>
      </c>
      <c r="C980" s="2" t="s">
        <v>1130</v>
      </c>
      <c r="D980" s="2" t="s">
        <v>818</v>
      </c>
      <c r="E980" s="4" t="n">
        <v>68.51</v>
      </c>
      <c r="F980" s="4" t="n">
        <v>6.23</v>
      </c>
      <c r="G980" s="4" t="n">
        <v>62.28</v>
      </c>
      <c r="H980" s="2" t="s">
        <v>1381</v>
      </c>
    </row>
    <row r="981" customFormat="false" ht="15" hidden="false" customHeight="false" outlineLevel="0" collapsed="false">
      <c r="A981" s="2" t="s">
        <v>22</v>
      </c>
      <c r="B981" s="2" t="s">
        <v>958</v>
      </c>
      <c r="C981" s="2" t="s">
        <v>1128</v>
      </c>
      <c r="D981" s="2" t="s">
        <v>960</v>
      </c>
      <c r="E981" s="4" t="n">
        <v>39.6</v>
      </c>
      <c r="F981" s="4" t="n">
        <v>3.6</v>
      </c>
      <c r="G981" s="4" t="n">
        <v>36</v>
      </c>
      <c r="H981" s="2" t="s">
        <v>1381</v>
      </c>
    </row>
    <row r="982" customFormat="false" ht="15" hidden="false" customHeight="false" outlineLevel="0" collapsed="false">
      <c r="A982" s="2" t="s">
        <v>22</v>
      </c>
      <c r="B982" s="2" t="s">
        <v>1832</v>
      </c>
      <c r="C982" s="2" t="s">
        <v>2716</v>
      </c>
      <c r="D982" s="2" t="s">
        <v>1834</v>
      </c>
      <c r="E982" s="4" t="n">
        <v>391.29</v>
      </c>
      <c r="F982" s="4" t="n">
        <v>35.57</v>
      </c>
      <c r="G982" s="4" t="n">
        <v>355.72</v>
      </c>
      <c r="H982" s="2" t="s">
        <v>1385</v>
      </c>
    </row>
    <row r="983" customFormat="false" ht="15" hidden="false" customHeight="false" outlineLevel="0" collapsed="false">
      <c r="A983" s="2" t="s">
        <v>22</v>
      </c>
      <c r="B983" s="2" t="s">
        <v>1649</v>
      </c>
      <c r="C983" s="2" t="s">
        <v>2717</v>
      </c>
      <c r="D983" s="2" t="s">
        <v>1651</v>
      </c>
      <c r="E983" s="4" t="n">
        <v>28.27</v>
      </c>
      <c r="F983" s="4" t="n">
        <v>2.57</v>
      </c>
      <c r="G983" s="4" t="n">
        <v>25.7</v>
      </c>
      <c r="H983" s="2" t="s">
        <v>1385</v>
      </c>
    </row>
    <row r="984" customFormat="false" ht="15" hidden="false" customHeight="false" outlineLevel="0" collapsed="false">
      <c r="A984" s="2" t="s">
        <v>22</v>
      </c>
      <c r="B984" s="2" t="s">
        <v>1256</v>
      </c>
      <c r="C984" s="2" t="s">
        <v>1310</v>
      </c>
      <c r="D984" s="2" t="s">
        <v>1258</v>
      </c>
      <c r="E984" s="4" t="n">
        <v>27.01</v>
      </c>
      <c r="F984" s="4" t="n">
        <v>2.46</v>
      </c>
      <c r="G984" s="4" t="n">
        <v>24.55</v>
      </c>
      <c r="H984" s="2" t="s">
        <v>1381</v>
      </c>
    </row>
    <row r="985" customFormat="false" ht="15" hidden="false" customHeight="false" outlineLevel="0" collapsed="false">
      <c r="A985" s="2" t="s">
        <v>22</v>
      </c>
      <c r="B985" s="2" t="s">
        <v>1769</v>
      </c>
      <c r="C985" s="2" t="s">
        <v>2718</v>
      </c>
      <c r="D985" s="2" t="s">
        <v>1771</v>
      </c>
      <c r="E985" s="4" t="n">
        <v>220.29</v>
      </c>
      <c r="F985" s="4" t="n">
        <v>20.03</v>
      </c>
      <c r="G985" s="4" t="n">
        <v>200.26</v>
      </c>
      <c r="H985" s="2" t="s">
        <v>1385</v>
      </c>
    </row>
    <row r="986" customFormat="false" ht="15" hidden="false" customHeight="false" outlineLevel="0" collapsed="false">
      <c r="A986" s="2" t="s">
        <v>22</v>
      </c>
      <c r="B986" s="2" t="s">
        <v>1532</v>
      </c>
      <c r="C986" s="2" t="s">
        <v>2719</v>
      </c>
      <c r="D986" s="2" t="s">
        <v>1534</v>
      </c>
      <c r="E986" s="4" t="n">
        <v>421.12</v>
      </c>
      <c r="F986" s="4" t="n">
        <v>38.28</v>
      </c>
      <c r="G986" s="4" t="n">
        <v>382.84</v>
      </c>
      <c r="H986" s="2" t="s">
        <v>1385</v>
      </c>
    </row>
    <row r="987" customFormat="false" ht="15" hidden="false" customHeight="false" outlineLevel="0" collapsed="false">
      <c r="A987" s="2" t="s">
        <v>22</v>
      </c>
      <c r="B987" s="2" t="s">
        <v>1559</v>
      </c>
      <c r="C987" s="2" t="s">
        <v>2720</v>
      </c>
      <c r="D987" s="2" t="s">
        <v>1561</v>
      </c>
      <c r="E987" s="4" t="n">
        <v>51.5</v>
      </c>
      <c r="F987" s="4" t="n">
        <v>4.68</v>
      </c>
      <c r="G987" s="4" t="n">
        <v>46.82</v>
      </c>
      <c r="H987" s="2" t="s">
        <v>1385</v>
      </c>
    </row>
    <row r="988" customFormat="false" ht="15" hidden="false" customHeight="false" outlineLevel="0" collapsed="false">
      <c r="A988" s="2" t="s">
        <v>22</v>
      </c>
      <c r="B988" s="2" t="s">
        <v>1754</v>
      </c>
      <c r="C988" s="2" t="s">
        <v>2721</v>
      </c>
      <c r="D988" s="2" t="s">
        <v>1756</v>
      </c>
      <c r="E988" s="4" t="n">
        <v>92.14</v>
      </c>
      <c r="F988" s="4" t="n">
        <v>8.38</v>
      </c>
      <c r="G988" s="4" t="n">
        <v>83.76</v>
      </c>
      <c r="H988" s="2" t="s">
        <v>1385</v>
      </c>
    </row>
    <row r="989" customFormat="false" ht="15" hidden="false" customHeight="false" outlineLevel="0" collapsed="false">
      <c r="A989" s="2" t="s">
        <v>22</v>
      </c>
      <c r="B989" s="2" t="s">
        <v>1766</v>
      </c>
      <c r="C989" s="2" t="s">
        <v>2722</v>
      </c>
      <c r="D989" s="2" t="s">
        <v>1768</v>
      </c>
      <c r="E989" s="4" t="n">
        <v>451.01</v>
      </c>
      <c r="F989" s="4" t="n">
        <v>41</v>
      </c>
      <c r="G989" s="4" t="n">
        <v>410.01</v>
      </c>
      <c r="H989" s="2" t="s">
        <v>1385</v>
      </c>
    </row>
    <row r="990" customFormat="false" ht="15" hidden="false" customHeight="false" outlineLevel="0" collapsed="false">
      <c r="A990" s="2" t="s">
        <v>22</v>
      </c>
      <c r="B990" s="2" t="s">
        <v>1757</v>
      </c>
      <c r="C990" s="2" t="s">
        <v>2723</v>
      </c>
      <c r="D990" s="2" t="s">
        <v>1759</v>
      </c>
      <c r="E990" s="4" t="n">
        <v>168.11</v>
      </c>
      <c r="F990" s="4" t="n">
        <v>15.28</v>
      </c>
      <c r="G990" s="4" t="n">
        <v>152.83</v>
      </c>
      <c r="H990" s="2" t="s">
        <v>1385</v>
      </c>
    </row>
    <row r="991" customFormat="false" ht="15" hidden="false" customHeight="false" outlineLevel="0" collapsed="false">
      <c r="A991" s="2" t="s">
        <v>22</v>
      </c>
      <c r="B991" s="2" t="s">
        <v>1784</v>
      </c>
      <c r="C991" s="2" t="s">
        <v>2724</v>
      </c>
      <c r="D991" s="2" t="s">
        <v>1786</v>
      </c>
      <c r="E991" s="4" t="n">
        <v>84.05</v>
      </c>
      <c r="F991" s="4" t="n">
        <v>7.64</v>
      </c>
      <c r="G991" s="4" t="n">
        <v>76.41</v>
      </c>
      <c r="H991" s="2" t="s">
        <v>1385</v>
      </c>
    </row>
    <row r="992" customFormat="false" ht="15" hidden="false" customHeight="false" outlineLevel="0" collapsed="false">
      <c r="A992" s="2" t="s">
        <v>22</v>
      </c>
      <c r="B992" s="2" t="s">
        <v>1538</v>
      </c>
      <c r="C992" s="2" t="s">
        <v>2725</v>
      </c>
      <c r="D992" s="2" t="s">
        <v>1540</v>
      </c>
      <c r="E992" s="4" t="n">
        <v>206.2</v>
      </c>
      <c r="F992" s="4" t="n">
        <v>18.75</v>
      </c>
      <c r="G992" s="4" t="n">
        <v>187.45</v>
      </c>
      <c r="H992" s="2" t="s">
        <v>1385</v>
      </c>
    </row>
    <row r="993" customFormat="false" ht="15" hidden="false" customHeight="false" outlineLevel="0" collapsed="false">
      <c r="A993" s="2" t="s">
        <v>22</v>
      </c>
      <c r="B993" s="2" t="s">
        <v>1877</v>
      </c>
      <c r="C993" s="2" t="s">
        <v>2726</v>
      </c>
      <c r="D993" s="2" t="s">
        <v>1879</v>
      </c>
      <c r="E993" s="4" t="n">
        <v>387.69</v>
      </c>
      <c r="F993" s="4" t="n">
        <v>35.24</v>
      </c>
      <c r="G993" s="4" t="n">
        <v>352.45</v>
      </c>
      <c r="H993" s="2" t="s">
        <v>1385</v>
      </c>
    </row>
    <row r="994" customFormat="false" ht="15" hidden="false" customHeight="false" outlineLevel="0" collapsed="false">
      <c r="A994" s="2" t="s">
        <v>22</v>
      </c>
      <c r="B994" s="2" t="s">
        <v>1205</v>
      </c>
      <c r="C994" s="2" t="s">
        <v>1312</v>
      </c>
      <c r="D994" s="2" t="s">
        <v>1207</v>
      </c>
      <c r="E994" s="4" t="n">
        <v>50.74</v>
      </c>
      <c r="F994" s="4" t="n">
        <v>4.62</v>
      </c>
      <c r="G994" s="4" t="n">
        <v>46.12</v>
      </c>
      <c r="H994" s="2" t="s">
        <v>1381</v>
      </c>
    </row>
    <row r="995" customFormat="false" ht="15" hidden="false" customHeight="false" outlineLevel="0" collapsed="false">
      <c r="A995" s="2" t="s">
        <v>22</v>
      </c>
      <c r="B995" s="2" t="s">
        <v>1808</v>
      </c>
      <c r="C995" s="2" t="s">
        <v>2727</v>
      </c>
      <c r="D995" s="2" t="s">
        <v>1810</v>
      </c>
      <c r="E995" s="4" t="n">
        <v>59.61</v>
      </c>
      <c r="F995" s="4" t="n">
        <v>5.42</v>
      </c>
      <c r="G995" s="4" t="n">
        <v>54.19</v>
      </c>
      <c r="H995" s="2" t="s">
        <v>1385</v>
      </c>
    </row>
    <row r="996" customFormat="false" ht="15" hidden="false" customHeight="false" outlineLevel="0" collapsed="false">
      <c r="A996" s="2" t="s">
        <v>22</v>
      </c>
      <c r="B996" s="2" t="s">
        <v>1265</v>
      </c>
      <c r="C996" s="2" t="s">
        <v>1314</v>
      </c>
      <c r="D996" s="2" t="s">
        <v>1267</v>
      </c>
      <c r="E996" s="4" t="n">
        <v>30.28</v>
      </c>
      <c r="F996" s="4" t="n">
        <v>2.76</v>
      </c>
      <c r="G996" s="4" t="n">
        <v>27.52</v>
      </c>
      <c r="H996" s="2" t="s">
        <v>1381</v>
      </c>
    </row>
    <row r="997" customFormat="false" ht="15" hidden="false" customHeight="false" outlineLevel="0" collapsed="false">
      <c r="A997" s="2" t="s">
        <v>22</v>
      </c>
      <c r="B997" s="2" t="s">
        <v>971</v>
      </c>
      <c r="C997" s="2" t="s">
        <v>1134</v>
      </c>
      <c r="D997" s="2" t="s">
        <v>973</v>
      </c>
      <c r="E997" s="4" t="n">
        <v>35.38</v>
      </c>
      <c r="F997" s="4" t="n">
        <v>3.22</v>
      </c>
      <c r="G997" s="4" t="n">
        <v>32.16</v>
      </c>
      <c r="H997" s="2" t="s">
        <v>1381</v>
      </c>
    </row>
    <row r="998" customFormat="false" ht="15" hidden="false" customHeight="false" outlineLevel="0" collapsed="false">
      <c r="A998" s="2" t="s">
        <v>22</v>
      </c>
      <c r="B998" s="2" t="s">
        <v>1652</v>
      </c>
      <c r="C998" s="2" t="s">
        <v>2728</v>
      </c>
      <c r="D998" s="2" t="s">
        <v>1654</v>
      </c>
      <c r="E998" s="4" t="n">
        <v>69.96</v>
      </c>
      <c r="F998" s="4" t="n">
        <v>6.36</v>
      </c>
      <c r="G998" s="4" t="n">
        <v>63.6</v>
      </c>
      <c r="H998" s="2" t="s">
        <v>1385</v>
      </c>
    </row>
    <row r="999" customFormat="false" ht="15" hidden="false" customHeight="false" outlineLevel="0" collapsed="false">
      <c r="A999" s="2" t="s">
        <v>22</v>
      </c>
      <c r="B999" s="2" t="s">
        <v>185</v>
      </c>
      <c r="C999" s="2" t="s">
        <v>1316</v>
      </c>
      <c r="D999" s="2" t="s">
        <v>187</v>
      </c>
      <c r="E999" s="4" t="n">
        <v>27.06</v>
      </c>
      <c r="F999" s="4" t="n">
        <v>2.46</v>
      </c>
      <c r="G999" s="4" t="n">
        <v>24.6</v>
      </c>
      <c r="H999" s="2" t="s">
        <v>1381</v>
      </c>
    </row>
    <row r="1000" customFormat="false" ht="15" hidden="false" customHeight="false" outlineLevel="0" collapsed="false">
      <c r="A1000" s="2" t="s">
        <v>22</v>
      </c>
      <c r="B1000" s="2" t="s">
        <v>1850</v>
      </c>
      <c r="C1000" s="2" t="s">
        <v>2729</v>
      </c>
      <c r="D1000" s="2" t="s">
        <v>1852</v>
      </c>
      <c r="E1000" s="4" t="n">
        <v>71.05</v>
      </c>
      <c r="F1000" s="4" t="n">
        <v>6.46</v>
      </c>
      <c r="G1000" s="4" t="n">
        <v>64.59</v>
      </c>
      <c r="H1000" s="2" t="s">
        <v>1385</v>
      </c>
    </row>
    <row r="1001" customFormat="false" ht="15" hidden="false" customHeight="false" outlineLevel="0" collapsed="false">
      <c r="A1001" s="2" t="s">
        <v>22</v>
      </c>
      <c r="B1001" s="2" t="s">
        <v>1646</v>
      </c>
      <c r="C1001" s="2" t="s">
        <v>2730</v>
      </c>
      <c r="D1001" s="2" t="s">
        <v>1648</v>
      </c>
      <c r="E1001" s="4" t="n">
        <v>34.65</v>
      </c>
      <c r="F1001" s="4" t="n">
        <v>3.15</v>
      </c>
      <c r="G1001" s="4" t="n">
        <v>31.5</v>
      </c>
      <c r="H1001" s="2" t="s">
        <v>1385</v>
      </c>
    </row>
    <row r="1002" customFormat="false" ht="15" hidden="false" customHeight="false" outlineLevel="0" collapsed="false">
      <c r="A1002" s="2" t="s">
        <v>22</v>
      </c>
      <c r="B1002" s="2" t="s">
        <v>1721</v>
      </c>
      <c r="C1002" s="2" t="s">
        <v>2731</v>
      </c>
      <c r="D1002" s="2" t="s">
        <v>1723</v>
      </c>
      <c r="E1002" s="4" t="n">
        <v>34.93</v>
      </c>
      <c r="F1002" s="4" t="n">
        <v>3.18</v>
      </c>
      <c r="G1002" s="4" t="n">
        <v>31.75</v>
      </c>
      <c r="H1002" s="2" t="s">
        <v>1385</v>
      </c>
    </row>
    <row r="1003" customFormat="false" ht="15" hidden="false" customHeight="false" outlineLevel="0" collapsed="false">
      <c r="A1003" s="2" t="s">
        <v>22</v>
      </c>
      <c r="B1003" s="2" t="s">
        <v>1706</v>
      </c>
      <c r="C1003" s="2" t="s">
        <v>2732</v>
      </c>
      <c r="D1003" s="2" t="s">
        <v>1708</v>
      </c>
      <c r="E1003" s="4" t="n">
        <v>35.32</v>
      </c>
      <c r="F1003" s="4" t="n">
        <v>4</v>
      </c>
      <c r="G1003" s="4" t="n">
        <v>31.32</v>
      </c>
      <c r="H1003" s="2" t="s">
        <v>1385</v>
      </c>
    </row>
    <row r="1004" customFormat="false" ht="15" hidden="false" customHeight="false" outlineLevel="0" collapsed="false">
      <c r="A1004" s="2" t="s">
        <v>22</v>
      </c>
      <c r="B1004" s="2" t="s">
        <v>1835</v>
      </c>
      <c r="C1004" s="2" t="s">
        <v>2733</v>
      </c>
      <c r="D1004" s="2" t="s">
        <v>1837</v>
      </c>
      <c r="E1004" s="4" t="n">
        <v>80.83</v>
      </c>
      <c r="F1004" s="4" t="n">
        <v>7.35</v>
      </c>
      <c r="G1004" s="4" t="n">
        <v>73.48</v>
      </c>
      <c r="H1004" s="2" t="s">
        <v>1385</v>
      </c>
    </row>
    <row r="1005" customFormat="false" ht="15" hidden="false" customHeight="false" outlineLevel="0" collapsed="false">
      <c r="A1005" s="2" t="s">
        <v>22</v>
      </c>
      <c r="B1005" s="2" t="s">
        <v>1775</v>
      </c>
      <c r="C1005" s="2" t="s">
        <v>2734</v>
      </c>
      <c r="D1005" s="2" t="s">
        <v>1777</v>
      </c>
      <c r="E1005" s="4" t="n">
        <v>34.68</v>
      </c>
      <c r="F1005" s="4" t="n">
        <v>3.15</v>
      </c>
      <c r="G1005" s="4" t="n">
        <v>31.53</v>
      </c>
      <c r="H1005" s="2" t="s">
        <v>1385</v>
      </c>
    </row>
    <row r="1006" customFormat="false" ht="15" hidden="false" customHeight="false" outlineLevel="0" collapsed="false">
      <c r="A1006" s="2" t="s">
        <v>22</v>
      </c>
      <c r="B1006" s="2" t="s">
        <v>1730</v>
      </c>
      <c r="C1006" s="2" t="s">
        <v>2735</v>
      </c>
      <c r="D1006" s="2" t="s">
        <v>1732</v>
      </c>
      <c r="E1006" s="4" t="n">
        <v>132.88</v>
      </c>
      <c r="F1006" s="4" t="n">
        <v>12.08</v>
      </c>
      <c r="G1006" s="4" t="n">
        <v>120.8</v>
      </c>
      <c r="H1006" s="2" t="s">
        <v>1385</v>
      </c>
    </row>
    <row r="1007" customFormat="false" ht="15" hidden="false" customHeight="false" outlineLevel="0" collapsed="false">
      <c r="A1007" s="2" t="s">
        <v>22</v>
      </c>
      <c r="B1007" s="2" t="s">
        <v>1739</v>
      </c>
      <c r="C1007" s="2" t="s">
        <v>2736</v>
      </c>
      <c r="D1007" s="2" t="s">
        <v>1741</v>
      </c>
      <c r="E1007" s="4" t="n">
        <v>131.3</v>
      </c>
      <c r="F1007" s="4" t="n">
        <v>11.94</v>
      </c>
      <c r="G1007" s="4" t="n">
        <v>119.36</v>
      </c>
      <c r="H1007" s="2" t="s">
        <v>1385</v>
      </c>
    </row>
    <row r="1008" customFormat="false" ht="15" hidden="false" customHeight="false" outlineLevel="0" collapsed="false">
      <c r="A1008" s="2" t="s">
        <v>22</v>
      </c>
      <c r="B1008" s="2" t="s">
        <v>1565</v>
      </c>
      <c r="C1008" s="2" t="s">
        <v>2737</v>
      </c>
      <c r="D1008" s="2" t="s">
        <v>1567</v>
      </c>
      <c r="E1008" s="4" t="n">
        <v>607.93</v>
      </c>
      <c r="F1008" s="4" t="n">
        <v>55.27</v>
      </c>
      <c r="G1008" s="4" t="n">
        <v>552.66</v>
      </c>
      <c r="H1008" s="2" t="s">
        <v>1385</v>
      </c>
    </row>
    <row r="1009" customFormat="false" ht="15" hidden="false" customHeight="false" outlineLevel="0" collapsed="false">
      <c r="A1009" s="2" t="s">
        <v>22</v>
      </c>
      <c r="B1009" s="2" t="s">
        <v>1796</v>
      </c>
      <c r="C1009" s="2" t="s">
        <v>2738</v>
      </c>
      <c r="D1009" s="2" t="s">
        <v>1798</v>
      </c>
      <c r="E1009" s="4" t="n">
        <v>267.74</v>
      </c>
      <c r="F1009" s="4" t="n">
        <v>24.34</v>
      </c>
      <c r="G1009" s="4" t="n">
        <v>243.4</v>
      </c>
      <c r="H1009" s="2" t="s">
        <v>1385</v>
      </c>
    </row>
    <row r="1010" customFormat="false" ht="15" hidden="false" customHeight="false" outlineLevel="0" collapsed="false">
      <c r="A1010" s="2" t="s">
        <v>22</v>
      </c>
      <c r="B1010" s="2" t="s">
        <v>1655</v>
      </c>
      <c r="C1010" s="2" t="s">
        <v>2739</v>
      </c>
      <c r="D1010" s="2" t="s">
        <v>1657</v>
      </c>
      <c r="E1010" s="4" t="n">
        <v>135.76</v>
      </c>
      <c r="F1010" s="4" t="n">
        <v>12.34</v>
      </c>
      <c r="G1010" s="4" t="n">
        <v>123.42</v>
      </c>
      <c r="H1010" s="2" t="s">
        <v>1385</v>
      </c>
    </row>
    <row r="1011" customFormat="false" ht="15" hidden="false" customHeight="false" outlineLevel="0" collapsed="false">
      <c r="A1011" s="2" t="s">
        <v>22</v>
      </c>
      <c r="B1011" s="2" t="s">
        <v>951</v>
      </c>
      <c r="C1011" s="2" t="s">
        <v>1124</v>
      </c>
      <c r="D1011" s="2" t="s">
        <v>953</v>
      </c>
      <c r="E1011" s="4" t="n">
        <v>36.7</v>
      </c>
      <c r="F1011" s="4" t="n">
        <v>3.34</v>
      </c>
      <c r="G1011" s="4" t="n">
        <v>33.36</v>
      </c>
      <c r="H1011" s="2" t="s">
        <v>1381</v>
      </c>
    </row>
    <row r="1012" customFormat="false" ht="15" hidden="false" customHeight="false" outlineLevel="0" collapsed="false">
      <c r="A1012" s="2" t="s">
        <v>22</v>
      </c>
      <c r="B1012" s="2" t="s">
        <v>1856</v>
      </c>
      <c r="C1012" s="2" t="s">
        <v>2740</v>
      </c>
      <c r="D1012" s="2" t="s">
        <v>1858</v>
      </c>
      <c r="E1012" s="4" t="n">
        <v>95.3</v>
      </c>
      <c r="F1012" s="4" t="n">
        <v>8.66</v>
      </c>
      <c r="G1012" s="4" t="n">
        <v>86.64</v>
      </c>
      <c r="H1012" s="2" t="s">
        <v>1385</v>
      </c>
    </row>
    <row r="1013" customFormat="false" ht="15" hidden="false" customHeight="false" outlineLevel="0" collapsed="false">
      <c r="A1013" s="2" t="s">
        <v>22</v>
      </c>
      <c r="B1013" s="2" t="s">
        <v>1637</v>
      </c>
      <c r="C1013" s="2" t="s">
        <v>2741</v>
      </c>
      <c r="D1013" s="2" t="s">
        <v>1639</v>
      </c>
      <c r="E1013" s="4" t="n">
        <v>79.58</v>
      </c>
      <c r="F1013" s="4" t="n">
        <v>7.23</v>
      </c>
      <c r="G1013" s="4" t="n">
        <v>72.35</v>
      </c>
      <c r="H1013" s="2" t="s">
        <v>1385</v>
      </c>
    </row>
    <row r="1014" customFormat="false" ht="15" hidden="false" customHeight="false" outlineLevel="0" collapsed="false">
      <c r="A1014" s="2" t="s">
        <v>22</v>
      </c>
      <c r="B1014" s="2" t="s">
        <v>875</v>
      </c>
      <c r="C1014" s="2" t="s">
        <v>1214</v>
      </c>
      <c r="D1014" s="2" t="s">
        <v>877</v>
      </c>
      <c r="E1014" s="4" t="n">
        <v>55</v>
      </c>
      <c r="F1014" s="4" t="n">
        <v>5</v>
      </c>
      <c r="G1014" s="4" t="n">
        <v>50</v>
      </c>
      <c r="H1014" s="2" t="s">
        <v>1381</v>
      </c>
    </row>
    <row r="1015" customFormat="false" ht="15" hidden="false" customHeight="false" outlineLevel="0" collapsed="false">
      <c r="A1015" s="2" t="s">
        <v>22</v>
      </c>
      <c r="B1015" s="2" t="s">
        <v>1682</v>
      </c>
      <c r="C1015" s="2" t="s">
        <v>2742</v>
      </c>
      <c r="D1015" s="2" t="s">
        <v>1684</v>
      </c>
      <c r="E1015" s="4" t="n">
        <v>120.67</v>
      </c>
      <c r="F1015" s="4" t="n">
        <v>10.97</v>
      </c>
      <c r="G1015" s="4" t="n">
        <v>109.7</v>
      </c>
      <c r="H1015" s="2" t="s">
        <v>1385</v>
      </c>
    </row>
    <row r="1016" customFormat="false" ht="15" hidden="false" customHeight="false" outlineLevel="0" collapsed="false">
      <c r="A1016" s="2" t="s">
        <v>22</v>
      </c>
      <c r="B1016" s="2" t="s">
        <v>1685</v>
      </c>
      <c r="C1016" s="2" t="s">
        <v>2743</v>
      </c>
      <c r="D1016" s="2" t="s">
        <v>1687</v>
      </c>
      <c r="E1016" s="4" t="n">
        <v>91.14</v>
      </c>
      <c r="F1016" s="4" t="n">
        <v>8.29</v>
      </c>
      <c r="G1016" s="4" t="n">
        <v>82.85</v>
      </c>
      <c r="H1016" s="2" t="s">
        <v>1385</v>
      </c>
    </row>
    <row r="1017" customFormat="false" ht="15" hidden="false" customHeight="false" outlineLevel="0" collapsed="false">
      <c r="A1017" s="2" t="s">
        <v>22</v>
      </c>
      <c r="B1017" s="2" t="s">
        <v>1595</v>
      </c>
      <c r="C1017" s="2" t="s">
        <v>2744</v>
      </c>
      <c r="D1017" s="2" t="s">
        <v>1597</v>
      </c>
      <c r="E1017" s="4" t="n">
        <v>44.01</v>
      </c>
      <c r="F1017" s="4" t="n">
        <v>4</v>
      </c>
      <c r="G1017" s="4" t="n">
        <v>40.01</v>
      </c>
      <c r="H1017" s="2" t="s">
        <v>1385</v>
      </c>
    </row>
    <row r="1018" customFormat="false" ht="15" hidden="false" customHeight="false" outlineLevel="0" collapsed="false">
      <c r="A1018" s="2" t="s">
        <v>22</v>
      </c>
      <c r="B1018" s="2" t="s">
        <v>1805</v>
      </c>
      <c r="C1018" s="2" t="s">
        <v>2745</v>
      </c>
      <c r="D1018" s="2" t="s">
        <v>1807</v>
      </c>
      <c r="E1018" s="4" t="n">
        <v>150.66</v>
      </c>
      <c r="F1018" s="4" t="n">
        <v>13.7</v>
      </c>
      <c r="G1018" s="4" t="n">
        <v>136.96</v>
      </c>
      <c r="H1018" s="2" t="s">
        <v>1385</v>
      </c>
    </row>
    <row r="1019" customFormat="false" ht="15" hidden="false" customHeight="false" outlineLevel="0" collapsed="false">
      <c r="A1019" s="2" t="s">
        <v>22</v>
      </c>
      <c r="B1019" s="2" t="s">
        <v>1799</v>
      </c>
      <c r="C1019" s="2" t="s">
        <v>2746</v>
      </c>
      <c r="D1019" s="2" t="s">
        <v>1801</v>
      </c>
      <c r="E1019" s="4" t="n">
        <v>34.65</v>
      </c>
      <c r="F1019" s="4" t="n">
        <v>3.15</v>
      </c>
      <c r="G1019" s="4" t="n">
        <v>31.5</v>
      </c>
      <c r="H1019" s="2" t="s">
        <v>1385</v>
      </c>
    </row>
    <row r="1020" customFormat="false" ht="15" hidden="false" customHeight="false" outlineLevel="0" collapsed="false">
      <c r="A1020" s="2" t="s">
        <v>22</v>
      </c>
      <c r="B1020" s="2" t="s">
        <v>1529</v>
      </c>
      <c r="C1020" s="2" t="s">
        <v>2747</v>
      </c>
      <c r="D1020" s="2" t="s">
        <v>1531</v>
      </c>
      <c r="E1020" s="4" t="n">
        <v>112.45</v>
      </c>
      <c r="F1020" s="4" t="n">
        <v>23.77</v>
      </c>
      <c r="G1020" s="4" t="n">
        <v>88.68</v>
      </c>
      <c r="H1020" s="2" t="s">
        <v>1385</v>
      </c>
    </row>
    <row r="1021" customFormat="false" ht="15" hidden="false" customHeight="false" outlineLevel="0" collapsed="false">
      <c r="A1021" s="2" t="s">
        <v>22</v>
      </c>
      <c r="B1021" s="2" t="s">
        <v>1664</v>
      </c>
      <c r="C1021" s="2" t="s">
        <v>2748</v>
      </c>
      <c r="D1021" s="2" t="s">
        <v>1666</v>
      </c>
      <c r="E1021" s="4" t="n">
        <v>34.65</v>
      </c>
      <c r="F1021" s="4" t="n">
        <v>3.15</v>
      </c>
      <c r="G1021" s="4" t="n">
        <v>31.5</v>
      </c>
      <c r="H1021" s="2" t="s">
        <v>1385</v>
      </c>
    </row>
    <row r="1022" customFormat="false" ht="15" hidden="false" customHeight="false" outlineLevel="0" collapsed="false">
      <c r="A1022" s="2" t="s">
        <v>22</v>
      </c>
      <c r="B1022" s="2" t="s">
        <v>1802</v>
      </c>
      <c r="C1022" s="2" t="s">
        <v>2749</v>
      </c>
      <c r="D1022" s="2" t="s">
        <v>1804</v>
      </c>
      <c r="E1022" s="4" t="n">
        <v>286.67</v>
      </c>
      <c r="F1022" s="4" t="n">
        <v>26.86</v>
      </c>
      <c r="G1022" s="4" t="n">
        <v>259.81</v>
      </c>
      <c r="H1022" s="2" t="s">
        <v>1385</v>
      </c>
    </row>
    <row r="1023" customFormat="false" ht="15" hidden="false" customHeight="false" outlineLevel="0" collapsed="false">
      <c r="A1023" s="2" t="s">
        <v>22</v>
      </c>
      <c r="B1023" s="2" t="s">
        <v>978</v>
      </c>
      <c r="C1023" s="2" t="s">
        <v>1136</v>
      </c>
      <c r="D1023" s="2" t="s">
        <v>980</v>
      </c>
      <c r="E1023" s="4" t="n">
        <v>34.65</v>
      </c>
      <c r="F1023" s="4" t="n">
        <v>3.15</v>
      </c>
      <c r="G1023" s="4" t="n">
        <v>31.5</v>
      </c>
      <c r="H1023" s="2" t="s">
        <v>1381</v>
      </c>
    </row>
    <row r="1024" customFormat="false" ht="15" hidden="false" customHeight="false" outlineLevel="0" collapsed="false">
      <c r="A1024" s="2" t="s">
        <v>22</v>
      </c>
      <c r="B1024" s="2" t="s">
        <v>1781</v>
      </c>
      <c r="C1024" s="2" t="s">
        <v>2750</v>
      </c>
      <c r="D1024" s="2" t="s">
        <v>1783</v>
      </c>
      <c r="E1024" s="4" t="n">
        <v>83.16</v>
      </c>
      <c r="F1024" s="4" t="n">
        <v>7.56</v>
      </c>
      <c r="G1024" s="4" t="n">
        <v>75.6</v>
      </c>
      <c r="H1024" s="2" t="s">
        <v>1385</v>
      </c>
    </row>
    <row r="1025" customFormat="false" ht="15" hidden="false" customHeight="false" outlineLevel="0" collapsed="false">
      <c r="A1025" s="2" t="s">
        <v>22</v>
      </c>
      <c r="B1025" s="2" t="s">
        <v>1844</v>
      </c>
      <c r="C1025" s="2" t="s">
        <v>2751</v>
      </c>
      <c r="D1025" s="2" t="s">
        <v>1846</v>
      </c>
      <c r="E1025" s="4" t="n">
        <v>60.02</v>
      </c>
      <c r="F1025" s="4" t="n">
        <v>5.46</v>
      </c>
      <c r="G1025" s="4" t="n">
        <v>54.56</v>
      </c>
      <c r="H1025" s="2" t="s">
        <v>1385</v>
      </c>
    </row>
    <row r="1026" customFormat="false" ht="15" hidden="false" customHeight="false" outlineLevel="0" collapsed="false">
      <c r="A1026" s="2" t="s">
        <v>22</v>
      </c>
      <c r="B1026" s="2" t="s">
        <v>1553</v>
      </c>
      <c r="C1026" s="2" t="s">
        <v>2752</v>
      </c>
      <c r="D1026" s="2" t="s">
        <v>1555</v>
      </c>
      <c r="E1026" s="4" t="n">
        <v>503.77</v>
      </c>
      <c r="F1026" s="4" t="n">
        <v>45.8</v>
      </c>
      <c r="G1026" s="4" t="n">
        <v>457.97</v>
      </c>
      <c r="H1026" s="2" t="s">
        <v>1385</v>
      </c>
    </row>
    <row r="1027" customFormat="false" ht="15" hidden="false" customHeight="false" outlineLevel="0" collapsed="false">
      <c r="A1027" s="2" t="s">
        <v>22</v>
      </c>
      <c r="B1027" s="2" t="s">
        <v>719</v>
      </c>
      <c r="C1027" s="2" t="s">
        <v>866</v>
      </c>
      <c r="D1027" s="2" t="s">
        <v>721</v>
      </c>
      <c r="E1027" s="4" t="n">
        <v>75.6</v>
      </c>
      <c r="F1027" s="4" t="n">
        <v>6.88</v>
      </c>
      <c r="G1027" s="4" t="n">
        <v>68.72</v>
      </c>
      <c r="H1027" s="2" t="s">
        <v>1381</v>
      </c>
    </row>
    <row r="1028" customFormat="false" ht="15" hidden="false" customHeight="false" outlineLevel="0" collapsed="false">
      <c r="A1028" s="2" t="s">
        <v>22</v>
      </c>
      <c r="B1028" s="2" t="s">
        <v>1523</v>
      </c>
      <c r="C1028" s="2" t="s">
        <v>2753</v>
      </c>
      <c r="D1028" s="2" t="s">
        <v>1525</v>
      </c>
      <c r="E1028" s="4" t="n">
        <v>195.37</v>
      </c>
      <c r="F1028" s="4" t="n">
        <v>17.76</v>
      </c>
      <c r="G1028" s="4" t="n">
        <v>177.61</v>
      </c>
      <c r="H1028" s="2" t="s">
        <v>1385</v>
      </c>
    </row>
    <row r="1029" customFormat="false" ht="15" hidden="false" customHeight="false" outlineLevel="0" collapsed="false">
      <c r="A1029" s="2" t="s">
        <v>22</v>
      </c>
      <c r="B1029" s="2" t="s">
        <v>1700</v>
      </c>
      <c r="C1029" s="2" t="s">
        <v>2754</v>
      </c>
      <c r="D1029" s="2" t="s">
        <v>1702</v>
      </c>
      <c r="E1029" s="4" t="n">
        <v>71.94</v>
      </c>
      <c r="F1029" s="4" t="n">
        <v>6.54</v>
      </c>
      <c r="G1029" s="4" t="n">
        <v>65.4</v>
      </c>
      <c r="H1029" s="2" t="s">
        <v>1385</v>
      </c>
    </row>
    <row r="1030" customFormat="false" ht="15" hidden="false" customHeight="false" outlineLevel="0" collapsed="false">
      <c r="A1030" s="2" t="s">
        <v>22</v>
      </c>
      <c r="B1030" s="2" t="s">
        <v>1589</v>
      </c>
      <c r="C1030" s="2" t="s">
        <v>2755</v>
      </c>
      <c r="D1030" s="2" t="s">
        <v>1591</v>
      </c>
      <c r="E1030" s="4" t="n">
        <v>163.09</v>
      </c>
      <c r="F1030" s="4" t="n">
        <v>14.83</v>
      </c>
      <c r="G1030" s="4" t="n">
        <v>148.26</v>
      </c>
      <c r="H1030" s="2" t="s">
        <v>1385</v>
      </c>
    </row>
    <row r="1031" customFormat="false" ht="15" hidden="false" customHeight="false" outlineLevel="0" collapsed="false">
      <c r="A1031" s="2" t="s">
        <v>22</v>
      </c>
      <c r="B1031" s="2" t="s">
        <v>1550</v>
      </c>
      <c r="C1031" s="2" t="s">
        <v>2756</v>
      </c>
      <c r="D1031" s="2" t="s">
        <v>1552</v>
      </c>
      <c r="E1031" s="4" t="n">
        <v>1448.77</v>
      </c>
      <c r="F1031" s="4" t="n">
        <v>131.71</v>
      </c>
      <c r="G1031" s="4" t="n">
        <v>1317.06</v>
      </c>
      <c r="H1031" s="2" t="s">
        <v>1385</v>
      </c>
    </row>
    <row r="1032" customFormat="false" ht="15" hidden="false" customHeight="false" outlineLevel="0" collapsed="false">
      <c r="A1032" s="2" t="s">
        <v>22</v>
      </c>
      <c r="B1032" s="2" t="s">
        <v>1820</v>
      </c>
      <c r="C1032" s="2" t="s">
        <v>2757</v>
      </c>
      <c r="D1032" s="2" t="s">
        <v>1822</v>
      </c>
      <c r="E1032" s="4" t="n">
        <v>79.45</v>
      </c>
      <c r="F1032" s="4" t="n">
        <v>7.22</v>
      </c>
      <c r="G1032" s="4" t="n">
        <v>72.23</v>
      </c>
      <c r="H1032" s="2" t="s">
        <v>1385</v>
      </c>
    </row>
    <row r="1033" customFormat="false" ht="15" hidden="false" customHeight="false" outlineLevel="0" collapsed="false">
      <c r="A1033" s="2" t="s">
        <v>22</v>
      </c>
      <c r="B1033" s="2" t="s">
        <v>1541</v>
      </c>
      <c r="C1033" s="2" t="s">
        <v>2758</v>
      </c>
      <c r="D1033" s="2" t="s">
        <v>1543</v>
      </c>
      <c r="E1033" s="4" t="n">
        <v>26.9</v>
      </c>
      <c r="F1033" s="4" t="n">
        <v>2.45</v>
      </c>
      <c r="G1033" s="4" t="n">
        <v>24.45</v>
      </c>
      <c r="H1033" s="2" t="s">
        <v>1385</v>
      </c>
    </row>
    <row r="1034" customFormat="false" ht="15" hidden="false" customHeight="false" outlineLevel="0" collapsed="false">
      <c r="A1034" s="2" t="s">
        <v>22</v>
      </c>
      <c r="B1034" s="2" t="s">
        <v>1005</v>
      </c>
      <c r="C1034" s="2" t="s">
        <v>1140</v>
      </c>
      <c r="D1034" s="2" t="s">
        <v>1007</v>
      </c>
      <c r="E1034" s="4" t="n">
        <v>51.63</v>
      </c>
      <c r="F1034" s="4" t="n">
        <v>4.69</v>
      </c>
      <c r="G1034" s="4" t="n">
        <v>46.94</v>
      </c>
      <c r="H1034" s="2" t="s">
        <v>1381</v>
      </c>
    </row>
    <row r="1035" customFormat="false" ht="15" hidden="false" customHeight="false" outlineLevel="0" collapsed="false">
      <c r="A1035" s="2" t="s">
        <v>22</v>
      </c>
      <c r="B1035" s="2" t="s">
        <v>2759</v>
      </c>
      <c r="C1035" s="2" t="s">
        <v>2760</v>
      </c>
      <c r="D1035" s="2" t="s">
        <v>2761</v>
      </c>
      <c r="E1035" s="4" t="n">
        <v>190.55</v>
      </c>
      <c r="F1035" s="4" t="n">
        <v>17.32</v>
      </c>
      <c r="G1035" s="4" t="n">
        <v>173.23</v>
      </c>
      <c r="H1035" s="2" t="s">
        <v>1385</v>
      </c>
    </row>
    <row r="1036" customFormat="false" ht="15" hidden="false" customHeight="false" outlineLevel="0" collapsed="false">
      <c r="A1036" s="2" t="s">
        <v>22</v>
      </c>
      <c r="B1036" s="2" t="s">
        <v>1217</v>
      </c>
      <c r="C1036" s="2" t="s">
        <v>1218</v>
      </c>
      <c r="D1036" s="2" t="s">
        <v>1219</v>
      </c>
      <c r="E1036" s="4" t="n">
        <v>27.79</v>
      </c>
      <c r="F1036" s="4" t="n">
        <v>2.53</v>
      </c>
      <c r="G1036" s="4" t="n">
        <v>25.26</v>
      </c>
      <c r="H1036" s="2" t="s">
        <v>1381</v>
      </c>
    </row>
    <row r="1037" customFormat="false" ht="15" hidden="false" customHeight="false" outlineLevel="0" collapsed="false">
      <c r="A1037" s="2" t="s">
        <v>22</v>
      </c>
      <c r="B1037" s="2" t="s">
        <v>1883</v>
      </c>
      <c r="C1037" s="2" t="s">
        <v>2762</v>
      </c>
      <c r="D1037" s="2" t="s">
        <v>1885</v>
      </c>
      <c r="E1037" s="4" t="n">
        <v>116.23</v>
      </c>
      <c r="F1037" s="4" t="n">
        <v>10.57</v>
      </c>
      <c r="G1037" s="4" t="n">
        <v>105.66</v>
      </c>
      <c r="H1037" s="2" t="s">
        <v>1385</v>
      </c>
    </row>
    <row r="1038" customFormat="false" ht="15" hidden="false" customHeight="false" outlineLevel="0" collapsed="false">
      <c r="A1038" s="2" t="s">
        <v>22</v>
      </c>
      <c r="B1038" s="2" t="s">
        <v>1592</v>
      </c>
      <c r="C1038" s="2" t="s">
        <v>2763</v>
      </c>
      <c r="D1038" s="2" t="s">
        <v>1594</v>
      </c>
      <c r="E1038" s="4" t="n">
        <v>80.88</v>
      </c>
      <c r="F1038" s="4" t="n">
        <v>7.36</v>
      </c>
      <c r="G1038" s="4" t="n">
        <v>73.52</v>
      </c>
      <c r="H1038" s="2" t="s">
        <v>1385</v>
      </c>
    </row>
    <row r="1039" customFormat="false" ht="15" hidden="false" customHeight="false" outlineLevel="0" collapsed="false">
      <c r="A1039" s="2" t="s">
        <v>22</v>
      </c>
      <c r="B1039" s="2" t="s">
        <v>1715</v>
      </c>
      <c r="C1039" s="2" t="s">
        <v>2764</v>
      </c>
      <c r="D1039" s="2" t="s">
        <v>1717</v>
      </c>
      <c r="E1039" s="4" t="n">
        <v>1009.24</v>
      </c>
      <c r="F1039" s="4" t="n">
        <v>91.75</v>
      </c>
      <c r="G1039" s="4" t="n">
        <v>917.49</v>
      </c>
      <c r="H1039" s="2" t="s">
        <v>1385</v>
      </c>
    </row>
    <row r="1040" customFormat="false" ht="15" hidden="false" customHeight="false" outlineLevel="0" collapsed="false">
      <c r="A1040" s="2" t="s">
        <v>22</v>
      </c>
      <c r="B1040" s="2" t="s">
        <v>1231</v>
      </c>
      <c r="C1040" s="2" t="s">
        <v>1232</v>
      </c>
      <c r="D1040" s="2" t="s">
        <v>1233</v>
      </c>
      <c r="E1040" s="4" t="n">
        <v>39.03</v>
      </c>
      <c r="F1040" s="4" t="n">
        <v>3.55</v>
      </c>
      <c r="G1040" s="4" t="n">
        <v>35.48</v>
      </c>
      <c r="H1040" s="2" t="s">
        <v>1381</v>
      </c>
    </row>
    <row r="1041" customFormat="false" ht="15" hidden="false" customHeight="false" outlineLevel="0" collapsed="false">
      <c r="A1041" s="2" t="s">
        <v>22</v>
      </c>
      <c r="B1041" s="2" t="s">
        <v>1237</v>
      </c>
      <c r="C1041" s="2" t="s">
        <v>1238</v>
      </c>
      <c r="D1041" s="2" t="s">
        <v>1239</v>
      </c>
      <c r="E1041" s="4" t="n">
        <v>37.57</v>
      </c>
      <c r="F1041" s="4" t="n">
        <v>3.42</v>
      </c>
      <c r="G1041" s="4" t="n">
        <v>34.15</v>
      </c>
      <c r="H1041" s="2" t="s">
        <v>1381</v>
      </c>
    </row>
    <row r="1042" customFormat="false" ht="15" hidden="false" customHeight="false" outlineLevel="0" collapsed="false">
      <c r="A1042" s="2" t="s">
        <v>22</v>
      </c>
      <c r="B1042" s="2" t="s">
        <v>179</v>
      </c>
      <c r="C1042" s="2" t="s">
        <v>191</v>
      </c>
      <c r="D1042" s="2" t="s">
        <v>181</v>
      </c>
      <c r="E1042" s="4" t="n">
        <v>247.01</v>
      </c>
      <c r="F1042" s="4" t="n">
        <v>22.45</v>
      </c>
      <c r="G1042" s="4" t="n">
        <v>224.56</v>
      </c>
      <c r="H1042" s="2" t="s">
        <v>1381</v>
      </c>
    </row>
    <row r="1043" customFormat="false" ht="15" hidden="false" customHeight="false" outlineLevel="0" collapsed="false">
      <c r="A1043" s="2" t="s">
        <v>22</v>
      </c>
      <c r="B1043" s="2" t="s">
        <v>2563</v>
      </c>
      <c r="C1043" s="2" t="s">
        <v>2765</v>
      </c>
      <c r="D1043" s="2" t="s">
        <v>2565</v>
      </c>
      <c r="E1043" s="4" t="n">
        <v>53</v>
      </c>
      <c r="F1043" s="4" t="n">
        <v>4.82</v>
      </c>
      <c r="G1043" s="4" t="n">
        <v>48.18</v>
      </c>
      <c r="H1043" s="2" t="s">
        <v>1385</v>
      </c>
    </row>
    <row r="1044" customFormat="false" ht="15" hidden="false" customHeight="false" outlineLevel="0" collapsed="false">
      <c r="A1044" s="2" t="s">
        <v>22</v>
      </c>
      <c r="B1044" s="2" t="s">
        <v>1224</v>
      </c>
      <c r="C1044" s="2" t="s">
        <v>1225</v>
      </c>
      <c r="D1044" s="2" t="s">
        <v>1226</v>
      </c>
      <c r="E1044" s="4" t="n">
        <v>30.71</v>
      </c>
      <c r="F1044" s="4" t="n">
        <v>2.8</v>
      </c>
      <c r="G1044" s="4" t="n">
        <v>27.91</v>
      </c>
      <c r="H1044" s="2" t="s">
        <v>1381</v>
      </c>
    </row>
    <row r="1045" customFormat="false" ht="15" hidden="false" customHeight="false" outlineLevel="0" collapsed="false">
      <c r="A1045" s="2" t="s">
        <v>22</v>
      </c>
      <c r="B1045" s="2" t="s">
        <v>519</v>
      </c>
      <c r="C1045" s="2" t="s">
        <v>561</v>
      </c>
      <c r="D1045" s="2" t="s">
        <v>521</v>
      </c>
      <c r="E1045" s="4" t="n">
        <v>110.09</v>
      </c>
      <c r="F1045" s="4" t="n">
        <v>10.01</v>
      </c>
      <c r="G1045" s="4" t="n">
        <v>100.08</v>
      </c>
      <c r="H1045" s="2" t="s">
        <v>1381</v>
      </c>
    </row>
    <row r="1046" customFormat="false" ht="15" hidden="false" customHeight="false" outlineLevel="0" collapsed="false">
      <c r="A1046" s="2" t="s">
        <v>22</v>
      </c>
      <c r="B1046" s="2" t="s">
        <v>1577</v>
      </c>
      <c r="C1046" s="2" t="s">
        <v>2766</v>
      </c>
      <c r="D1046" s="2" t="s">
        <v>1579</v>
      </c>
      <c r="E1046" s="4" t="n">
        <v>88.21</v>
      </c>
      <c r="F1046" s="4" t="n">
        <v>8.02</v>
      </c>
      <c r="G1046" s="4" t="n">
        <v>80.19</v>
      </c>
      <c r="H1046" s="2" t="s">
        <v>1385</v>
      </c>
    </row>
    <row r="1047" customFormat="false" ht="15" hidden="false" customHeight="false" outlineLevel="0" collapsed="false">
      <c r="A1047" s="2" t="s">
        <v>22</v>
      </c>
      <c r="B1047" s="2" t="s">
        <v>931</v>
      </c>
      <c r="C1047" s="2" t="s">
        <v>932</v>
      </c>
      <c r="D1047" s="2" t="s">
        <v>933</v>
      </c>
      <c r="E1047" s="4" t="n">
        <v>36.47</v>
      </c>
      <c r="F1047" s="4" t="n">
        <v>3.32</v>
      </c>
      <c r="G1047" s="4" t="n">
        <v>33.15</v>
      </c>
      <c r="H1047" s="2" t="s">
        <v>1381</v>
      </c>
    </row>
    <row r="1048" customFormat="false" ht="15" hidden="false" customHeight="false" outlineLevel="0" collapsed="false">
      <c r="A1048" s="2" t="s">
        <v>22</v>
      </c>
      <c r="B1048" s="2" t="s">
        <v>116</v>
      </c>
      <c r="C1048" s="2" t="s">
        <v>136</v>
      </c>
      <c r="D1048" s="2" t="s">
        <v>118</v>
      </c>
      <c r="E1048" s="4" t="n">
        <v>239.12</v>
      </c>
      <c r="F1048" s="4" t="n">
        <v>21.74</v>
      </c>
      <c r="G1048" s="4" t="n">
        <v>217.38</v>
      </c>
      <c r="H1048" s="2" t="s">
        <v>1381</v>
      </c>
    </row>
    <row r="1049" customFormat="false" ht="15" hidden="false" customHeight="false" outlineLevel="0" collapsed="false">
      <c r="A1049" s="2" t="s">
        <v>22</v>
      </c>
      <c r="B1049" s="2" t="s">
        <v>1243</v>
      </c>
      <c r="C1049" s="2" t="s">
        <v>1244</v>
      </c>
      <c r="D1049" s="2" t="s">
        <v>1245</v>
      </c>
      <c r="E1049" s="4" t="n">
        <v>27.79</v>
      </c>
      <c r="F1049" s="4" t="n">
        <v>2.53</v>
      </c>
      <c r="G1049" s="4" t="n">
        <v>25.26</v>
      </c>
      <c r="H1049" s="2" t="s">
        <v>1381</v>
      </c>
    </row>
    <row r="1050" customFormat="false" ht="15" hidden="false" customHeight="false" outlineLevel="0" collapsed="false">
      <c r="A1050" s="2" t="s">
        <v>22</v>
      </c>
      <c r="B1050" s="2" t="s">
        <v>1826</v>
      </c>
      <c r="C1050" s="2" t="s">
        <v>2767</v>
      </c>
      <c r="D1050" s="2" t="s">
        <v>1828</v>
      </c>
      <c r="E1050" s="4" t="n">
        <v>1252.53</v>
      </c>
      <c r="F1050" s="4" t="n">
        <v>117.57</v>
      </c>
      <c r="G1050" s="4" t="n">
        <v>1134.96</v>
      </c>
      <c r="H1050" s="2" t="s">
        <v>1385</v>
      </c>
    </row>
    <row r="1051" customFormat="false" ht="15" hidden="false" customHeight="false" outlineLevel="0" collapsed="false">
      <c r="A1051" s="2" t="s">
        <v>22</v>
      </c>
      <c r="B1051" s="2" t="s">
        <v>1742</v>
      </c>
      <c r="C1051" s="2" t="s">
        <v>2768</v>
      </c>
      <c r="D1051" s="2" t="s">
        <v>1744</v>
      </c>
      <c r="E1051" s="4" t="n">
        <v>549.42</v>
      </c>
      <c r="F1051" s="4" t="n">
        <v>49.95</v>
      </c>
      <c r="G1051" s="4" t="n">
        <v>499.47</v>
      </c>
      <c r="H1051" s="2" t="s">
        <v>1385</v>
      </c>
    </row>
    <row r="1052" customFormat="false" ht="15" hidden="false" customHeight="false" outlineLevel="0" collapsed="false">
      <c r="A1052" s="2" t="s">
        <v>22</v>
      </c>
      <c r="B1052" s="2" t="s">
        <v>1811</v>
      </c>
      <c r="C1052" s="2" t="s">
        <v>2769</v>
      </c>
      <c r="D1052" s="2" t="s">
        <v>1813</v>
      </c>
      <c r="E1052" s="4" t="n">
        <v>46.61</v>
      </c>
      <c r="F1052" s="4" t="n">
        <v>4.24</v>
      </c>
      <c r="G1052" s="4" t="n">
        <v>42.37</v>
      </c>
      <c r="H1052" s="2" t="s">
        <v>1385</v>
      </c>
    </row>
    <row r="1053" customFormat="false" ht="15" hidden="false" customHeight="false" outlineLevel="0" collapsed="false">
      <c r="A1053" s="2" t="s">
        <v>22</v>
      </c>
      <c r="B1053" s="2" t="s">
        <v>1691</v>
      </c>
      <c r="C1053" s="2" t="s">
        <v>2770</v>
      </c>
      <c r="D1053" s="2" t="s">
        <v>1693</v>
      </c>
      <c r="E1053" s="4" t="n">
        <v>1135.01</v>
      </c>
      <c r="F1053" s="4" t="n">
        <v>103.18</v>
      </c>
      <c r="G1053" s="4" t="n">
        <v>1031.83</v>
      </c>
      <c r="H1053" s="2" t="s">
        <v>1385</v>
      </c>
    </row>
    <row r="1054" customFormat="false" ht="15" hidden="false" customHeight="false" outlineLevel="0" collapsed="false">
      <c r="A1054" s="2" t="s">
        <v>22</v>
      </c>
      <c r="B1054" s="2" t="s">
        <v>1520</v>
      </c>
      <c r="C1054" s="2" t="s">
        <v>2771</v>
      </c>
      <c r="D1054" s="2" t="s">
        <v>1522</v>
      </c>
      <c r="E1054" s="4" t="n">
        <v>99.37</v>
      </c>
      <c r="F1054" s="4" t="n">
        <v>9.03</v>
      </c>
      <c r="G1054" s="4" t="n">
        <v>90.34</v>
      </c>
      <c r="H1054" s="2" t="s">
        <v>1385</v>
      </c>
    </row>
    <row r="1055" customFormat="false" ht="15" hidden="false" customHeight="false" outlineLevel="0" collapsed="false">
      <c r="A1055" s="2" t="s">
        <v>22</v>
      </c>
      <c r="B1055" s="2" t="s">
        <v>1847</v>
      </c>
      <c r="C1055" s="2" t="s">
        <v>2772</v>
      </c>
      <c r="D1055" s="2" t="s">
        <v>1849</v>
      </c>
      <c r="E1055" s="4" t="n">
        <v>83.48</v>
      </c>
      <c r="F1055" s="4" t="n">
        <v>7.59</v>
      </c>
      <c r="G1055" s="4" t="n">
        <v>75.89</v>
      </c>
      <c r="H1055" s="2" t="s">
        <v>1385</v>
      </c>
    </row>
    <row r="1056" customFormat="false" ht="15" hidden="false" customHeight="false" outlineLevel="0" collapsed="false">
      <c r="A1056" s="2" t="s">
        <v>22</v>
      </c>
      <c r="B1056" s="2" t="s">
        <v>1670</v>
      </c>
      <c r="C1056" s="2" t="s">
        <v>2773</v>
      </c>
      <c r="D1056" s="2" t="s">
        <v>1672</v>
      </c>
      <c r="E1056" s="4" t="n">
        <v>1219.62</v>
      </c>
      <c r="F1056" s="4" t="n">
        <v>110.87</v>
      </c>
      <c r="G1056" s="4" t="n">
        <v>1108.75</v>
      </c>
      <c r="H1056" s="2" t="s">
        <v>1385</v>
      </c>
    </row>
    <row r="1057" customFormat="false" ht="15" hidden="false" customHeight="false" outlineLevel="0" collapsed="false">
      <c r="A1057" s="2" t="s">
        <v>22</v>
      </c>
      <c r="B1057" s="2" t="s">
        <v>1859</v>
      </c>
      <c r="C1057" s="2" t="s">
        <v>2774</v>
      </c>
      <c r="D1057" s="2" t="s">
        <v>1861</v>
      </c>
      <c r="E1057" s="4" t="n">
        <v>44.29</v>
      </c>
      <c r="F1057" s="4" t="n">
        <v>4.03</v>
      </c>
      <c r="G1057" s="4" t="n">
        <v>40.26</v>
      </c>
      <c r="H1057" s="2" t="s">
        <v>1385</v>
      </c>
    </row>
    <row r="1058" customFormat="false" ht="15" hidden="false" customHeight="false" outlineLevel="0" collapsed="false">
      <c r="A1058" s="2" t="s">
        <v>22</v>
      </c>
      <c r="B1058" s="2" t="s">
        <v>1601</v>
      </c>
      <c r="C1058" s="2" t="s">
        <v>2775</v>
      </c>
      <c r="D1058" s="2" t="s">
        <v>1603</v>
      </c>
      <c r="E1058" s="4" t="n">
        <v>27.79</v>
      </c>
      <c r="F1058" s="4" t="n">
        <v>2.53</v>
      </c>
      <c r="G1058" s="4" t="n">
        <v>25.26</v>
      </c>
      <c r="H1058" s="2" t="s">
        <v>1385</v>
      </c>
    </row>
    <row r="1059" customFormat="false" ht="15" hidden="false" customHeight="false" outlineLevel="0" collapsed="false">
      <c r="A1059" s="2" t="s">
        <v>22</v>
      </c>
      <c r="B1059" s="2" t="s">
        <v>1613</v>
      </c>
      <c r="C1059" s="2" t="s">
        <v>2776</v>
      </c>
      <c r="D1059" s="2" t="s">
        <v>1615</v>
      </c>
      <c r="E1059" s="4" t="n">
        <v>94.86</v>
      </c>
      <c r="F1059" s="4" t="n">
        <v>8.62</v>
      </c>
      <c r="G1059" s="4" t="n">
        <v>86.24</v>
      </c>
      <c r="H1059" s="2" t="s">
        <v>1385</v>
      </c>
    </row>
    <row r="1060" customFormat="false" ht="15" hidden="false" customHeight="false" outlineLevel="0" collapsed="false">
      <c r="A1060" s="2" t="s">
        <v>22</v>
      </c>
      <c r="B1060" s="2" t="s">
        <v>1889</v>
      </c>
      <c r="C1060" s="2" t="s">
        <v>2777</v>
      </c>
      <c r="D1060" s="2" t="s">
        <v>1891</v>
      </c>
      <c r="E1060" s="4" t="n">
        <v>1112.73</v>
      </c>
      <c r="F1060" s="4" t="n">
        <v>101.16</v>
      </c>
      <c r="G1060" s="4" t="n">
        <v>1011.57</v>
      </c>
      <c r="H1060" s="2" t="s">
        <v>1385</v>
      </c>
    </row>
    <row r="1061" customFormat="false" ht="15" hidden="false" customHeight="false" outlineLevel="0" collapsed="false">
      <c r="A1061" s="2" t="s">
        <v>22</v>
      </c>
      <c r="B1061" s="2" t="s">
        <v>1526</v>
      </c>
      <c r="C1061" s="2" t="s">
        <v>2778</v>
      </c>
      <c r="D1061" s="2" t="s">
        <v>1528</v>
      </c>
      <c r="E1061" s="4" t="n">
        <v>46.57</v>
      </c>
      <c r="F1061" s="4" t="n">
        <v>4.24</v>
      </c>
      <c r="G1061" s="4" t="n">
        <v>42.33</v>
      </c>
      <c r="H1061" s="2" t="s">
        <v>1385</v>
      </c>
    </row>
    <row r="1062" customFormat="false" ht="15" hidden="false" customHeight="false" outlineLevel="0" collapsed="false">
      <c r="A1062" s="2" t="s">
        <v>22</v>
      </c>
      <c r="B1062" s="2" t="s">
        <v>1814</v>
      </c>
      <c r="C1062" s="2" t="s">
        <v>2779</v>
      </c>
      <c r="D1062" s="2" t="s">
        <v>1816</v>
      </c>
      <c r="E1062" s="4" t="n">
        <v>44.89</v>
      </c>
      <c r="F1062" s="4" t="n">
        <v>4.09</v>
      </c>
      <c r="G1062" s="4" t="n">
        <v>40.8</v>
      </c>
      <c r="H1062" s="2" t="s">
        <v>1385</v>
      </c>
    </row>
    <row r="1063" customFormat="false" ht="15" hidden="false" customHeight="false" outlineLevel="0" collapsed="false">
      <c r="A1063" s="2" t="s">
        <v>22</v>
      </c>
      <c r="B1063" s="2" t="s">
        <v>1643</v>
      </c>
      <c r="C1063" s="2" t="s">
        <v>2780</v>
      </c>
      <c r="D1063" s="2" t="s">
        <v>1645</v>
      </c>
      <c r="E1063" s="4" t="n">
        <v>45.61</v>
      </c>
      <c r="F1063" s="4" t="n">
        <v>4.15</v>
      </c>
      <c r="G1063" s="4" t="n">
        <v>41.46</v>
      </c>
      <c r="H1063" s="2" t="s">
        <v>1385</v>
      </c>
    </row>
    <row r="1064" customFormat="false" ht="15" hidden="false" customHeight="false" outlineLevel="0" collapsed="false">
      <c r="A1064" s="2" t="s">
        <v>22</v>
      </c>
      <c r="B1064" s="2" t="s">
        <v>1874</v>
      </c>
      <c r="C1064" s="2" t="s">
        <v>2781</v>
      </c>
      <c r="D1064" s="2" t="s">
        <v>1876</v>
      </c>
      <c r="E1064" s="4" t="n">
        <v>45.61</v>
      </c>
      <c r="F1064" s="4" t="n">
        <v>4.15</v>
      </c>
      <c r="G1064" s="4" t="n">
        <v>41.46</v>
      </c>
      <c r="H1064" s="2" t="s">
        <v>1385</v>
      </c>
    </row>
    <row r="1065" customFormat="false" ht="15" hidden="false" customHeight="false" outlineLevel="0" collapsed="false">
      <c r="A1065" s="2" t="s">
        <v>22</v>
      </c>
      <c r="B1065" s="2" t="s">
        <v>1574</v>
      </c>
      <c r="C1065" s="2" t="s">
        <v>2782</v>
      </c>
      <c r="D1065" s="2" t="s">
        <v>1576</v>
      </c>
      <c r="E1065" s="4" t="n">
        <v>1567.24</v>
      </c>
      <c r="F1065" s="4" t="n">
        <v>142.48</v>
      </c>
      <c r="G1065" s="4" t="n">
        <v>1424.76</v>
      </c>
      <c r="H1065" s="2" t="s">
        <v>1385</v>
      </c>
    </row>
    <row r="1066" customFormat="false" ht="15" hidden="false" customHeight="false" outlineLevel="0" collapsed="false">
      <c r="A1066" s="2" t="s">
        <v>22</v>
      </c>
      <c r="B1066" s="2" t="s">
        <v>1580</v>
      </c>
      <c r="C1066" s="2" t="s">
        <v>2783</v>
      </c>
      <c r="D1066" s="2" t="s">
        <v>1582</v>
      </c>
      <c r="E1066" s="4" t="n">
        <v>1436.32</v>
      </c>
      <c r="F1066" s="4" t="n">
        <v>130.57</v>
      </c>
      <c r="G1066" s="4" t="n">
        <v>1305.75</v>
      </c>
      <c r="H1066" s="2" t="s">
        <v>1385</v>
      </c>
    </row>
    <row r="1067" customFormat="false" ht="15" hidden="false" customHeight="false" outlineLevel="0" collapsed="false">
      <c r="A1067" s="2" t="s">
        <v>22</v>
      </c>
      <c r="B1067" s="2" t="s">
        <v>1568</v>
      </c>
      <c r="C1067" s="2" t="s">
        <v>2784</v>
      </c>
      <c r="D1067" s="2" t="s">
        <v>1570</v>
      </c>
      <c r="E1067" s="4" t="n">
        <v>172.29</v>
      </c>
      <c r="F1067" s="4" t="n">
        <v>15.67</v>
      </c>
      <c r="G1067" s="4" t="n">
        <v>156.62</v>
      </c>
      <c r="H1067" s="2" t="s">
        <v>1385</v>
      </c>
    </row>
    <row r="1068" customFormat="false" ht="15" hidden="false" customHeight="false" outlineLevel="0" collapsed="false">
      <c r="A1068" s="2" t="s">
        <v>22</v>
      </c>
      <c r="B1068" s="2" t="s">
        <v>1586</v>
      </c>
      <c r="C1068" s="2" t="s">
        <v>2785</v>
      </c>
      <c r="D1068" s="2" t="s">
        <v>1588</v>
      </c>
      <c r="E1068" s="4" t="n">
        <v>898.43</v>
      </c>
      <c r="F1068" s="4" t="n">
        <v>81.68</v>
      </c>
      <c r="G1068" s="4" t="n">
        <v>816.75</v>
      </c>
      <c r="H1068" s="2" t="s">
        <v>1385</v>
      </c>
    </row>
    <row r="1069" customFormat="false" ht="15" hidden="false" customHeight="false" outlineLevel="0" collapsed="false">
      <c r="A1069" s="2" t="s">
        <v>22</v>
      </c>
      <c r="B1069" s="2" t="s">
        <v>1535</v>
      </c>
      <c r="C1069" s="2" t="s">
        <v>2786</v>
      </c>
      <c r="D1069" s="2" t="s">
        <v>1537</v>
      </c>
      <c r="E1069" s="4" t="n">
        <v>330.81</v>
      </c>
      <c r="F1069" s="4" t="n">
        <v>30.08</v>
      </c>
      <c r="G1069" s="4" t="n">
        <v>300.73</v>
      </c>
      <c r="H1069" s="2" t="s">
        <v>1385</v>
      </c>
    </row>
    <row r="1070" customFormat="false" ht="15" hidden="false" customHeight="false" outlineLevel="0" collapsed="false">
      <c r="A1070" s="2" t="s">
        <v>22</v>
      </c>
      <c r="B1070" s="2" t="s">
        <v>1763</v>
      </c>
      <c r="C1070" s="2" t="s">
        <v>2787</v>
      </c>
      <c r="D1070" s="2" t="s">
        <v>1765</v>
      </c>
      <c r="E1070" s="4" t="n">
        <v>170.28</v>
      </c>
      <c r="F1070" s="4" t="n">
        <v>15.49</v>
      </c>
      <c r="G1070" s="4" t="n">
        <v>154.79</v>
      </c>
      <c r="H1070" s="2" t="s">
        <v>1385</v>
      </c>
    </row>
    <row r="1071" customFormat="false" ht="15" hidden="false" customHeight="false" outlineLevel="0" collapsed="false">
      <c r="A1071" s="2" t="s">
        <v>22</v>
      </c>
      <c r="B1071" s="2" t="s">
        <v>1479</v>
      </c>
      <c r="C1071" s="2" t="s">
        <v>2788</v>
      </c>
      <c r="D1071" s="2" t="s">
        <v>1481</v>
      </c>
      <c r="E1071" s="4" t="n">
        <v>116.25</v>
      </c>
      <c r="F1071" s="4" t="n">
        <v>10.57</v>
      </c>
      <c r="G1071" s="4" t="n">
        <v>105.68</v>
      </c>
      <c r="H1071" s="2" t="s">
        <v>1385</v>
      </c>
    </row>
    <row r="1072" customFormat="false" ht="15" hidden="false" customHeight="false" outlineLevel="0" collapsed="false">
      <c r="A1072" s="2" t="s">
        <v>22</v>
      </c>
      <c r="B1072" s="2" t="s">
        <v>1437</v>
      </c>
      <c r="C1072" s="2" t="s">
        <v>2789</v>
      </c>
      <c r="D1072" s="2" t="s">
        <v>1439</v>
      </c>
      <c r="E1072" s="4" t="n">
        <v>628.41</v>
      </c>
      <c r="F1072" s="4" t="n">
        <v>57.14</v>
      </c>
      <c r="G1072" s="4" t="n">
        <v>571.27</v>
      </c>
      <c r="H1072" s="2" t="s">
        <v>1385</v>
      </c>
    </row>
    <row r="1073" customFormat="false" ht="15" hidden="false" customHeight="false" outlineLevel="0" collapsed="false">
      <c r="A1073" s="2" t="s">
        <v>22</v>
      </c>
      <c r="B1073" s="2" t="s">
        <v>742</v>
      </c>
      <c r="C1073" s="2" t="s">
        <v>743</v>
      </c>
      <c r="D1073" s="2" t="s">
        <v>744</v>
      </c>
      <c r="E1073" s="4" t="n">
        <v>127.66</v>
      </c>
      <c r="F1073" s="4" t="n">
        <v>11.61</v>
      </c>
      <c r="G1073" s="4" t="n">
        <v>116.05</v>
      </c>
      <c r="H1073" s="2" t="s">
        <v>1381</v>
      </c>
    </row>
    <row r="1074" customFormat="false" ht="15" hidden="false" customHeight="false" outlineLevel="0" collapsed="false">
      <c r="A1074" s="2" t="s">
        <v>22</v>
      </c>
      <c r="B1074" s="2" t="s">
        <v>1697</v>
      </c>
      <c r="C1074" s="2" t="s">
        <v>2790</v>
      </c>
      <c r="D1074" s="2" t="s">
        <v>1699</v>
      </c>
      <c r="E1074" s="4" t="n">
        <v>1685.84</v>
      </c>
      <c r="F1074" s="4" t="n">
        <v>153.26</v>
      </c>
      <c r="G1074" s="4" t="n">
        <v>1532.58</v>
      </c>
      <c r="H1074" s="2" t="s">
        <v>1385</v>
      </c>
    </row>
    <row r="1075" customFormat="false" ht="15" hidden="false" customHeight="false" outlineLevel="0" collapsed="false">
      <c r="A1075" s="2" t="s">
        <v>22</v>
      </c>
      <c r="B1075" s="2" t="s">
        <v>1458</v>
      </c>
      <c r="C1075" s="2" t="s">
        <v>2791</v>
      </c>
      <c r="D1075" s="2" t="s">
        <v>1460</v>
      </c>
      <c r="E1075" s="4" t="n">
        <v>883.36</v>
      </c>
      <c r="F1075" s="4" t="n">
        <v>80.3</v>
      </c>
      <c r="G1075" s="4" t="n">
        <v>803.06</v>
      </c>
      <c r="H1075" s="2" t="s">
        <v>1385</v>
      </c>
    </row>
    <row r="1076" customFormat="false" ht="15" hidden="false" customHeight="false" outlineLevel="0" collapsed="false">
      <c r="A1076" s="2" t="s">
        <v>22</v>
      </c>
      <c r="B1076" s="2" t="s">
        <v>151</v>
      </c>
      <c r="C1076" s="2" t="s">
        <v>152</v>
      </c>
      <c r="D1076" s="2" t="s">
        <v>153</v>
      </c>
      <c r="E1076" s="4" t="n">
        <v>606.24</v>
      </c>
      <c r="F1076" s="4" t="n">
        <v>55.12</v>
      </c>
      <c r="G1076" s="4" t="n">
        <v>551.12</v>
      </c>
      <c r="H1076" s="2" t="s">
        <v>1381</v>
      </c>
    </row>
    <row r="1077" customFormat="false" ht="15" hidden="false" customHeight="false" outlineLevel="0" collapsed="false">
      <c r="A1077" s="2" t="s">
        <v>22</v>
      </c>
      <c r="B1077" s="2" t="s">
        <v>1667</v>
      </c>
      <c r="C1077" s="2" t="s">
        <v>2792</v>
      </c>
      <c r="D1077" s="2" t="s">
        <v>1669</v>
      </c>
      <c r="E1077" s="4" t="n">
        <v>1785.59</v>
      </c>
      <c r="F1077" s="4" t="n">
        <v>162.33</v>
      </c>
      <c r="G1077" s="4" t="n">
        <v>1623.26</v>
      </c>
      <c r="H1077" s="2" t="s">
        <v>1385</v>
      </c>
    </row>
    <row r="1078" customFormat="false" ht="15" hidden="false" customHeight="false" outlineLevel="0" collapsed="false">
      <c r="A1078" s="2" t="s">
        <v>22</v>
      </c>
      <c r="B1078" s="2" t="s">
        <v>1562</v>
      </c>
      <c r="C1078" s="2" t="s">
        <v>2793</v>
      </c>
      <c r="D1078" s="2" t="s">
        <v>1564</v>
      </c>
      <c r="E1078" s="4" t="n">
        <v>1115.35</v>
      </c>
      <c r="F1078" s="4" t="n">
        <v>101.4</v>
      </c>
      <c r="G1078" s="4" t="n">
        <v>1013.95</v>
      </c>
      <c r="H1078" s="2" t="s">
        <v>1385</v>
      </c>
    </row>
    <row r="1079" customFormat="false" ht="15" hidden="false" customHeight="false" outlineLevel="0" collapsed="false">
      <c r="A1079" s="2" t="s">
        <v>22</v>
      </c>
      <c r="B1079" s="2" t="s">
        <v>792</v>
      </c>
      <c r="C1079" s="2" t="s">
        <v>793</v>
      </c>
      <c r="D1079" s="2" t="s">
        <v>794</v>
      </c>
      <c r="E1079" s="4" t="n">
        <v>128.66</v>
      </c>
      <c r="F1079" s="4" t="n">
        <v>11.71</v>
      </c>
      <c r="G1079" s="4" t="n">
        <v>116.95</v>
      </c>
      <c r="H1079" s="2" t="s">
        <v>1381</v>
      </c>
    </row>
    <row r="1080" customFormat="false" ht="15" hidden="false" customHeight="false" outlineLevel="0" collapsed="false">
      <c r="A1080" s="2" t="s">
        <v>22</v>
      </c>
      <c r="B1080" s="2" t="s">
        <v>1631</v>
      </c>
      <c r="C1080" s="2" t="s">
        <v>2794</v>
      </c>
      <c r="D1080" s="2" t="s">
        <v>1633</v>
      </c>
      <c r="E1080" s="4" t="n">
        <v>500.43</v>
      </c>
      <c r="F1080" s="4" t="n">
        <v>45.49</v>
      </c>
      <c r="G1080" s="4" t="n">
        <v>454.94</v>
      </c>
      <c r="H1080" s="2" t="s">
        <v>1385</v>
      </c>
    </row>
    <row r="1081" customFormat="false" ht="15" hidden="false" customHeight="false" outlineLevel="0" collapsed="false">
      <c r="A1081" s="2" t="s">
        <v>22</v>
      </c>
      <c r="B1081" s="2" t="s">
        <v>1422</v>
      </c>
      <c r="C1081" s="2" t="s">
        <v>2795</v>
      </c>
      <c r="D1081" s="2" t="s">
        <v>1424</v>
      </c>
      <c r="E1081" s="4" t="n">
        <v>670.93</v>
      </c>
      <c r="F1081" s="4" t="n">
        <v>61.01</v>
      </c>
      <c r="G1081" s="4" t="n">
        <v>609.92</v>
      </c>
      <c r="H1081" s="2" t="s">
        <v>1385</v>
      </c>
    </row>
    <row r="1082" customFormat="false" ht="15" hidden="false" customHeight="false" outlineLevel="0" collapsed="false">
      <c r="A1082" s="2" t="s">
        <v>22</v>
      </c>
      <c r="B1082" s="2" t="s">
        <v>654</v>
      </c>
      <c r="C1082" s="2" t="s">
        <v>655</v>
      </c>
      <c r="D1082" s="2" t="s">
        <v>656</v>
      </c>
      <c r="E1082" s="4" t="n">
        <v>140.53</v>
      </c>
      <c r="F1082" s="4" t="n">
        <v>12.78</v>
      </c>
      <c r="G1082" s="4" t="n">
        <v>127.75</v>
      </c>
      <c r="H1082" s="2" t="s">
        <v>1381</v>
      </c>
    </row>
    <row r="1083" customFormat="false" ht="15" hidden="false" customHeight="false" outlineLevel="0" collapsed="false">
      <c r="A1083" s="2" t="s">
        <v>22</v>
      </c>
      <c r="B1083" s="2" t="s">
        <v>1416</v>
      </c>
      <c r="C1083" s="2" t="s">
        <v>2796</v>
      </c>
      <c r="D1083" s="2" t="s">
        <v>1418</v>
      </c>
      <c r="E1083" s="4" t="n">
        <v>125.53</v>
      </c>
      <c r="F1083" s="4" t="n">
        <v>11.42</v>
      </c>
      <c r="G1083" s="4" t="n">
        <v>114.11</v>
      </c>
      <c r="H1083" s="2" t="s">
        <v>1385</v>
      </c>
    </row>
    <row r="1084" customFormat="false" ht="15" hidden="false" customHeight="false" outlineLevel="0" collapsed="false">
      <c r="A1084" s="2" t="s">
        <v>22</v>
      </c>
      <c r="B1084" s="2" t="s">
        <v>1464</v>
      </c>
      <c r="C1084" s="2" t="s">
        <v>2797</v>
      </c>
      <c r="D1084" s="2" t="s">
        <v>1466</v>
      </c>
      <c r="E1084" s="4" t="n">
        <v>518.61</v>
      </c>
      <c r="F1084" s="4" t="n">
        <v>47.15</v>
      </c>
      <c r="G1084" s="4" t="n">
        <v>471.46</v>
      </c>
      <c r="H1084" s="2" t="s">
        <v>1385</v>
      </c>
    </row>
    <row r="1085" customFormat="false" ht="15" hidden="false" customHeight="false" outlineLevel="0" collapsed="false">
      <c r="A1085" s="2" t="s">
        <v>22</v>
      </c>
      <c r="B1085" s="2" t="s">
        <v>690</v>
      </c>
      <c r="C1085" s="2" t="s">
        <v>691</v>
      </c>
      <c r="D1085" s="2" t="s">
        <v>692</v>
      </c>
      <c r="E1085" s="4" t="n">
        <v>125.45</v>
      </c>
      <c r="F1085" s="4" t="n">
        <v>11.41</v>
      </c>
      <c r="G1085" s="4" t="n">
        <v>114.04</v>
      </c>
      <c r="H1085" s="2" t="s">
        <v>1381</v>
      </c>
    </row>
    <row r="1086" customFormat="false" ht="15" hidden="false" customHeight="false" outlineLevel="0" collapsed="false">
      <c r="A1086" s="2" t="s">
        <v>22</v>
      </c>
      <c r="B1086" s="2" t="s">
        <v>1736</v>
      </c>
      <c r="C1086" s="2" t="s">
        <v>2798</v>
      </c>
      <c r="D1086" s="2" t="s">
        <v>1738</v>
      </c>
      <c r="E1086" s="4" t="n">
        <v>1466.71</v>
      </c>
      <c r="F1086" s="4" t="n">
        <v>133.72</v>
      </c>
      <c r="G1086" s="4" t="n">
        <v>1332.99</v>
      </c>
      <c r="H1086" s="2" t="s">
        <v>1385</v>
      </c>
    </row>
    <row r="1087" customFormat="false" ht="15" hidden="false" customHeight="false" outlineLevel="0" collapsed="false">
      <c r="A1087" s="2" t="s">
        <v>22</v>
      </c>
      <c r="B1087" s="2" t="s">
        <v>1491</v>
      </c>
      <c r="C1087" s="2" t="s">
        <v>2799</v>
      </c>
      <c r="D1087" s="2" t="s">
        <v>1493</v>
      </c>
      <c r="E1087" s="4" t="n">
        <v>104.84</v>
      </c>
      <c r="F1087" s="4" t="n">
        <v>9.53</v>
      </c>
      <c r="G1087" s="4" t="n">
        <v>95.31</v>
      </c>
      <c r="H1087" s="2" t="s">
        <v>1385</v>
      </c>
    </row>
    <row r="1088" customFormat="false" ht="15" hidden="false" customHeight="false" outlineLevel="0" collapsed="false">
      <c r="A1088" s="2" t="s">
        <v>22</v>
      </c>
      <c r="B1088" s="2" t="s">
        <v>710</v>
      </c>
      <c r="C1088" s="2" t="s">
        <v>711</v>
      </c>
      <c r="D1088" s="2" t="s">
        <v>712</v>
      </c>
      <c r="E1088" s="4" t="n">
        <v>110.88</v>
      </c>
      <c r="F1088" s="4" t="n">
        <v>10.08</v>
      </c>
      <c r="G1088" s="4" t="n">
        <v>100.8</v>
      </c>
      <c r="H1088" s="2" t="s">
        <v>1381</v>
      </c>
    </row>
    <row r="1089" customFormat="false" ht="15" hidden="false" customHeight="false" outlineLevel="0" collapsed="false">
      <c r="A1089" s="2" t="s">
        <v>22</v>
      </c>
      <c r="B1089" s="2" t="s">
        <v>786</v>
      </c>
      <c r="C1089" s="2" t="s">
        <v>787</v>
      </c>
      <c r="D1089" s="2" t="s">
        <v>788</v>
      </c>
      <c r="E1089" s="4" t="n">
        <v>143.43</v>
      </c>
      <c r="F1089" s="4" t="n">
        <v>13.05</v>
      </c>
      <c r="G1089" s="4" t="n">
        <v>130.38</v>
      </c>
      <c r="H1089" s="2" t="s">
        <v>1381</v>
      </c>
    </row>
    <row r="1090" customFormat="false" ht="15" hidden="false" customHeight="false" outlineLevel="0" collapsed="false">
      <c r="A1090" s="2" t="s">
        <v>22</v>
      </c>
      <c r="B1090" s="2" t="s">
        <v>683</v>
      </c>
      <c r="C1090" s="2" t="s">
        <v>684</v>
      </c>
      <c r="D1090" s="2" t="s">
        <v>685</v>
      </c>
      <c r="E1090" s="4" t="n">
        <v>116.16</v>
      </c>
      <c r="F1090" s="4" t="n">
        <v>10.57</v>
      </c>
      <c r="G1090" s="4" t="n">
        <v>105.59</v>
      </c>
      <c r="H1090" s="2" t="s">
        <v>1381</v>
      </c>
    </row>
    <row r="1091" customFormat="false" ht="15" hidden="false" customHeight="false" outlineLevel="0" collapsed="false">
      <c r="A1091" s="2" t="s">
        <v>22</v>
      </c>
      <c r="B1091" s="2" t="s">
        <v>1449</v>
      </c>
      <c r="C1091" s="2" t="s">
        <v>2800</v>
      </c>
      <c r="D1091" s="2" t="s">
        <v>1451</v>
      </c>
      <c r="E1091" s="4" t="n">
        <v>185.65</v>
      </c>
      <c r="F1091" s="4" t="n">
        <v>16.89</v>
      </c>
      <c r="G1091" s="4" t="n">
        <v>168.76</v>
      </c>
      <c r="H1091" s="2" t="s">
        <v>1385</v>
      </c>
    </row>
    <row r="1092" customFormat="false" ht="15" hidden="false" customHeight="false" outlineLevel="0" collapsed="false">
      <c r="A1092" s="2" t="s">
        <v>22</v>
      </c>
      <c r="B1092" s="2" t="s">
        <v>1428</v>
      </c>
      <c r="C1092" s="2" t="s">
        <v>2801</v>
      </c>
      <c r="D1092" s="2" t="s">
        <v>1430</v>
      </c>
      <c r="E1092" s="4" t="n">
        <v>142.78</v>
      </c>
      <c r="F1092" s="4" t="n">
        <v>12.98</v>
      </c>
      <c r="G1092" s="4" t="n">
        <v>129.8</v>
      </c>
      <c r="H1092" s="2" t="s">
        <v>1385</v>
      </c>
    </row>
    <row r="1093" customFormat="false" ht="15" hidden="false" customHeight="false" outlineLevel="0" collapsed="false">
      <c r="A1093" s="2" t="s">
        <v>22</v>
      </c>
      <c r="B1093" s="2" t="s">
        <v>805</v>
      </c>
      <c r="C1093" s="2" t="s">
        <v>806</v>
      </c>
      <c r="D1093" s="2" t="s">
        <v>807</v>
      </c>
      <c r="E1093" s="4" t="n">
        <v>111.78</v>
      </c>
      <c r="F1093" s="4" t="n">
        <v>10.16</v>
      </c>
      <c r="G1093" s="4" t="n">
        <v>101.62</v>
      </c>
      <c r="H1093" s="2" t="s">
        <v>1381</v>
      </c>
    </row>
    <row r="1094" customFormat="false" ht="15" hidden="false" customHeight="false" outlineLevel="0" collapsed="false">
      <c r="A1094" s="2" t="s">
        <v>22</v>
      </c>
      <c r="B1094" s="2" t="s">
        <v>1865</v>
      </c>
      <c r="C1094" s="2" t="s">
        <v>2802</v>
      </c>
      <c r="D1094" s="2" t="s">
        <v>1867</v>
      </c>
      <c r="E1094" s="4" t="n">
        <v>884.43</v>
      </c>
      <c r="F1094" s="4" t="n">
        <v>80.41</v>
      </c>
      <c r="G1094" s="4" t="n">
        <v>804.02</v>
      </c>
      <c r="H1094" s="2" t="s">
        <v>1385</v>
      </c>
    </row>
    <row r="1095" customFormat="false" ht="15" hidden="false" customHeight="false" outlineLevel="0" collapsed="false">
      <c r="A1095" s="2" t="s">
        <v>22</v>
      </c>
      <c r="B1095" s="2" t="s">
        <v>1880</v>
      </c>
      <c r="C1095" s="2" t="s">
        <v>2803</v>
      </c>
      <c r="D1095" s="2" t="s">
        <v>1882</v>
      </c>
      <c r="E1095" s="4" t="n">
        <v>109.48</v>
      </c>
      <c r="F1095" s="4" t="n">
        <v>9.95</v>
      </c>
      <c r="G1095" s="4" t="n">
        <v>99.53</v>
      </c>
      <c r="H1095" s="2" t="s">
        <v>1385</v>
      </c>
    </row>
    <row r="1096" customFormat="false" ht="15" hidden="false" customHeight="false" outlineLevel="0" collapsed="false">
      <c r="A1096" s="2" t="s">
        <v>22</v>
      </c>
      <c r="B1096" s="2" t="s">
        <v>1892</v>
      </c>
      <c r="C1096" s="2" t="s">
        <v>2804</v>
      </c>
      <c r="D1096" s="2" t="s">
        <v>1894</v>
      </c>
      <c r="E1096" s="4" t="n">
        <v>228.15</v>
      </c>
      <c r="F1096" s="4" t="n">
        <v>20.76</v>
      </c>
      <c r="G1096" s="4" t="n">
        <v>207.39</v>
      </c>
      <c r="H1096" s="2" t="s">
        <v>1385</v>
      </c>
    </row>
    <row r="1097" customFormat="false" ht="15" hidden="false" customHeight="false" outlineLevel="0" collapsed="false">
      <c r="A1097" s="2" t="s">
        <v>22</v>
      </c>
      <c r="B1097" s="2" t="s">
        <v>1446</v>
      </c>
      <c r="C1097" s="2" t="s">
        <v>2805</v>
      </c>
      <c r="D1097" s="2" t="s">
        <v>1448</v>
      </c>
      <c r="E1097" s="4" t="n">
        <v>276.83</v>
      </c>
      <c r="F1097" s="4" t="n">
        <v>25.16</v>
      </c>
      <c r="G1097" s="4" t="n">
        <v>251.67</v>
      </c>
      <c r="H1097" s="2" t="s">
        <v>1385</v>
      </c>
    </row>
    <row r="1098" customFormat="false" ht="15" hidden="false" customHeight="false" outlineLevel="0" collapsed="false">
      <c r="A1098" s="2" t="s">
        <v>22</v>
      </c>
      <c r="B1098" s="2" t="s">
        <v>1470</v>
      </c>
      <c r="C1098" s="2" t="s">
        <v>2806</v>
      </c>
      <c r="D1098" s="2" t="s">
        <v>1472</v>
      </c>
      <c r="E1098" s="4" t="n">
        <v>221.34</v>
      </c>
      <c r="F1098" s="4" t="n">
        <v>20.13</v>
      </c>
      <c r="G1098" s="4" t="n">
        <v>201.21</v>
      </c>
      <c r="H1098" s="2" t="s">
        <v>1385</v>
      </c>
    </row>
    <row r="1099" customFormat="false" ht="15" hidden="false" customHeight="false" outlineLevel="0" collapsed="false">
      <c r="A1099" s="2" t="s">
        <v>22</v>
      </c>
      <c r="B1099" s="2" t="s">
        <v>1718</v>
      </c>
      <c r="C1099" s="2" t="s">
        <v>2807</v>
      </c>
      <c r="D1099" s="2" t="s">
        <v>1720</v>
      </c>
      <c r="E1099" s="4" t="n">
        <v>1722.59</v>
      </c>
      <c r="F1099" s="4" t="n">
        <v>156.61</v>
      </c>
      <c r="G1099" s="4" t="n">
        <v>1565.98</v>
      </c>
      <c r="H1099" s="2" t="s">
        <v>1385</v>
      </c>
    </row>
    <row r="1100" customFormat="false" ht="15" hidden="false" customHeight="false" outlineLevel="0" collapsed="false">
      <c r="A1100" s="2" t="s">
        <v>22</v>
      </c>
      <c r="B1100" s="2" t="s">
        <v>1467</v>
      </c>
      <c r="C1100" s="2" t="s">
        <v>2808</v>
      </c>
      <c r="D1100" s="2" t="s">
        <v>1469</v>
      </c>
      <c r="E1100" s="4" t="n">
        <v>666.72</v>
      </c>
      <c r="F1100" s="4" t="n">
        <v>60.61</v>
      </c>
      <c r="G1100" s="4" t="n">
        <v>606.11</v>
      </c>
      <c r="H1100" s="2" t="s">
        <v>1385</v>
      </c>
    </row>
    <row r="1101" customFormat="false" ht="15" hidden="false" customHeight="false" outlineLevel="0" collapsed="false">
      <c r="A1101" s="2" t="s">
        <v>22</v>
      </c>
      <c r="B1101" s="2" t="s">
        <v>764</v>
      </c>
      <c r="C1101" s="2" t="s">
        <v>765</v>
      </c>
      <c r="D1101" s="2" t="s">
        <v>766</v>
      </c>
      <c r="E1101" s="4" t="n">
        <v>122.2</v>
      </c>
      <c r="F1101" s="4" t="n">
        <v>11.12</v>
      </c>
      <c r="G1101" s="4" t="n">
        <v>111.08</v>
      </c>
      <c r="H1101" s="2" t="s">
        <v>1381</v>
      </c>
    </row>
    <row r="1102" customFormat="false" ht="15" hidden="false" customHeight="false" outlineLevel="0" collapsed="false">
      <c r="A1102" s="2" t="s">
        <v>22</v>
      </c>
      <c r="B1102" s="2" t="s">
        <v>1452</v>
      </c>
      <c r="C1102" s="2" t="s">
        <v>2809</v>
      </c>
      <c r="D1102" s="2" t="s">
        <v>1454</v>
      </c>
      <c r="E1102" s="4" t="n">
        <v>547.76</v>
      </c>
      <c r="F1102" s="4" t="n">
        <v>50.7</v>
      </c>
      <c r="G1102" s="4" t="n">
        <v>497.06</v>
      </c>
      <c r="H1102" s="2" t="s">
        <v>1385</v>
      </c>
    </row>
    <row r="1103" customFormat="false" ht="15" hidden="false" customHeight="false" outlineLevel="0" collapsed="false">
      <c r="A1103" s="2" t="s">
        <v>22</v>
      </c>
      <c r="B1103" s="2" t="s">
        <v>1425</v>
      </c>
      <c r="C1103" s="2" t="s">
        <v>2810</v>
      </c>
      <c r="D1103" s="2" t="s">
        <v>1427</v>
      </c>
      <c r="E1103" s="4" t="n">
        <v>267.9</v>
      </c>
      <c r="F1103" s="4" t="n">
        <v>24.37</v>
      </c>
      <c r="G1103" s="4" t="n">
        <v>243.53</v>
      </c>
      <c r="H1103" s="2" t="s">
        <v>1385</v>
      </c>
    </row>
    <row r="1104" customFormat="false" ht="15" hidden="false" customHeight="false" outlineLevel="0" collapsed="false">
      <c r="A1104" s="2" t="s">
        <v>22</v>
      </c>
      <c r="B1104" s="2" t="s">
        <v>1661</v>
      </c>
      <c r="C1104" s="2" t="s">
        <v>2811</v>
      </c>
      <c r="D1104" s="2" t="s">
        <v>1663</v>
      </c>
      <c r="E1104" s="4" t="n">
        <v>725.51</v>
      </c>
      <c r="F1104" s="4" t="n">
        <v>65.96</v>
      </c>
      <c r="G1104" s="4" t="n">
        <v>659.55</v>
      </c>
      <c r="H1104" s="2" t="s">
        <v>1385</v>
      </c>
    </row>
    <row r="1105" customFormat="false" ht="15" hidden="false" customHeight="false" outlineLevel="0" collapsed="false">
      <c r="A1105" s="2" t="s">
        <v>22</v>
      </c>
      <c r="B1105" s="2" t="s">
        <v>1443</v>
      </c>
      <c r="C1105" s="2" t="s">
        <v>2812</v>
      </c>
      <c r="D1105" s="2" t="s">
        <v>1445</v>
      </c>
      <c r="E1105" s="4" t="n">
        <v>876.31</v>
      </c>
      <c r="F1105" s="4" t="n">
        <v>79.66</v>
      </c>
      <c r="G1105" s="4" t="n">
        <v>796.65</v>
      </c>
      <c r="H1105" s="2" t="s">
        <v>1385</v>
      </c>
    </row>
    <row r="1106" customFormat="false" ht="15" hidden="false" customHeight="false" outlineLevel="0" collapsed="false">
      <c r="A1106" s="2" t="s">
        <v>22</v>
      </c>
      <c r="B1106" s="2" t="s">
        <v>1434</v>
      </c>
      <c r="C1106" s="2" t="s">
        <v>2813</v>
      </c>
      <c r="D1106" s="2" t="s">
        <v>1436</v>
      </c>
      <c r="E1106" s="4" t="n">
        <v>266.47</v>
      </c>
      <c r="F1106" s="4" t="n">
        <v>24.22</v>
      </c>
      <c r="G1106" s="4" t="n">
        <v>242.25</v>
      </c>
      <c r="H1106" s="2" t="s">
        <v>1385</v>
      </c>
    </row>
    <row r="1107" customFormat="false" ht="15" hidden="false" customHeight="false" outlineLevel="0" collapsed="false">
      <c r="A1107" s="2" t="s">
        <v>22</v>
      </c>
      <c r="B1107" s="2" t="s">
        <v>1440</v>
      </c>
      <c r="C1107" s="2" t="s">
        <v>2814</v>
      </c>
      <c r="D1107" s="2" t="s">
        <v>1442</v>
      </c>
      <c r="E1107" s="4" t="n">
        <v>182.44</v>
      </c>
      <c r="F1107" s="4" t="n">
        <v>16.59</v>
      </c>
      <c r="G1107" s="4" t="n">
        <v>165.85</v>
      </c>
      <c r="H1107" s="2" t="s">
        <v>1385</v>
      </c>
    </row>
    <row r="1108" customFormat="false" ht="15" hidden="false" customHeight="false" outlineLevel="0" collapsed="false">
      <c r="A1108" s="2" t="s">
        <v>22</v>
      </c>
      <c r="B1108" s="2" t="s">
        <v>1886</v>
      </c>
      <c r="C1108" s="2" t="s">
        <v>2815</v>
      </c>
      <c r="D1108" s="2" t="s">
        <v>1888</v>
      </c>
      <c r="E1108" s="4" t="n">
        <v>151.4</v>
      </c>
      <c r="F1108" s="4" t="n">
        <v>13.77</v>
      </c>
      <c r="G1108" s="4" t="n">
        <v>137.63</v>
      </c>
      <c r="H1108" s="2" t="s">
        <v>1385</v>
      </c>
    </row>
    <row r="1109" customFormat="false" ht="15" hidden="false" customHeight="false" outlineLevel="0" collapsed="false">
      <c r="A1109" s="2" t="s">
        <v>22</v>
      </c>
      <c r="B1109" s="2" t="s">
        <v>757</v>
      </c>
      <c r="C1109" s="2" t="s">
        <v>758</v>
      </c>
      <c r="D1109" s="2" t="s">
        <v>759</v>
      </c>
      <c r="E1109" s="4" t="n">
        <v>125.92</v>
      </c>
      <c r="F1109" s="4" t="n">
        <v>11.46</v>
      </c>
      <c r="G1109" s="4" t="n">
        <v>114.46</v>
      </c>
      <c r="H1109" s="2" t="s">
        <v>1381</v>
      </c>
    </row>
    <row r="1110" customFormat="false" ht="15" hidden="false" customHeight="false" outlineLevel="0" collapsed="false">
      <c r="A1110" s="2" t="s">
        <v>22</v>
      </c>
      <c r="B1110" s="2" t="s">
        <v>1386</v>
      </c>
      <c r="C1110" s="2" t="s">
        <v>2816</v>
      </c>
      <c r="D1110" s="2" t="s">
        <v>1388</v>
      </c>
      <c r="E1110" s="4" t="n">
        <v>425.03</v>
      </c>
      <c r="F1110" s="4" t="n">
        <v>38.64</v>
      </c>
      <c r="G1110" s="4" t="n">
        <v>386.39</v>
      </c>
      <c r="H1110" s="2" t="s">
        <v>1385</v>
      </c>
    </row>
    <row r="1111" customFormat="false" ht="15" hidden="false" customHeight="false" outlineLevel="0" collapsed="false">
      <c r="A1111" s="2" t="s">
        <v>22</v>
      </c>
      <c r="B1111" s="2" t="s">
        <v>1413</v>
      </c>
      <c r="C1111" s="2" t="s">
        <v>2817</v>
      </c>
      <c r="D1111" s="2" t="s">
        <v>1415</v>
      </c>
      <c r="E1111" s="4" t="n">
        <v>286.14</v>
      </c>
      <c r="F1111" s="4" t="n">
        <v>26.02</v>
      </c>
      <c r="G1111" s="4" t="n">
        <v>260.12</v>
      </c>
      <c r="H1111" s="2" t="s">
        <v>1385</v>
      </c>
    </row>
    <row r="1112" customFormat="false" ht="15" hidden="false" customHeight="false" outlineLevel="0" collapsed="false">
      <c r="A1112" s="2" t="s">
        <v>22</v>
      </c>
      <c r="B1112" s="2" t="s">
        <v>648</v>
      </c>
      <c r="C1112" s="2" t="s">
        <v>649</v>
      </c>
      <c r="D1112" s="2" t="s">
        <v>650</v>
      </c>
      <c r="E1112" s="4" t="n">
        <v>192.7</v>
      </c>
      <c r="F1112" s="4" t="n">
        <v>17.52</v>
      </c>
      <c r="G1112" s="4" t="n">
        <v>175.18</v>
      </c>
      <c r="H1112" s="2" t="s">
        <v>1381</v>
      </c>
    </row>
    <row r="1113" customFormat="false" ht="15" hidden="false" customHeight="false" outlineLevel="0" collapsed="false">
      <c r="A1113" s="2" t="s">
        <v>22</v>
      </c>
      <c r="B1113" s="2" t="s">
        <v>779</v>
      </c>
      <c r="C1113" s="2" t="s">
        <v>780</v>
      </c>
      <c r="D1113" s="2" t="s">
        <v>781</v>
      </c>
      <c r="E1113" s="4" t="n">
        <v>112.95</v>
      </c>
      <c r="F1113" s="4" t="n">
        <v>10.27</v>
      </c>
      <c r="G1113" s="4" t="n">
        <v>102.68</v>
      </c>
      <c r="H1113" s="2" t="s">
        <v>1381</v>
      </c>
    </row>
    <row r="1114" customFormat="false" ht="15" hidden="false" customHeight="false" outlineLevel="0" collapsed="false">
      <c r="A1114" s="2" t="s">
        <v>22</v>
      </c>
      <c r="B1114" s="2" t="s">
        <v>627</v>
      </c>
      <c r="C1114" s="2" t="s">
        <v>628</v>
      </c>
      <c r="D1114" s="2" t="s">
        <v>629</v>
      </c>
      <c r="E1114" s="4" t="n">
        <v>118.11</v>
      </c>
      <c r="F1114" s="4" t="n">
        <v>10.74</v>
      </c>
      <c r="G1114" s="4" t="n">
        <v>107.37</v>
      </c>
      <c r="H1114" s="2" t="s">
        <v>1381</v>
      </c>
    </row>
    <row r="1115" customFormat="false" ht="15" hidden="false" customHeight="false" outlineLevel="0" collapsed="false">
      <c r="A1115" s="2" t="s">
        <v>22</v>
      </c>
      <c r="B1115" s="2" t="s">
        <v>750</v>
      </c>
      <c r="C1115" s="2" t="s">
        <v>751</v>
      </c>
      <c r="D1115" s="2" t="s">
        <v>752</v>
      </c>
      <c r="E1115" s="4" t="n">
        <v>113.86</v>
      </c>
      <c r="F1115" s="4" t="n">
        <v>10.36</v>
      </c>
      <c r="G1115" s="4" t="n">
        <v>103.5</v>
      </c>
      <c r="H1115" s="2" t="s">
        <v>1381</v>
      </c>
    </row>
    <row r="1116" customFormat="false" ht="15" hidden="false" customHeight="false" outlineLevel="0" collapsed="false">
      <c r="A1116" s="2" t="s">
        <v>22</v>
      </c>
      <c r="B1116" s="2" t="s">
        <v>1476</v>
      </c>
      <c r="C1116" s="2" t="s">
        <v>2818</v>
      </c>
      <c r="D1116" s="2" t="s">
        <v>1478</v>
      </c>
      <c r="E1116" s="4" t="n">
        <v>123.77</v>
      </c>
      <c r="F1116" s="4" t="n">
        <v>11.27</v>
      </c>
      <c r="G1116" s="4" t="n">
        <v>112.5</v>
      </c>
      <c r="H1116" s="2" t="s">
        <v>1385</v>
      </c>
    </row>
    <row r="1117" customFormat="false" ht="15" hidden="false" customHeight="false" outlineLevel="0" collapsed="false">
      <c r="A1117" s="2" t="s">
        <v>22</v>
      </c>
      <c r="B1117" s="2" t="s">
        <v>1473</v>
      </c>
      <c r="C1117" s="2" t="s">
        <v>2819</v>
      </c>
      <c r="D1117" s="2" t="s">
        <v>1475</v>
      </c>
      <c r="E1117" s="4" t="n">
        <v>306.79</v>
      </c>
      <c r="F1117" s="4" t="n">
        <v>27.9</v>
      </c>
      <c r="G1117" s="4" t="n">
        <v>278.89</v>
      </c>
      <c r="H1117" s="2" t="s">
        <v>1385</v>
      </c>
    </row>
    <row r="1118" customFormat="false" ht="15" hidden="false" customHeight="false" outlineLevel="0" collapsed="false">
      <c r="A1118" s="2" t="s">
        <v>22</v>
      </c>
      <c r="B1118" s="2" t="s">
        <v>1482</v>
      </c>
      <c r="C1118" s="2" t="s">
        <v>2820</v>
      </c>
      <c r="D1118" s="2" t="s">
        <v>1484</v>
      </c>
      <c r="E1118" s="4" t="n">
        <v>493.83</v>
      </c>
      <c r="F1118" s="4" t="n">
        <v>44.9</v>
      </c>
      <c r="G1118" s="4" t="n">
        <v>448.93</v>
      </c>
      <c r="H1118" s="2" t="s">
        <v>1385</v>
      </c>
    </row>
    <row r="1119" customFormat="false" ht="15" hidden="false" customHeight="false" outlineLevel="0" collapsed="false">
      <c r="A1119" s="2" t="s">
        <v>22</v>
      </c>
      <c r="B1119" s="2" t="s">
        <v>727</v>
      </c>
      <c r="C1119" s="2" t="s">
        <v>739</v>
      </c>
      <c r="D1119" s="2" t="s">
        <v>729</v>
      </c>
      <c r="E1119" s="4" t="n">
        <v>115.8</v>
      </c>
      <c r="F1119" s="4" t="n">
        <v>10.53</v>
      </c>
      <c r="G1119" s="4" t="n">
        <v>105.27</v>
      </c>
      <c r="H1119" s="2" t="s">
        <v>1381</v>
      </c>
    </row>
    <row r="1120" customFormat="false" ht="15" hidden="false" customHeight="false" outlineLevel="0" collapsed="false">
      <c r="A1120" s="2" t="s">
        <v>22</v>
      </c>
      <c r="B1120" s="2" t="s">
        <v>1419</v>
      </c>
      <c r="C1120" s="2" t="s">
        <v>2821</v>
      </c>
      <c r="D1120" s="2" t="s">
        <v>2366</v>
      </c>
      <c r="E1120" s="4" t="n">
        <v>905.49</v>
      </c>
      <c r="F1120" s="4" t="n">
        <v>82.32</v>
      </c>
      <c r="G1120" s="4" t="n">
        <v>823.17</v>
      </c>
      <c r="H1120" s="2" t="s">
        <v>1385</v>
      </c>
    </row>
    <row r="1121" customFormat="false" ht="15" hidden="false" customHeight="false" outlineLevel="0" collapsed="false">
      <c r="A1121" s="2" t="s">
        <v>22</v>
      </c>
      <c r="B1121" s="2" t="s">
        <v>774</v>
      </c>
      <c r="C1121" s="2" t="s">
        <v>775</v>
      </c>
      <c r="D1121" s="2" t="s">
        <v>776</v>
      </c>
      <c r="E1121" s="4" t="n">
        <v>112.88</v>
      </c>
      <c r="F1121" s="4" t="n">
        <v>10.26</v>
      </c>
      <c r="G1121" s="4" t="n">
        <v>102.62</v>
      </c>
      <c r="H1121" s="2" t="s">
        <v>1381</v>
      </c>
    </row>
    <row r="1122" customFormat="false" ht="15" hidden="false" customHeight="false" outlineLevel="0" collapsed="false">
      <c r="A1122" s="2" t="s">
        <v>22</v>
      </c>
      <c r="B1122" s="2" t="s">
        <v>1488</v>
      </c>
      <c r="C1122" s="2" t="s">
        <v>2822</v>
      </c>
      <c r="D1122" s="2" t="s">
        <v>1490</v>
      </c>
      <c r="E1122" s="4" t="n">
        <v>479</v>
      </c>
      <c r="F1122" s="4" t="n">
        <v>43.54</v>
      </c>
      <c r="G1122" s="4" t="n">
        <v>435.46</v>
      </c>
      <c r="H1122" s="2" t="s">
        <v>1385</v>
      </c>
    </row>
    <row r="1123" customFormat="false" ht="15" hidden="false" customHeight="false" outlineLevel="0" collapsed="false">
      <c r="A1123" s="2" t="s">
        <v>22</v>
      </c>
      <c r="B1123" s="2" t="s">
        <v>670</v>
      </c>
      <c r="C1123" s="2" t="s">
        <v>671</v>
      </c>
      <c r="D1123" s="2" t="s">
        <v>672</v>
      </c>
      <c r="E1123" s="4" t="n">
        <v>113.64</v>
      </c>
      <c r="F1123" s="4" t="n">
        <v>10.33</v>
      </c>
      <c r="G1123" s="4" t="n">
        <v>103.31</v>
      </c>
      <c r="H1123" s="2" t="s">
        <v>1381</v>
      </c>
    </row>
    <row r="1124" customFormat="false" ht="15" hidden="false" customHeight="false" outlineLevel="0" collapsed="false">
      <c r="A1124" s="2" t="s">
        <v>22</v>
      </c>
      <c r="B1124" s="2" t="s">
        <v>1455</v>
      </c>
      <c r="C1124" s="2" t="s">
        <v>2823</v>
      </c>
      <c r="D1124" s="2" t="s">
        <v>1457</v>
      </c>
      <c r="E1124" s="4" t="n">
        <v>112.04</v>
      </c>
      <c r="F1124" s="4" t="n">
        <v>10.19</v>
      </c>
      <c r="G1124" s="4" t="n">
        <v>101.85</v>
      </c>
      <c r="H1124" s="2" t="s">
        <v>1385</v>
      </c>
    </row>
    <row r="1125" customFormat="false" ht="15" hidden="false" customHeight="false" outlineLevel="0" collapsed="false">
      <c r="A1125" s="2" t="s">
        <v>22</v>
      </c>
      <c r="B1125" s="2" t="s">
        <v>643</v>
      </c>
      <c r="C1125" s="2" t="s">
        <v>644</v>
      </c>
      <c r="D1125" s="2" t="s">
        <v>645</v>
      </c>
      <c r="E1125" s="4" t="n">
        <v>153.17</v>
      </c>
      <c r="F1125" s="4" t="n">
        <v>13.93</v>
      </c>
      <c r="G1125" s="4" t="n">
        <v>139.24</v>
      </c>
      <c r="H1125" s="2" t="s">
        <v>1381</v>
      </c>
    </row>
    <row r="1126" customFormat="false" ht="15" hidden="false" customHeight="false" outlineLevel="0" collapsed="false">
      <c r="A1126" s="2" t="s">
        <v>22</v>
      </c>
      <c r="B1126" s="2" t="s">
        <v>1461</v>
      </c>
      <c r="C1126" s="2" t="s">
        <v>2824</v>
      </c>
      <c r="D1126" s="2" t="s">
        <v>1463</v>
      </c>
      <c r="E1126" s="4" t="n">
        <v>114.02</v>
      </c>
      <c r="F1126" s="4" t="n">
        <v>10.37</v>
      </c>
      <c r="G1126" s="4" t="n">
        <v>103.65</v>
      </c>
      <c r="H1126" s="2" t="s">
        <v>1385</v>
      </c>
    </row>
    <row r="1127" customFormat="false" ht="15" hidden="false" customHeight="false" outlineLevel="0" collapsed="false">
      <c r="A1127" s="2" t="s">
        <v>22</v>
      </c>
      <c r="B1127" s="2" t="s">
        <v>1727</v>
      </c>
      <c r="C1127" s="2" t="s">
        <v>2825</v>
      </c>
      <c r="D1127" s="2" t="s">
        <v>1729</v>
      </c>
      <c r="E1127" s="4" t="n">
        <v>103.96</v>
      </c>
      <c r="F1127" s="4" t="n">
        <v>9.46</v>
      </c>
      <c r="G1127" s="4" t="n">
        <v>94.5</v>
      </c>
      <c r="H1127" s="2" t="s">
        <v>1385</v>
      </c>
    </row>
    <row r="1128" customFormat="false" ht="15" hidden="false" customHeight="false" outlineLevel="0" collapsed="false">
      <c r="A1128" s="2" t="s">
        <v>22</v>
      </c>
      <c r="B1128" s="2" t="s">
        <v>1485</v>
      </c>
      <c r="C1128" s="2" t="s">
        <v>2826</v>
      </c>
      <c r="D1128" s="2" t="s">
        <v>1487</v>
      </c>
      <c r="E1128" s="4" t="n">
        <v>575.56</v>
      </c>
      <c r="F1128" s="4" t="n">
        <v>52.33</v>
      </c>
      <c r="G1128" s="4" t="n">
        <v>523.23</v>
      </c>
      <c r="H1128" s="2" t="s">
        <v>1385</v>
      </c>
    </row>
    <row r="1129" customFormat="false" ht="15" hidden="false" customHeight="false" outlineLevel="0" collapsed="false">
      <c r="A1129" s="2" t="s">
        <v>22</v>
      </c>
      <c r="B1129" s="2" t="s">
        <v>858</v>
      </c>
      <c r="C1129" s="2" t="s">
        <v>859</v>
      </c>
      <c r="D1129" s="2" t="s">
        <v>860</v>
      </c>
      <c r="E1129" s="4" t="n">
        <v>107.2</v>
      </c>
      <c r="F1129" s="4" t="n">
        <v>9.74</v>
      </c>
      <c r="G1129" s="4" t="n">
        <v>97.46</v>
      </c>
      <c r="H1129" s="2" t="s">
        <v>1381</v>
      </c>
    </row>
    <row r="1130" customFormat="false" ht="15" hidden="false" customHeight="false" outlineLevel="0" collapsed="false">
      <c r="A1130" s="2" t="s">
        <v>22</v>
      </c>
      <c r="B1130" s="2" t="s">
        <v>845</v>
      </c>
      <c r="C1130" s="2" t="s">
        <v>846</v>
      </c>
      <c r="D1130" s="2" t="s">
        <v>847</v>
      </c>
      <c r="E1130" s="4" t="n">
        <v>101.11</v>
      </c>
      <c r="F1130" s="4" t="n">
        <v>9.18</v>
      </c>
      <c r="G1130" s="4" t="n">
        <v>91.93</v>
      </c>
      <c r="H1130" s="2" t="s">
        <v>1381</v>
      </c>
    </row>
    <row r="1131" customFormat="false" ht="15" hidden="false" customHeight="false" outlineLevel="0" collapsed="false">
      <c r="A1131" s="2" t="s">
        <v>22</v>
      </c>
      <c r="B1131" s="2" t="s">
        <v>704</v>
      </c>
      <c r="C1131" s="2" t="s">
        <v>705</v>
      </c>
      <c r="D1131" s="2" t="s">
        <v>706</v>
      </c>
      <c r="E1131" s="4" t="n">
        <v>117.04</v>
      </c>
      <c r="F1131" s="4" t="n">
        <v>10.64</v>
      </c>
      <c r="G1131" s="4" t="n">
        <v>106.4</v>
      </c>
      <c r="H1131" s="2" t="s">
        <v>1381</v>
      </c>
    </row>
    <row r="1132" customFormat="false" ht="15" hidden="false" customHeight="false" outlineLevel="0" collapsed="false">
      <c r="A1132" s="2" t="s">
        <v>22</v>
      </c>
      <c r="B1132" s="2" t="s">
        <v>2827</v>
      </c>
      <c r="C1132" s="2" t="s">
        <v>2828</v>
      </c>
      <c r="D1132" s="2" t="s">
        <v>2829</v>
      </c>
      <c r="E1132" s="4" t="n">
        <v>0</v>
      </c>
      <c r="F1132" s="4" t="n">
        <v>0</v>
      </c>
      <c r="G1132" s="4" t="n">
        <v>0</v>
      </c>
      <c r="H1132" s="2" t="s">
        <v>1385</v>
      </c>
    </row>
    <row r="1133" customFormat="false" ht="15" hidden="false" customHeight="false" outlineLevel="0" collapsed="false">
      <c r="A1133" s="2" t="s">
        <v>22</v>
      </c>
      <c r="B1133" s="2" t="s">
        <v>2830</v>
      </c>
      <c r="C1133" s="2" t="s">
        <v>2831</v>
      </c>
      <c r="D1133" s="2" t="s">
        <v>2832</v>
      </c>
      <c r="E1133" s="4" t="n">
        <v>0</v>
      </c>
      <c r="F1133" s="4" t="n">
        <v>0</v>
      </c>
      <c r="G1133" s="4" t="n">
        <v>0</v>
      </c>
      <c r="H1133" s="2" t="s">
        <v>1385</v>
      </c>
    </row>
    <row r="1134" customFormat="false" ht="15" hidden="false" customHeight="false" outlineLevel="0" collapsed="false">
      <c r="A1134" s="2" t="s">
        <v>26</v>
      </c>
      <c r="B1134" s="2" t="s">
        <v>1748</v>
      </c>
      <c r="C1134" s="2" t="s">
        <v>2833</v>
      </c>
      <c r="D1134" s="2" t="s">
        <v>1750</v>
      </c>
      <c r="E1134" s="4" t="n">
        <v>155.7</v>
      </c>
      <c r="F1134" s="4" t="n">
        <v>14.16</v>
      </c>
      <c r="G1134" s="4" t="n">
        <v>141.54</v>
      </c>
      <c r="H1134" s="2" t="s">
        <v>1385</v>
      </c>
    </row>
    <row r="1135" customFormat="false" ht="15" hidden="false" customHeight="false" outlineLevel="0" collapsed="false">
      <c r="A1135" s="2" t="s">
        <v>26</v>
      </c>
      <c r="B1135" s="2" t="s">
        <v>1628</v>
      </c>
      <c r="C1135" s="2" t="s">
        <v>2834</v>
      </c>
      <c r="D1135" s="2" t="s">
        <v>1630</v>
      </c>
      <c r="E1135" s="4" t="n">
        <v>104.82</v>
      </c>
      <c r="F1135" s="4" t="n">
        <v>9.53</v>
      </c>
      <c r="G1135" s="4" t="n">
        <v>95.29</v>
      </c>
      <c r="H1135" s="2" t="s">
        <v>1385</v>
      </c>
    </row>
    <row r="1136" customFormat="false" ht="15" hidden="false" customHeight="false" outlineLevel="0" collapsed="false">
      <c r="A1136" s="2" t="s">
        <v>26</v>
      </c>
      <c r="B1136" s="2" t="s">
        <v>938</v>
      </c>
      <c r="C1136" s="2" t="s">
        <v>1152</v>
      </c>
      <c r="D1136" s="2" t="s">
        <v>940</v>
      </c>
      <c r="E1136" s="4" t="n">
        <v>54.58</v>
      </c>
      <c r="F1136" s="4" t="n">
        <v>4.96</v>
      </c>
      <c r="G1136" s="4" t="n">
        <v>49.62</v>
      </c>
      <c r="H1136" s="2" t="s">
        <v>1381</v>
      </c>
    </row>
    <row r="1137" customFormat="false" ht="15" hidden="false" customHeight="false" outlineLevel="0" collapsed="false">
      <c r="A1137" s="2" t="s">
        <v>26</v>
      </c>
      <c r="B1137" s="2" t="s">
        <v>1497</v>
      </c>
      <c r="C1137" s="2" t="s">
        <v>2835</v>
      </c>
      <c r="D1137" s="2" t="s">
        <v>1499</v>
      </c>
      <c r="E1137" s="4" t="n">
        <v>145.85</v>
      </c>
      <c r="F1137" s="4" t="n">
        <v>13.26</v>
      </c>
      <c r="G1137" s="4" t="n">
        <v>132.59</v>
      </c>
      <c r="H1137" s="2" t="s">
        <v>1385</v>
      </c>
    </row>
    <row r="1138" customFormat="false" ht="15" hidden="false" customHeight="false" outlineLevel="0" collapsed="false">
      <c r="A1138" s="2" t="s">
        <v>26</v>
      </c>
      <c r="B1138" s="2" t="s">
        <v>911</v>
      </c>
      <c r="C1138" s="2" t="s">
        <v>1158</v>
      </c>
      <c r="D1138" s="2" t="s">
        <v>913</v>
      </c>
      <c r="E1138" s="4" t="n">
        <v>44.56</v>
      </c>
      <c r="F1138" s="4" t="n">
        <v>4.05</v>
      </c>
      <c r="G1138" s="4" t="n">
        <v>40.51</v>
      </c>
      <c r="H1138" s="2" t="s">
        <v>1381</v>
      </c>
    </row>
    <row r="1139" customFormat="false" ht="15" hidden="false" customHeight="false" outlineLevel="0" collapsed="false">
      <c r="A1139" s="2" t="s">
        <v>26</v>
      </c>
      <c r="B1139" s="2" t="s">
        <v>1494</v>
      </c>
      <c r="C1139" s="2" t="s">
        <v>2836</v>
      </c>
      <c r="D1139" s="2" t="s">
        <v>1496</v>
      </c>
      <c r="E1139" s="4" t="n">
        <v>33.5</v>
      </c>
      <c r="F1139" s="4" t="n">
        <v>3.05</v>
      </c>
      <c r="G1139" s="4" t="n">
        <v>30.45</v>
      </c>
      <c r="H1139" s="2" t="s">
        <v>1385</v>
      </c>
    </row>
    <row r="1140" customFormat="false" ht="15" hidden="false" customHeight="false" outlineLevel="0" collapsed="false">
      <c r="A1140" s="2" t="s">
        <v>26</v>
      </c>
      <c r="B1140" s="2" t="s">
        <v>1793</v>
      </c>
      <c r="C1140" s="2" t="s">
        <v>2837</v>
      </c>
      <c r="D1140" s="2" t="s">
        <v>1795</v>
      </c>
      <c r="E1140" s="4" t="n">
        <v>52.46</v>
      </c>
      <c r="F1140" s="4" t="n">
        <v>4.76</v>
      </c>
      <c r="G1140" s="4" t="n">
        <v>47.7</v>
      </c>
      <c r="H1140" s="2" t="s">
        <v>1385</v>
      </c>
    </row>
    <row r="1141" customFormat="false" ht="15" hidden="false" customHeight="false" outlineLevel="0" collapsed="false">
      <c r="A1141" s="2" t="s">
        <v>26</v>
      </c>
      <c r="B1141" s="2" t="s">
        <v>993</v>
      </c>
      <c r="C1141" s="2" t="s">
        <v>1154</v>
      </c>
      <c r="D1141" s="2" t="s">
        <v>995</v>
      </c>
      <c r="E1141" s="4" t="n">
        <v>45.26</v>
      </c>
      <c r="F1141" s="4" t="n">
        <v>4.11</v>
      </c>
      <c r="G1141" s="4" t="n">
        <v>41.15</v>
      </c>
      <c r="H1141" s="2" t="s">
        <v>1381</v>
      </c>
    </row>
    <row r="1142" customFormat="false" ht="15" hidden="false" customHeight="false" outlineLevel="0" collapsed="false">
      <c r="A1142" s="2" t="s">
        <v>26</v>
      </c>
      <c r="B1142" s="2" t="s">
        <v>1817</v>
      </c>
      <c r="C1142" s="2" t="s">
        <v>2838</v>
      </c>
      <c r="D1142" s="2" t="s">
        <v>1819</v>
      </c>
      <c r="E1142" s="4" t="n">
        <v>219.78</v>
      </c>
      <c r="F1142" s="4" t="n">
        <v>19.98</v>
      </c>
      <c r="G1142" s="4" t="n">
        <v>199.8</v>
      </c>
      <c r="H1142" s="2" t="s">
        <v>1385</v>
      </c>
    </row>
    <row r="1143" customFormat="false" ht="15" hidden="false" customHeight="false" outlineLevel="0" collapsed="false">
      <c r="A1143" s="2" t="s">
        <v>26</v>
      </c>
      <c r="B1143" s="2" t="s">
        <v>2302</v>
      </c>
      <c r="C1143" s="2" t="s">
        <v>2839</v>
      </c>
      <c r="D1143" s="2" t="s">
        <v>2304</v>
      </c>
      <c r="E1143" s="4" t="n">
        <v>317.7</v>
      </c>
      <c r="F1143" s="4" t="n">
        <v>28.88</v>
      </c>
      <c r="G1143" s="4" t="n">
        <v>288.82</v>
      </c>
      <c r="H1143" s="2" t="s">
        <v>1385</v>
      </c>
    </row>
    <row r="1144" customFormat="false" ht="15" hidden="false" customHeight="false" outlineLevel="0" collapsed="false">
      <c r="A1144" s="2" t="s">
        <v>26</v>
      </c>
      <c r="B1144" s="2" t="s">
        <v>984</v>
      </c>
      <c r="C1144" s="2" t="s">
        <v>1150</v>
      </c>
      <c r="D1144" s="2" t="s">
        <v>986</v>
      </c>
      <c r="E1144" s="4" t="n">
        <v>35.52</v>
      </c>
      <c r="F1144" s="4" t="n">
        <v>3.23</v>
      </c>
      <c r="G1144" s="4" t="n">
        <v>32.29</v>
      </c>
      <c r="H1144" s="2" t="s">
        <v>1381</v>
      </c>
    </row>
    <row r="1145" customFormat="false" ht="15" hidden="false" customHeight="false" outlineLevel="0" collapsed="false">
      <c r="A1145" s="2" t="s">
        <v>26</v>
      </c>
      <c r="B1145" s="2" t="s">
        <v>1583</v>
      </c>
      <c r="C1145" s="2" t="s">
        <v>2840</v>
      </c>
      <c r="D1145" s="2" t="s">
        <v>1585</v>
      </c>
      <c r="E1145" s="4" t="n">
        <v>152.62</v>
      </c>
      <c r="F1145" s="4" t="n">
        <v>13.87</v>
      </c>
      <c r="G1145" s="4" t="n">
        <v>138.75</v>
      </c>
      <c r="H1145" s="2" t="s">
        <v>1385</v>
      </c>
    </row>
    <row r="1146" customFormat="false" ht="15" hidden="false" customHeight="false" outlineLevel="0" collapsed="false">
      <c r="A1146" s="2" t="s">
        <v>26</v>
      </c>
      <c r="B1146" s="2" t="s">
        <v>924</v>
      </c>
      <c r="C1146" s="2" t="s">
        <v>925</v>
      </c>
      <c r="D1146" s="2" t="s">
        <v>926</v>
      </c>
      <c r="E1146" s="4" t="n">
        <v>37.41</v>
      </c>
      <c r="F1146" s="4" t="n">
        <v>3.4</v>
      </c>
      <c r="G1146" s="4" t="n">
        <v>34.01</v>
      </c>
      <c r="H1146" s="2" t="s">
        <v>1381</v>
      </c>
    </row>
    <row r="1147" customFormat="false" ht="15" hidden="false" customHeight="false" outlineLevel="0" collapsed="false">
      <c r="A1147" s="2" t="s">
        <v>26</v>
      </c>
      <c r="B1147" s="2" t="s">
        <v>143</v>
      </c>
      <c r="C1147" s="2" t="s">
        <v>144</v>
      </c>
      <c r="D1147" s="2" t="s">
        <v>145</v>
      </c>
      <c r="E1147" s="4" t="n">
        <v>429.15</v>
      </c>
      <c r="F1147" s="4" t="n">
        <v>39.02</v>
      </c>
      <c r="G1147" s="4" t="n">
        <v>390.13</v>
      </c>
      <c r="H1147" s="2" t="s">
        <v>1381</v>
      </c>
    </row>
    <row r="1148" customFormat="false" ht="15" hidden="false" customHeight="false" outlineLevel="0" collapsed="false">
      <c r="A1148" s="2" t="s">
        <v>26</v>
      </c>
      <c r="B1148" s="2" t="s">
        <v>493</v>
      </c>
      <c r="C1148" s="2" t="s">
        <v>543</v>
      </c>
      <c r="D1148" s="2" t="s">
        <v>495</v>
      </c>
      <c r="E1148" s="4" t="n">
        <v>99.76</v>
      </c>
      <c r="F1148" s="4" t="n">
        <v>9.07</v>
      </c>
      <c r="G1148" s="4" t="n">
        <v>90.69</v>
      </c>
      <c r="H1148" s="2" t="s">
        <v>1381</v>
      </c>
    </row>
    <row r="1149" customFormat="false" ht="15" hidden="false" customHeight="false" outlineLevel="0" collapsed="false">
      <c r="A1149" s="2" t="s">
        <v>26</v>
      </c>
      <c r="B1149" s="2" t="s">
        <v>2020</v>
      </c>
      <c r="C1149" s="2" t="s">
        <v>2841</v>
      </c>
      <c r="D1149" s="2" t="s">
        <v>2022</v>
      </c>
      <c r="E1149" s="4" t="n">
        <v>283.39</v>
      </c>
      <c r="F1149" s="4" t="n">
        <v>25.76</v>
      </c>
      <c r="G1149" s="4" t="n">
        <v>257.63</v>
      </c>
      <c r="H1149" s="2" t="s">
        <v>1385</v>
      </c>
    </row>
    <row r="1150" customFormat="false" ht="15" hidden="false" customHeight="false" outlineLevel="0" collapsed="false">
      <c r="A1150" s="2" t="s">
        <v>26</v>
      </c>
      <c r="B1150" s="2" t="s">
        <v>1975</v>
      </c>
      <c r="C1150" s="2" t="s">
        <v>2842</v>
      </c>
      <c r="D1150" s="2" t="s">
        <v>1977</v>
      </c>
      <c r="E1150" s="4" t="n">
        <v>242.76</v>
      </c>
      <c r="F1150" s="4" t="n">
        <v>22.06</v>
      </c>
      <c r="G1150" s="4" t="n">
        <v>220.7</v>
      </c>
      <c r="H1150" s="2" t="s">
        <v>1385</v>
      </c>
    </row>
    <row r="1151" customFormat="false" ht="15" hidden="false" customHeight="false" outlineLevel="0" collapsed="false">
      <c r="A1151" s="2" t="s">
        <v>26</v>
      </c>
      <c r="B1151" s="2" t="s">
        <v>555</v>
      </c>
      <c r="C1151" s="2" t="s">
        <v>597</v>
      </c>
      <c r="D1151" s="2" t="s">
        <v>557</v>
      </c>
      <c r="E1151" s="4" t="n">
        <v>126.97</v>
      </c>
      <c r="F1151" s="4" t="n">
        <v>11.55</v>
      </c>
      <c r="G1151" s="4" t="n">
        <v>115.42</v>
      </c>
      <c r="H1151" s="2" t="s">
        <v>1381</v>
      </c>
    </row>
    <row r="1152" customFormat="false" ht="15" hidden="false" customHeight="false" outlineLevel="0" collapsed="false">
      <c r="A1152" s="2" t="s">
        <v>26</v>
      </c>
      <c r="B1152" s="2" t="s">
        <v>1949</v>
      </c>
      <c r="C1152" s="2" t="s">
        <v>2843</v>
      </c>
      <c r="D1152" s="2" t="s">
        <v>1951</v>
      </c>
      <c r="E1152" s="4" t="n">
        <v>110.89</v>
      </c>
      <c r="F1152" s="4" t="n">
        <v>10.09</v>
      </c>
      <c r="G1152" s="4" t="n">
        <v>100.8</v>
      </c>
      <c r="H1152" s="2" t="s">
        <v>1385</v>
      </c>
    </row>
    <row r="1153" customFormat="false" ht="15" hidden="false" customHeight="false" outlineLevel="0" collapsed="false">
      <c r="A1153" s="2" t="s">
        <v>26</v>
      </c>
      <c r="B1153" s="2" t="s">
        <v>1898</v>
      </c>
      <c r="C1153" s="2" t="s">
        <v>2844</v>
      </c>
      <c r="D1153" s="2" t="s">
        <v>1900</v>
      </c>
      <c r="E1153" s="4" t="n">
        <v>804.34</v>
      </c>
      <c r="F1153" s="4" t="n">
        <v>73.13</v>
      </c>
      <c r="G1153" s="4" t="n">
        <v>731.21</v>
      </c>
      <c r="H1153" s="2" t="s">
        <v>1385</v>
      </c>
    </row>
    <row r="1154" customFormat="false" ht="15" hidden="false" customHeight="false" outlineLevel="0" collapsed="false">
      <c r="A1154" s="2" t="s">
        <v>26</v>
      </c>
      <c r="B1154" s="2" t="s">
        <v>1967</v>
      </c>
      <c r="C1154" s="2" t="s">
        <v>2845</v>
      </c>
      <c r="D1154" s="2" t="s">
        <v>1588</v>
      </c>
      <c r="E1154" s="4" t="n">
        <v>383.62</v>
      </c>
      <c r="F1154" s="4" t="n">
        <v>34.88</v>
      </c>
      <c r="G1154" s="4" t="n">
        <v>348.74</v>
      </c>
      <c r="H1154" s="2" t="s">
        <v>1385</v>
      </c>
    </row>
    <row r="1155" customFormat="false" ht="15" hidden="false" customHeight="false" outlineLevel="0" collapsed="false">
      <c r="A1155" s="2" t="s">
        <v>26</v>
      </c>
      <c r="B1155" s="2" t="s">
        <v>1910</v>
      </c>
      <c r="C1155" s="2" t="s">
        <v>2846</v>
      </c>
      <c r="D1155" s="2" t="s">
        <v>1912</v>
      </c>
      <c r="E1155" s="4" t="n">
        <v>165.08</v>
      </c>
      <c r="F1155" s="4" t="n">
        <v>15</v>
      </c>
      <c r="G1155" s="4" t="n">
        <v>150.08</v>
      </c>
      <c r="H1155" s="2" t="s">
        <v>1385</v>
      </c>
    </row>
    <row r="1156" customFormat="false" ht="15" hidden="false" customHeight="false" outlineLevel="0" collapsed="false">
      <c r="A1156" s="2" t="s">
        <v>26</v>
      </c>
      <c r="B1156" s="2" t="s">
        <v>1904</v>
      </c>
      <c r="C1156" s="2" t="s">
        <v>2847</v>
      </c>
      <c r="D1156" s="2" t="s">
        <v>1906</v>
      </c>
      <c r="E1156" s="4" t="n">
        <v>2738.9</v>
      </c>
      <c r="F1156" s="4" t="n">
        <v>248.99</v>
      </c>
      <c r="G1156" s="4" t="n">
        <v>2489.91</v>
      </c>
      <c r="H1156" s="2" t="s">
        <v>1385</v>
      </c>
    </row>
    <row r="1157" customFormat="false" ht="15" hidden="false" customHeight="false" outlineLevel="0" collapsed="false">
      <c r="A1157" s="2" t="s">
        <v>26</v>
      </c>
      <c r="B1157" s="2" t="s">
        <v>1934</v>
      </c>
      <c r="C1157" s="2" t="s">
        <v>2848</v>
      </c>
      <c r="D1157" s="2" t="s">
        <v>2849</v>
      </c>
      <c r="E1157" s="4" t="n">
        <v>437.07</v>
      </c>
      <c r="F1157" s="4" t="n">
        <v>39.74</v>
      </c>
      <c r="G1157" s="4" t="n">
        <v>397.33</v>
      </c>
      <c r="H1157" s="2" t="s">
        <v>1385</v>
      </c>
    </row>
    <row r="1158" customFormat="false" ht="15" hidden="false" customHeight="false" outlineLevel="0" collapsed="false">
      <c r="A1158" s="2" t="s">
        <v>26</v>
      </c>
      <c r="B1158" s="2" t="s">
        <v>1925</v>
      </c>
      <c r="C1158" s="2" t="s">
        <v>2850</v>
      </c>
      <c r="D1158" s="2" t="s">
        <v>1927</v>
      </c>
      <c r="E1158" s="4" t="n">
        <v>1864.04</v>
      </c>
      <c r="F1158" s="4" t="n">
        <v>169.45</v>
      </c>
      <c r="G1158" s="4" t="n">
        <v>1694.59</v>
      </c>
      <c r="H1158" s="2" t="s">
        <v>1385</v>
      </c>
    </row>
    <row r="1159" customFormat="false" ht="15" hidden="false" customHeight="false" outlineLevel="0" collapsed="false">
      <c r="A1159" s="2" t="s">
        <v>26</v>
      </c>
      <c r="B1159" s="2" t="s">
        <v>1978</v>
      </c>
      <c r="C1159" s="2" t="s">
        <v>2851</v>
      </c>
      <c r="D1159" s="2" t="s">
        <v>1980</v>
      </c>
      <c r="E1159" s="4" t="n">
        <v>451.33</v>
      </c>
      <c r="F1159" s="4" t="n">
        <v>41.03</v>
      </c>
      <c r="G1159" s="4" t="n">
        <v>410.3</v>
      </c>
      <c r="H1159" s="2" t="s">
        <v>1385</v>
      </c>
    </row>
    <row r="1160" customFormat="false" ht="15" hidden="false" customHeight="false" outlineLevel="0" collapsed="false">
      <c r="A1160" s="2" t="s">
        <v>26</v>
      </c>
      <c r="B1160" s="2" t="s">
        <v>600</v>
      </c>
      <c r="C1160" s="2" t="s">
        <v>601</v>
      </c>
      <c r="D1160" s="2" t="s">
        <v>602</v>
      </c>
      <c r="E1160" s="4" t="n">
        <v>128.3</v>
      </c>
      <c r="F1160" s="4" t="n">
        <v>11.67</v>
      </c>
      <c r="G1160" s="4" t="n">
        <v>116.63</v>
      </c>
      <c r="H1160" s="2" t="s">
        <v>1381</v>
      </c>
    </row>
    <row r="1161" customFormat="false" ht="15" hidden="false" customHeight="false" outlineLevel="0" collapsed="false">
      <c r="A1161" s="2" t="s">
        <v>26</v>
      </c>
      <c r="B1161" s="2" t="s">
        <v>2008</v>
      </c>
      <c r="C1161" s="2" t="s">
        <v>2852</v>
      </c>
      <c r="D1161" s="2" t="s">
        <v>2010</v>
      </c>
      <c r="E1161" s="4" t="n">
        <v>825.58</v>
      </c>
      <c r="F1161" s="4" t="n">
        <v>75.06</v>
      </c>
      <c r="G1161" s="4" t="n">
        <v>750.52</v>
      </c>
      <c r="H1161" s="2" t="s">
        <v>1385</v>
      </c>
    </row>
    <row r="1162" customFormat="false" ht="15" hidden="false" customHeight="false" outlineLevel="0" collapsed="false">
      <c r="A1162" s="2" t="s">
        <v>26</v>
      </c>
      <c r="B1162" s="2" t="s">
        <v>2002</v>
      </c>
      <c r="C1162" s="2" t="s">
        <v>2853</v>
      </c>
      <c r="D1162" s="2" t="s">
        <v>2004</v>
      </c>
      <c r="E1162" s="4" t="n">
        <v>277.58</v>
      </c>
      <c r="F1162" s="4" t="n">
        <v>25.24</v>
      </c>
      <c r="G1162" s="4" t="n">
        <v>252.34</v>
      </c>
      <c r="H1162" s="2" t="s">
        <v>1385</v>
      </c>
    </row>
    <row r="1163" customFormat="false" ht="15" hidden="false" customHeight="false" outlineLevel="0" collapsed="false">
      <c r="A1163" s="2" t="s">
        <v>26</v>
      </c>
      <c r="B1163" s="2" t="s">
        <v>465</v>
      </c>
      <c r="C1163" s="2" t="s">
        <v>466</v>
      </c>
      <c r="D1163" s="2" t="s">
        <v>467</v>
      </c>
      <c r="E1163" s="4" t="n">
        <v>228.6</v>
      </c>
      <c r="F1163" s="4" t="n">
        <v>20.78</v>
      </c>
      <c r="G1163" s="4" t="n">
        <v>207.82</v>
      </c>
      <c r="H1163" s="2" t="s">
        <v>1381</v>
      </c>
    </row>
    <row r="1164" customFormat="false" ht="15" hidden="false" customHeight="false" outlineLevel="0" collapsed="false">
      <c r="A1164" s="2" t="s">
        <v>26</v>
      </c>
      <c r="B1164" s="2" t="s">
        <v>1990</v>
      </c>
      <c r="C1164" s="2" t="s">
        <v>2854</v>
      </c>
      <c r="D1164" s="2" t="s">
        <v>1992</v>
      </c>
      <c r="E1164" s="4" t="n">
        <v>849.92</v>
      </c>
      <c r="F1164" s="4" t="n">
        <v>77.27</v>
      </c>
      <c r="G1164" s="4" t="n">
        <v>772.65</v>
      </c>
      <c r="H1164" s="2" t="s">
        <v>1385</v>
      </c>
    </row>
    <row r="1165" customFormat="false" ht="15" hidden="false" customHeight="false" outlineLevel="0" collapsed="false">
      <c r="A1165" s="2" t="s">
        <v>26</v>
      </c>
      <c r="B1165" s="2" t="s">
        <v>1961</v>
      </c>
      <c r="C1165" s="2" t="s">
        <v>2855</v>
      </c>
      <c r="D1165" s="2" t="s">
        <v>1963</v>
      </c>
      <c r="E1165" s="4" t="n">
        <v>770.95</v>
      </c>
      <c r="F1165" s="4" t="n">
        <v>70.1</v>
      </c>
      <c r="G1165" s="4" t="n">
        <v>700.85</v>
      </c>
      <c r="H1165" s="2" t="s">
        <v>1385</v>
      </c>
    </row>
    <row r="1166" customFormat="false" ht="15" hidden="false" customHeight="false" outlineLevel="0" collapsed="false">
      <c r="A1166" s="2" t="s">
        <v>26</v>
      </c>
      <c r="B1166" s="2" t="s">
        <v>1984</v>
      </c>
      <c r="C1166" s="2" t="s">
        <v>2856</v>
      </c>
      <c r="D1166" s="2" t="s">
        <v>1986</v>
      </c>
      <c r="E1166" s="4" t="n">
        <v>337.84</v>
      </c>
      <c r="F1166" s="4" t="n">
        <v>30.71</v>
      </c>
      <c r="G1166" s="4" t="n">
        <v>307.13</v>
      </c>
      <c r="H1166" s="2" t="s">
        <v>1385</v>
      </c>
    </row>
    <row r="1167" customFormat="false" ht="15" hidden="false" customHeight="false" outlineLevel="0" collapsed="false">
      <c r="A1167" s="2" t="s">
        <v>26</v>
      </c>
      <c r="B1167" s="2" t="s">
        <v>88</v>
      </c>
      <c r="C1167" s="2" t="s">
        <v>96</v>
      </c>
      <c r="D1167" s="2" t="s">
        <v>90</v>
      </c>
      <c r="E1167" s="4" t="n">
        <v>631.88</v>
      </c>
      <c r="F1167" s="4" t="n">
        <v>57.45</v>
      </c>
      <c r="G1167" s="4" t="n">
        <v>574.43</v>
      </c>
      <c r="H1167" s="2" t="s">
        <v>1381</v>
      </c>
    </row>
    <row r="1168" customFormat="false" ht="15" hidden="false" customHeight="false" outlineLevel="0" collapsed="false">
      <c r="A1168" s="2" t="s">
        <v>26</v>
      </c>
      <c r="B1168" s="2" t="s">
        <v>1971</v>
      </c>
      <c r="C1168" s="2" t="s">
        <v>2857</v>
      </c>
      <c r="D1168" s="2" t="s">
        <v>1973</v>
      </c>
      <c r="E1168" s="4" t="n">
        <v>424.84</v>
      </c>
      <c r="F1168" s="4" t="n">
        <v>38.63</v>
      </c>
      <c r="G1168" s="4" t="n">
        <v>386.21</v>
      </c>
      <c r="H1168" s="2" t="s">
        <v>1385</v>
      </c>
    </row>
    <row r="1169" customFormat="false" ht="15" hidden="false" customHeight="false" outlineLevel="0" collapsed="false">
      <c r="A1169" s="2" t="s">
        <v>26</v>
      </c>
      <c r="B1169" s="2" t="s">
        <v>1996</v>
      </c>
      <c r="C1169" s="2" t="s">
        <v>2858</v>
      </c>
      <c r="D1169" s="2" t="s">
        <v>1998</v>
      </c>
      <c r="E1169" s="4" t="n">
        <v>231</v>
      </c>
      <c r="F1169" s="4" t="n">
        <v>20.99</v>
      </c>
      <c r="G1169" s="4" t="n">
        <v>210.01</v>
      </c>
      <c r="H1169" s="2" t="s">
        <v>1385</v>
      </c>
    </row>
    <row r="1170" customFormat="false" ht="15" hidden="false" customHeight="false" outlineLevel="0" collapsed="false">
      <c r="A1170" s="2" t="s">
        <v>26</v>
      </c>
      <c r="B1170" s="2" t="s">
        <v>1940</v>
      </c>
      <c r="C1170" s="2" t="s">
        <v>2859</v>
      </c>
      <c r="D1170" s="2" t="s">
        <v>1942</v>
      </c>
      <c r="E1170" s="4" t="n">
        <v>732.54</v>
      </c>
      <c r="F1170" s="4" t="n">
        <v>66.6</v>
      </c>
      <c r="G1170" s="4" t="n">
        <v>665.94</v>
      </c>
      <c r="H1170" s="2" t="s">
        <v>1385</v>
      </c>
    </row>
    <row r="1171" customFormat="false" ht="15" hidden="false" customHeight="false" outlineLevel="0" collapsed="false">
      <c r="A1171" s="2" t="s">
        <v>26</v>
      </c>
      <c r="B1171" s="2" t="s">
        <v>292</v>
      </c>
      <c r="C1171" s="2" t="s">
        <v>293</v>
      </c>
      <c r="D1171" s="2" t="s">
        <v>294</v>
      </c>
      <c r="E1171" s="4" t="n">
        <v>163.12</v>
      </c>
      <c r="F1171" s="4" t="n">
        <v>14.83</v>
      </c>
      <c r="G1171" s="4" t="n">
        <v>148.29</v>
      </c>
      <c r="H1171" s="2" t="s">
        <v>1381</v>
      </c>
    </row>
    <row r="1172" customFormat="false" ht="15" hidden="false" customHeight="false" outlineLevel="0" collapsed="false">
      <c r="A1172" s="2" t="s">
        <v>26</v>
      </c>
      <c r="B1172" s="2" t="s">
        <v>1943</v>
      </c>
      <c r="C1172" s="2" t="s">
        <v>2860</v>
      </c>
      <c r="D1172" s="2" t="s">
        <v>1945</v>
      </c>
      <c r="E1172" s="4" t="n">
        <v>763.88</v>
      </c>
      <c r="F1172" s="4" t="n">
        <v>69.44</v>
      </c>
      <c r="G1172" s="4" t="n">
        <v>694.44</v>
      </c>
      <c r="H1172" s="2" t="s">
        <v>1385</v>
      </c>
    </row>
    <row r="1173" customFormat="false" ht="15" hidden="false" customHeight="false" outlineLevel="0" collapsed="false">
      <c r="A1173" s="2" t="s">
        <v>26</v>
      </c>
      <c r="B1173" s="2" t="s">
        <v>1946</v>
      </c>
      <c r="C1173" s="2" t="s">
        <v>2861</v>
      </c>
      <c r="D1173" s="2" t="s">
        <v>1948</v>
      </c>
      <c r="E1173" s="4" t="n">
        <v>202.31</v>
      </c>
      <c r="F1173" s="4" t="n">
        <v>18.4</v>
      </c>
      <c r="G1173" s="4" t="n">
        <v>183.91</v>
      </c>
      <c r="H1173" s="2" t="s">
        <v>1385</v>
      </c>
    </row>
    <row r="1174" customFormat="false" ht="15" hidden="false" customHeight="false" outlineLevel="0" collapsed="false">
      <c r="A1174" s="2" t="s">
        <v>26</v>
      </c>
      <c r="B1174" s="2" t="s">
        <v>1907</v>
      </c>
      <c r="C1174" s="2" t="s">
        <v>2862</v>
      </c>
      <c r="D1174" s="2" t="s">
        <v>1909</v>
      </c>
      <c r="E1174" s="4" t="n">
        <v>121.33</v>
      </c>
      <c r="F1174" s="4" t="n">
        <v>11.04</v>
      </c>
      <c r="G1174" s="4" t="n">
        <v>110.29</v>
      </c>
      <c r="H1174" s="2" t="s">
        <v>1385</v>
      </c>
    </row>
    <row r="1175" customFormat="false" ht="15" hidden="false" customHeight="false" outlineLevel="0" collapsed="false">
      <c r="A1175" s="2" t="s">
        <v>26</v>
      </c>
      <c r="B1175" s="2" t="s">
        <v>81</v>
      </c>
      <c r="C1175" s="2" t="s">
        <v>82</v>
      </c>
      <c r="D1175" s="2" t="s">
        <v>83</v>
      </c>
      <c r="E1175" s="4" t="n">
        <v>812.97</v>
      </c>
      <c r="F1175" s="4" t="n">
        <v>73.91</v>
      </c>
      <c r="G1175" s="4" t="n">
        <v>739.06</v>
      </c>
      <c r="H1175" s="2" t="s">
        <v>1381</v>
      </c>
    </row>
    <row r="1176" customFormat="false" ht="15" hidden="false" customHeight="false" outlineLevel="0" collapsed="false">
      <c r="A1176" s="2" t="s">
        <v>26</v>
      </c>
      <c r="B1176" s="2" t="s">
        <v>1952</v>
      </c>
      <c r="C1176" s="2" t="s">
        <v>2863</v>
      </c>
      <c r="D1176" s="2" t="s">
        <v>1954</v>
      </c>
      <c r="E1176" s="4" t="n">
        <v>598.78</v>
      </c>
      <c r="F1176" s="4" t="n">
        <v>54.45</v>
      </c>
      <c r="G1176" s="4" t="n">
        <v>544.33</v>
      </c>
      <c r="H1176" s="2" t="s">
        <v>1385</v>
      </c>
    </row>
    <row r="1177" customFormat="false" ht="15" hidden="false" customHeight="false" outlineLevel="0" collapsed="false">
      <c r="A1177" s="2" t="s">
        <v>26</v>
      </c>
      <c r="B1177" s="2" t="s">
        <v>1931</v>
      </c>
      <c r="C1177" s="2" t="s">
        <v>2864</v>
      </c>
      <c r="D1177" s="2" t="s">
        <v>1933</v>
      </c>
      <c r="E1177" s="4" t="n">
        <v>919.36</v>
      </c>
      <c r="F1177" s="4" t="n">
        <v>84.32</v>
      </c>
      <c r="G1177" s="4" t="n">
        <v>835.04</v>
      </c>
      <c r="H1177" s="2" t="s">
        <v>1385</v>
      </c>
    </row>
    <row r="1178" customFormat="false" ht="15" hidden="false" customHeight="false" outlineLevel="0" collapsed="false">
      <c r="A1178" s="2" t="s">
        <v>26</v>
      </c>
      <c r="B1178" s="2" t="s">
        <v>458</v>
      </c>
      <c r="C1178" s="2" t="s">
        <v>490</v>
      </c>
      <c r="D1178" s="2" t="s">
        <v>460</v>
      </c>
      <c r="E1178" s="4" t="n">
        <v>111.32</v>
      </c>
      <c r="F1178" s="4" t="n">
        <v>10.12</v>
      </c>
      <c r="G1178" s="4" t="n">
        <v>101.2</v>
      </c>
      <c r="H1178" s="2" t="s">
        <v>1381</v>
      </c>
    </row>
    <row r="1179" customFormat="false" ht="15" hidden="false" customHeight="false" outlineLevel="0" collapsed="false">
      <c r="A1179" s="2" t="s">
        <v>26</v>
      </c>
      <c r="B1179" s="2" t="s">
        <v>1928</v>
      </c>
      <c r="C1179" s="2" t="s">
        <v>2865</v>
      </c>
      <c r="D1179" s="2" t="s">
        <v>1930</v>
      </c>
      <c r="E1179" s="4" t="n">
        <v>1753.06</v>
      </c>
      <c r="F1179" s="4" t="n">
        <v>159.37</v>
      </c>
      <c r="G1179" s="4" t="n">
        <v>1593.69</v>
      </c>
      <c r="H1179" s="2" t="s">
        <v>1385</v>
      </c>
    </row>
    <row r="1180" customFormat="false" ht="15" hidden="false" customHeight="false" outlineLevel="0" collapsed="false">
      <c r="A1180" s="2" t="s">
        <v>26</v>
      </c>
      <c r="B1180" s="2" t="s">
        <v>1958</v>
      </c>
      <c r="C1180" s="2" t="s">
        <v>2866</v>
      </c>
      <c r="D1180" s="2" t="s">
        <v>1960</v>
      </c>
      <c r="E1180" s="4" t="n">
        <v>471.47</v>
      </c>
      <c r="F1180" s="4" t="n">
        <v>42.87</v>
      </c>
      <c r="G1180" s="4" t="n">
        <v>428.6</v>
      </c>
      <c r="H1180" s="2" t="s">
        <v>1385</v>
      </c>
    </row>
    <row r="1181" customFormat="false" ht="15" hidden="false" customHeight="false" outlineLevel="0" collapsed="false">
      <c r="A1181" s="2" t="s">
        <v>26</v>
      </c>
      <c r="B1181" s="2" t="s">
        <v>1969</v>
      </c>
      <c r="C1181" s="2" t="s">
        <v>2867</v>
      </c>
      <c r="D1181" s="2" t="s">
        <v>1588</v>
      </c>
      <c r="E1181" s="4" t="n">
        <v>798.08</v>
      </c>
      <c r="F1181" s="4" t="n">
        <v>72.54</v>
      </c>
      <c r="G1181" s="4" t="n">
        <v>725.54</v>
      </c>
      <c r="H1181" s="2" t="s">
        <v>1385</v>
      </c>
    </row>
    <row r="1182" customFormat="false" ht="15" hidden="false" customHeight="false" outlineLevel="0" collapsed="false">
      <c r="A1182" s="2" t="s">
        <v>26</v>
      </c>
      <c r="B1182" s="2" t="s">
        <v>1999</v>
      </c>
      <c r="C1182" s="2" t="s">
        <v>2868</v>
      </c>
      <c r="D1182" s="2" t="s">
        <v>2001</v>
      </c>
      <c r="E1182" s="4" t="n">
        <v>164.57</v>
      </c>
      <c r="F1182" s="4" t="n">
        <v>14.96</v>
      </c>
      <c r="G1182" s="4" t="n">
        <v>149.61</v>
      </c>
      <c r="H1182" s="2" t="s">
        <v>1385</v>
      </c>
    </row>
    <row r="1183" customFormat="false" ht="15" hidden="false" customHeight="false" outlineLevel="0" collapsed="false">
      <c r="A1183" s="2" t="s">
        <v>26</v>
      </c>
      <c r="B1183" s="2" t="s">
        <v>264</v>
      </c>
      <c r="C1183" s="2" t="s">
        <v>289</v>
      </c>
      <c r="D1183" s="2" t="s">
        <v>266</v>
      </c>
      <c r="E1183" s="4" t="n">
        <v>114.64</v>
      </c>
      <c r="F1183" s="4" t="n">
        <v>10.42</v>
      </c>
      <c r="G1183" s="4" t="n">
        <v>104.22</v>
      </c>
      <c r="H1183" s="2" t="s">
        <v>1381</v>
      </c>
    </row>
    <row r="1184" customFormat="false" ht="15" hidden="false" customHeight="false" outlineLevel="0" collapsed="false">
      <c r="A1184" s="2" t="s">
        <v>26</v>
      </c>
      <c r="B1184" s="2" t="s">
        <v>1955</v>
      </c>
      <c r="C1184" s="2" t="s">
        <v>2869</v>
      </c>
      <c r="D1184" s="2" t="s">
        <v>1957</v>
      </c>
      <c r="E1184" s="4" t="n">
        <v>1442.51</v>
      </c>
      <c r="F1184" s="4" t="n">
        <v>131.14</v>
      </c>
      <c r="G1184" s="4" t="n">
        <v>1311.37</v>
      </c>
      <c r="H1184" s="2" t="s">
        <v>1385</v>
      </c>
    </row>
    <row r="1185" customFormat="false" ht="15" hidden="false" customHeight="false" outlineLevel="0" collapsed="false">
      <c r="A1185" s="2" t="s">
        <v>26</v>
      </c>
      <c r="B1185" s="2" t="s">
        <v>500</v>
      </c>
      <c r="C1185" s="2" t="s">
        <v>541</v>
      </c>
      <c r="D1185" s="2" t="s">
        <v>502</v>
      </c>
      <c r="E1185" s="4" t="n">
        <v>90.27</v>
      </c>
      <c r="F1185" s="4" t="n">
        <v>8.2</v>
      </c>
      <c r="G1185" s="4" t="n">
        <v>82.07</v>
      </c>
      <c r="H1185" s="2" t="s">
        <v>1381</v>
      </c>
    </row>
    <row r="1186" customFormat="false" ht="15" hidden="false" customHeight="false" outlineLevel="0" collapsed="false">
      <c r="A1186" s="2" t="s">
        <v>26</v>
      </c>
      <c r="B1186" s="2" t="s">
        <v>277</v>
      </c>
      <c r="C1186" s="2" t="s">
        <v>283</v>
      </c>
      <c r="D1186" s="2" t="s">
        <v>279</v>
      </c>
      <c r="E1186" s="4" t="n">
        <v>132.57</v>
      </c>
      <c r="F1186" s="4" t="n">
        <v>12.05</v>
      </c>
      <c r="G1186" s="4" t="n">
        <v>120.52</v>
      </c>
      <c r="H1186" s="2" t="s">
        <v>1381</v>
      </c>
    </row>
    <row r="1187" customFormat="false" ht="15" hidden="false" customHeight="false" outlineLevel="0" collapsed="false">
      <c r="A1187" s="2" t="s">
        <v>26</v>
      </c>
      <c r="B1187" s="2" t="s">
        <v>1987</v>
      </c>
      <c r="C1187" s="2" t="s">
        <v>2870</v>
      </c>
      <c r="D1187" s="2" t="s">
        <v>1989</v>
      </c>
      <c r="E1187" s="4" t="n">
        <v>744.88</v>
      </c>
      <c r="F1187" s="4" t="n">
        <v>67.72</v>
      </c>
      <c r="G1187" s="4" t="n">
        <v>677.16</v>
      </c>
      <c r="H1187" s="2" t="s">
        <v>1385</v>
      </c>
    </row>
    <row r="1188" customFormat="false" ht="15" hidden="false" customHeight="false" outlineLevel="0" collapsed="false">
      <c r="A1188" s="2" t="s">
        <v>26</v>
      </c>
      <c r="B1188" s="2" t="s">
        <v>393</v>
      </c>
      <c r="C1188" s="2" t="s">
        <v>394</v>
      </c>
      <c r="D1188" s="2" t="s">
        <v>395</v>
      </c>
      <c r="E1188" s="4" t="n">
        <v>122.79</v>
      </c>
      <c r="F1188" s="4" t="n">
        <v>11.17</v>
      </c>
      <c r="G1188" s="4" t="n">
        <v>111.62</v>
      </c>
      <c r="H1188" s="2" t="s">
        <v>1381</v>
      </c>
    </row>
    <row r="1189" customFormat="false" ht="15" hidden="false" customHeight="false" outlineLevel="0" collapsed="false">
      <c r="A1189" s="2" t="s">
        <v>26</v>
      </c>
      <c r="B1189" s="2" t="s">
        <v>512</v>
      </c>
      <c r="C1189" s="2" t="s">
        <v>513</v>
      </c>
      <c r="D1189" s="2" t="s">
        <v>514</v>
      </c>
      <c r="E1189" s="4" t="n">
        <v>135.38</v>
      </c>
      <c r="F1189" s="4" t="n">
        <v>12.31</v>
      </c>
      <c r="G1189" s="4" t="n">
        <v>123.07</v>
      </c>
      <c r="H1189" s="2" t="s">
        <v>1381</v>
      </c>
    </row>
    <row r="1190" customFormat="false" ht="15" hidden="false" customHeight="false" outlineLevel="0" collapsed="false">
      <c r="A1190" s="2" t="s">
        <v>26</v>
      </c>
      <c r="B1190" s="2" t="s">
        <v>99</v>
      </c>
      <c r="C1190" s="2" t="s">
        <v>106</v>
      </c>
      <c r="D1190" s="2" t="s">
        <v>101</v>
      </c>
      <c r="E1190" s="4" t="n">
        <v>436.45</v>
      </c>
      <c r="F1190" s="4" t="n">
        <v>39.68</v>
      </c>
      <c r="G1190" s="4" t="n">
        <v>396.77</v>
      </c>
      <c r="H1190" s="2" t="s">
        <v>1381</v>
      </c>
    </row>
    <row r="1191" customFormat="false" ht="15" hidden="false" customHeight="false" outlineLevel="0" collapsed="false">
      <c r="A1191" s="2" t="s">
        <v>26</v>
      </c>
      <c r="B1191" s="2" t="s">
        <v>1993</v>
      </c>
      <c r="C1191" s="2" t="s">
        <v>2871</v>
      </c>
      <c r="D1191" s="2" t="s">
        <v>1995</v>
      </c>
      <c r="E1191" s="4" t="n">
        <v>4741.37</v>
      </c>
      <c r="F1191" s="4" t="n">
        <v>431.04</v>
      </c>
      <c r="G1191" s="4" t="n">
        <v>4310.33</v>
      </c>
      <c r="H1191" s="2" t="s">
        <v>1385</v>
      </c>
    </row>
    <row r="1192" customFormat="false" ht="15" hidden="false" customHeight="false" outlineLevel="0" collapsed="false">
      <c r="A1192" s="2" t="s">
        <v>26</v>
      </c>
      <c r="B1192" s="2" t="s">
        <v>336</v>
      </c>
      <c r="C1192" s="2" t="s">
        <v>337</v>
      </c>
      <c r="D1192" s="2" t="s">
        <v>338</v>
      </c>
      <c r="E1192" s="4" t="n">
        <v>109.73</v>
      </c>
      <c r="F1192" s="4" t="n">
        <v>9.98</v>
      </c>
      <c r="G1192" s="4" t="n">
        <v>99.75</v>
      </c>
      <c r="H1192" s="2" t="s">
        <v>1381</v>
      </c>
    </row>
    <row r="1193" customFormat="false" ht="15" hidden="false" customHeight="false" outlineLevel="0" collapsed="false">
      <c r="A1193" s="2" t="s">
        <v>26</v>
      </c>
      <c r="B1193" s="2" t="s">
        <v>361</v>
      </c>
      <c r="C1193" s="2" t="s">
        <v>362</v>
      </c>
      <c r="D1193" s="2" t="s">
        <v>363</v>
      </c>
      <c r="E1193" s="4" t="n">
        <v>149.54</v>
      </c>
      <c r="F1193" s="4" t="n">
        <v>13.59</v>
      </c>
      <c r="G1193" s="4" t="n">
        <v>135.95</v>
      </c>
      <c r="H1193" s="2" t="s">
        <v>1381</v>
      </c>
    </row>
    <row r="1194" customFormat="false" ht="15" hidden="false" customHeight="false" outlineLevel="0" collapsed="false">
      <c r="A1194" s="2" t="s">
        <v>26</v>
      </c>
      <c r="B1194" s="2" t="s">
        <v>1919</v>
      </c>
      <c r="C1194" s="2" t="s">
        <v>2872</v>
      </c>
      <c r="D1194" s="2" t="s">
        <v>1921</v>
      </c>
      <c r="E1194" s="4" t="n">
        <v>2997.11</v>
      </c>
      <c r="F1194" s="4" t="n">
        <v>272.46</v>
      </c>
      <c r="G1194" s="4" t="n">
        <v>2724.65</v>
      </c>
      <c r="H1194" s="2" t="s">
        <v>1385</v>
      </c>
    </row>
    <row r="1195" customFormat="false" ht="15" hidden="false" customHeight="false" outlineLevel="0" collapsed="false">
      <c r="A1195" s="2" t="s">
        <v>26</v>
      </c>
      <c r="B1195" s="2" t="s">
        <v>451</v>
      </c>
      <c r="C1195" s="2" t="s">
        <v>475</v>
      </c>
      <c r="D1195" s="2" t="s">
        <v>453</v>
      </c>
      <c r="E1195" s="4" t="n">
        <v>109.19</v>
      </c>
      <c r="F1195" s="4" t="n">
        <v>9.93</v>
      </c>
      <c r="G1195" s="4" t="n">
        <v>99.26</v>
      </c>
      <c r="H1195" s="2" t="s">
        <v>1381</v>
      </c>
    </row>
    <row r="1196" customFormat="false" ht="15" hidden="false" customHeight="false" outlineLevel="0" collapsed="false">
      <c r="A1196" s="2" t="s">
        <v>26</v>
      </c>
      <c r="B1196" s="2" t="s">
        <v>367</v>
      </c>
      <c r="C1196" s="2" t="s">
        <v>390</v>
      </c>
      <c r="D1196" s="2" t="s">
        <v>369</v>
      </c>
      <c r="E1196" s="4" t="n">
        <v>130.68</v>
      </c>
      <c r="F1196" s="4" t="n">
        <v>11.88</v>
      </c>
      <c r="G1196" s="4" t="n">
        <v>118.8</v>
      </c>
      <c r="H1196" s="2" t="s">
        <v>1381</v>
      </c>
    </row>
    <row r="1197" customFormat="false" ht="15" hidden="false" customHeight="false" outlineLevel="0" collapsed="false">
      <c r="A1197" s="2" t="s">
        <v>26</v>
      </c>
      <c r="B1197" s="2" t="s">
        <v>1916</v>
      </c>
      <c r="C1197" s="2" t="s">
        <v>2873</v>
      </c>
      <c r="D1197" s="2" t="s">
        <v>1918</v>
      </c>
      <c r="E1197" s="4" t="n">
        <v>772.63</v>
      </c>
      <c r="F1197" s="4" t="n">
        <v>70.24</v>
      </c>
      <c r="G1197" s="4" t="n">
        <v>702.39</v>
      </c>
      <c r="H1197" s="2" t="s">
        <v>1385</v>
      </c>
    </row>
    <row r="1198" customFormat="false" ht="15" hidden="false" customHeight="false" outlineLevel="0" collapsed="false">
      <c r="A1198" s="2" t="s">
        <v>26</v>
      </c>
      <c r="B1198" s="2" t="s">
        <v>420</v>
      </c>
      <c r="C1198" s="2" t="s">
        <v>421</v>
      </c>
      <c r="D1198" s="2" t="s">
        <v>422</v>
      </c>
      <c r="E1198" s="4" t="n">
        <v>135.53</v>
      </c>
      <c r="F1198" s="4" t="n">
        <v>12.33</v>
      </c>
      <c r="G1198" s="4" t="n">
        <v>123.2</v>
      </c>
      <c r="H1198" s="2" t="s">
        <v>1381</v>
      </c>
    </row>
    <row r="1199" customFormat="false" ht="15" hidden="false" customHeight="false" outlineLevel="0" collapsed="false">
      <c r="A1199" s="2" t="s">
        <v>26</v>
      </c>
      <c r="B1199" s="2" t="s">
        <v>2563</v>
      </c>
      <c r="C1199" s="2" t="s">
        <v>2874</v>
      </c>
      <c r="D1199" s="2" t="s">
        <v>2565</v>
      </c>
      <c r="E1199" s="4" t="n">
        <v>59.92</v>
      </c>
      <c r="F1199" s="4" t="n">
        <v>5.45</v>
      </c>
      <c r="G1199" s="4" t="n">
        <v>54.47</v>
      </c>
      <c r="H1199" s="2" t="s">
        <v>1385</v>
      </c>
    </row>
    <row r="1200" customFormat="false" ht="15" hidden="false" customHeight="false" outlineLevel="0" collapsed="false">
      <c r="A1200" s="2" t="s">
        <v>26</v>
      </c>
      <c r="B1200" s="2" t="s">
        <v>1217</v>
      </c>
      <c r="C1200" s="2" t="s">
        <v>1318</v>
      </c>
      <c r="D1200" s="2" t="s">
        <v>1219</v>
      </c>
      <c r="E1200" s="4" t="n">
        <v>26.9</v>
      </c>
      <c r="F1200" s="4" t="n">
        <v>2.45</v>
      </c>
      <c r="G1200" s="4" t="n">
        <v>24.45</v>
      </c>
      <c r="H1200" s="2" t="s">
        <v>1381</v>
      </c>
    </row>
    <row r="1201" customFormat="false" ht="15" hidden="false" customHeight="false" outlineLevel="0" collapsed="false">
      <c r="A1201" s="2" t="s">
        <v>26</v>
      </c>
      <c r="B1201" s="2" t="s">
        <v>1883</v>
      </c>
      <c r="C1201" s="2" t="s">
        <v>2875</v>
      </c>
      <c r="D1201" s="2" t="s">
        <v>1885</v>
      </c>
      <c r="E1201" s="4" t="n">
        <v>136.92</v>
      </c>
      <c r="F1201" s="4" t="n">
        <v>12.45</v>
      </c>
      <c r="G1201" s="4" t="n">
        <v>124.47</v>
      </c>
      <c r="H1201" s="2" t="s">
        <v>1385</v>
      </c>
    </row>
    <row r="1202" customFormat="false" ht="15" hidden="false" customHeight="false" outlineLevel="0" collapsed="false">
      <c r="A1202" s="2" t="s">
        <v>26</v>
      </c>
      <c r="B1202" s="2" t="s">
        <v>1231</v>
      </c>
      <c r="C1202" s="2" t="s">
        <v>1322</v>
      </c>
      <c r="D1202" s="2" t="s">
        <v>1233</v>
      </c>
      <c r="E1202" s="4" t="n">
        <v>36.85</v>
      </c>
      <c r="F1202" s="4" t="n">
        <v>3.35</v>
      </c>
      <c r="G1202" s="4" t="n">
        <v>33.5</v>
      </c>
      <c r="H1202" s="2" t="s">
        <v>1381</v>
      </c>
    </row>
    <row r="1203" customFormat="false" ht="15" hidden="false" customHeight="false" outlineLevel="0" collapsed="false">
      <c r="A1203" s="2" t="s">
        <v>26</v>
      </c>
      <c r="B1203" s="2" t="s">
        <v>1237</v>
      </c>
      <c r="C1203" s="2" t="s">
        <v>1324</v>
      </c>
      <c r="D1203" s="2" t="s">
        <v>1239</v>
      </c>
      <c r="E1203" s="4" t="n">
        <v>35.33</v>
      </c>
      <c r="F1203" s="4" t="n">
        <v>3.22</v>
      </c>
      <c r="G1203" s="4" t="n">
        <v>32.11</v>
      </c>
      <c r="H1203" s="2" t="s">
        <v>1381</v>
      </c>
    </row>
    <row r="1204" customFormat="false" ht="15" hidden="false" customHeight="false" outlineLevel="0" collapsed="false">
      <c r="A1204" s="2" t="s">
        <v>26</v>
      </c>
      <c r="B1204" s="2" t="s">
        <v>1224</v>
      </c>
      <c r="C1204" s="2" t="s">
        <v>1320</v>
      </c>
      <c r="D1204" s="2" t="s">
        <v>1226</v>
      </c>
      <c r="E1204" s="4" t="n">
        <v>30.13</v>
      </c>
      <c r="F1204" s="4" t="n">
        <v>2.74</v>
      </c>
      <c r="G1204" s="4" t="n">
        <v>27.39</v>
      </c>
      <c r="H1204" s="2" t="s">
        <v>1381</v>
      </c>
    </row>
    <row r="1205" customFormat="false" ht="15" hidden="false" customHeight="false" outlineLevel="0" collapsed="false">
      <c r="A1205" s="2" t="s">
        <v>26</v>
      </c>
      <c r="B1205" s="2" t="s">
        <v>519</v>
      </c>
      <c r="C1205" s="2" t="s">
        <v>828</v>
      </c>
      <c r="D1205" s="2" t="s">
        <v>521</v>
      </c>
      <c r="E1205" s="4" t="n">
        <v>87.28</v>
      </c>
      <c r="F1205" s="4" t="n">
        <v>7.93</v>
      </c>
      <c r="G1205" s="4" t="n">
        <v>79.35</v>
      </c>
      <c r="H1205" s="2" t="s">
        <v>1381</v>
      </c>
    </row>
    <row r="1206" customFormat="false" ht="15" hidden="false" customHeight="false" outlineLevel="0" collapsed="false">
      <c r="A1206" s="2" t="s">
        <v>26</v>
      </c>
      <c r="B1206" s="2" t="s">
        <v>1577</v>
      </c>
      <c r="C1206" s="2" t="s">
        <v>2876</v>
      </c>
      <c r="D1206" s="2" t="s">
        <v>1579</v>
      </c>
      <c r="E1206" s="4" t="n">
        <v>81.96</v>
      </c>
      <c r="F1206" s="4" t="n">
        <v>7.45</v>
      </c>
      <c r="G1206" s="4" t="n">
        <v>74.51</v>
      </c>
      <c r="H1206" s="2" t="s">
        <v>1385</v>
      </c>
    </row>
    <row r="1207" customFormat="false" ht="15" hidden="false" customHeight="false" outlineLevel="0" collapsed="false">
      <c r="A1207" s="2" t="s">
        <v>26</v>
      </c>
      <c r="B1207" s="2" t="s">
        <v>931</v>
      </c>
      <c r="C1207" s="2" t="s">
        <v>1148</v>
      </c>
      <c r="D1207" s="2" t="s">
        <v>933</v>
      </c>
      <c r="E1207" s="4" t="n">
        <v>35.81</v>
      </c>
      <c r="F1207" s="4" t="n">
        <v>3.26</v>
      </c>
      <c r="G1207" s="4" t="n">
        <v>32.55</v>
      </c>
      <c r="H1207" s="2" t="s">
        <v>1381</v>
      </c>
    </row>
    <row r="1208" customFormat="false" ht="15" hidden="false" customHeight="false" outlineLevel="0" collapsed="false">
      <c r="A1208" s="2" t="s">
        <v>26</v>
      </c>
      <c r="B1208" s="2" t="s">
        <v>116</v>
      </c>
      <c r="C1208" s="2" t="s">
        <v>140</v>
      </c>
      <c r="D1208" s="2" t="s">
        <v>118</v>
      </c>
      <c r="E1208" s="4" t="n">
        <v>232.34</v>
      </c>
      <c r="F1208" s="4" t="n">
        <v>21.12</v>
      </c>
      <c r="G1208" s="4" t="n">
        <v>211.22</v>
      </c>
      <c r="H1208" s="2" t="s">
        <v>1381</v>
      </c>
    </row>
    <row r="1209" customFormat="false" ht="15" hidden="false" customHeight="false" outlineLevel="0" collapsed="false">
      <c r="A1209" s="2" t="s">
        <v>26</v>
      </c>
      <c r="B1209" s="2" t="s">
        <v>1535</v>
      </c>
      <c r="C1209" s="2" t="s">
        <v>2877</v>
      </c>
      <c r="D1209" s="2" t="s">
        <v>1537</v>
      </c>
      <c r="E1209" s="4" t="n">
        <v>171.52</v>
      </c>
      <c r="F1209" s="4" t="n">
        <v>15.59</v>
      </c>
      <c r="G1209" s="4" t="n">
        <v>155.93</v>
      </c>
      <c r="H1209" s="2" t="s">
        <v>1385</v>
      </c>
    </row>
    <row r="1210" customFormat="false" ht="15" hidden="false" customHeight="false" outlineLevel="0" collapsed="false">
      <c r="A1210" s="2" t="s">
        <v>26</v>
      </c>
      <c r="B1210" s="2" t="s">
        <v>1763</v>
      </c>
      <c r="C1210" s="2" t="s">
        <v>2878</v>
      </c>
      <c r="D1210" s="2" t="s">
        <v>1765</v>
      </c>
      <c r="E1210" s="4" t="n">
        <v>89.01</v>
      </c>
      <c r="F1210" s="4" t="n">
        <v>8.09</v>
      </c>
      <c r="G1210" s="4" t="n">
        <v>80.92</v>
      </c>
      <c r="H1210" s="2" t="s">
        <v>1385</v>
      </c>
    </row>
    <row r="1211" customFormat="false" ht="15" hidden="false" customHeight="false" outlineLevel="0" collapsed="false">
      <c r="A1211" s="2" t="s">
        <v>26</v>
      </c>
      <c r="B1211" s="2" t="s">
        <v>1691</v>
      </c>
      <c r="C1211" s="2" t="s">
        <v>2879</v>
      </c>
      <c r="D1211" s="2" t="s">
        <v>1693</v>
      </c>
      <c r="E1211" s="4" t="n">
        <v>1096.59</v>
      </c>
      <c r="F1211" s="4" t="n">
        <v>99.7</v>
      </c>
      <c r="G1211" s="4" t="n">
        <v>996.89</v>
      </c>
      <c r="H1211" s="2" t="s">
        <v>1385</v>
      </c>
    </row>
    <row r="1212" customFormat="false" ht="15" hidden="false" customHeight="false" outlineLevel="0" collapsed="false">
      <c r="A1212" s="2" t="s">
        <v>26</v>
      </c>
      <c r="B1212" s="2" t="s">
        <v>1520</v>
      </c>
      <c r="C1212" s="2" t="s">
        <v>2880</v>
      </c>
      <c r="D1212" s="2" t="s">
        <v>1522</v>
      </c>
      <c r="E1212" s="4" t="n">
        <v>125.77</v>
      </c>
      <c r="F1212" s="4" t="n">
        <v>11.44</v>
      </c>
      <c r="G1212" s="4" t="n">
        <v>114.33</v>
      </c>
      <c r="H1212" s="2" t="s">
        <v>1385</v>
      </c>
    </row>
    <row r="1213" customFormat="false" ht="15" hidden="false" customHeight="false" outlineLevel="0" collapsed="false">
      <c r="A1213" s="2" t="s">
        <v>26</v>
      </c>
      <c r="B1213" s="2" t="s">
        <v>1826</v>
      </c>
      <c r="C1213" s="2" t="s">
        <v>2881</v>
      </c>
      <c r="D1213" s="2" t="s">
        <v>1828</v>
      </c>
      <c r="E1213" s="4" t="n">
        <v>1376.77</v>
      </c>
      <c r="F1213" s="4" t="n">
        <v>129.19</v>
      </c>
      <c r="G1213" s="4" t="n">
        <v>1247.58</v>
      </c>
      <c r="H1213" s="2" t="s">
        <v>1385</v>
      </c>
    </row>
    <row r="1214" customFormat="false" ht="15" hidden="false" customHeight="false" outlineLevel="0" collapsed="false">
      <c r="A1214" s="2" t="s">
        <v>26</v>
      </c>
      <c r="B1214" s="2" t="s">
        <v>1670</v>
      </c>
      <c r="C1214" s="2" t="s">
        <v>2882</v>
      </c>
      <c r="D1214" s="2" t="s">
        <v>1672</v>
      </c>
      <c r="E1214" s="4" t="n">
        <v>1397.11</v>
      </c>
      <c r="F1214" s="4" t="n">
        <v>127.03</v>
      </c>
      <c r="G1214" s="4" t="n">
        <v>1270.08</v>
      </c>
      <c r="H1214" s="2" t="s">
        <v>1385</v>
      </c>
    </row>
    <row r="1215" customFormat="false" ht="15" hidden="false" customHeight="false" outlineLevel="0" collapsed="false">
      <c r="A1215" s="2" t="s">
        <v>26</v>
      </c>
      <c r="B1215" s="2" t="s">
        <v>1243</v>
      </c>
      <c r="C1215" s="2" t="s">
        <v>1326</v>
      </c>
      <c r="D1215" s="2" t="s">
        <v>1245</v>
      </c>
      <c r="E1215" s="4" t="n">
        <v>26.9</v>
      </c>
      <c r="F1215" s="4" t="n">
        <v>2.45</v>
      </c>
      <c r="G1215" s="4" t="n">
        <v>24.45</v>
      </c>
      <c r="H1215" s="2" t="s">
        <v>1381</v>
      </c>
    </row>
    <row r="1216" customFormat="false" ht="15" hidden="false" customHeight="false" outlineLevel="0" collapsed="false">
      <c r="A1216" s="2" t="s">
        <v>26</v>
      </c>
      <c r="B1216" s="2" t="s">
        <v>1742</v>
      </c>
      <c r="C1216" s="2" t="s">
        <v>2883</v>
      </c>
      <c r="D1216" s="2" t="s">
        <v>1744</v>
      </c>
      <c r="E1216" s="4" t="n">
        <v>810.21</v>
      </c>
      <c r="F1216" s="4" t="n">
        <v>73.66</v>
      </c>
      <c r="G1216" s="4" t="n">
        <v>736.55</v>
      </c>
      <c r="H1216" s="2" t="s">
        <v>1385</v>
      </c>
    </row>
    <row r="1217" customFormat="false" ht="15" hidden="false" customHeight="false" outlineLevel="0" collapsed="false">
      <c r="A1217" s="2" t="s">
        <v>26</v>
      </c>
      <c r="B1217" s="2" t="s">
        <v>1811</v>
      </c>
      <c r="C1217" s="2" t="s">
        <v>2884</v>
      </c>
      <c r="D1217" s="2" t="s">
        <v>1813</v>
      </c>
      <c r="E1217" s="4" t="n">
        <v>45.26</v>
      </c>
      <c r="F1217" s="4" t="n">
        <v>4.11</v>
      </c>
      <c r="G1217" s="4" t="n">
        <v>41.15</v>
      </c>
      <c r="H1217" s="2" t="s">
        <v>1385</v>
      </c>
    </row>
    <row r="1218" customFormat="false" ht="15" hidden="false" customHeight="false" outlineLevel="0" collapsed="false">
      <c r="A1218" s="2" t="s">
        <v>26</v>
      </c>
      <c r="B1218" s="2" t="s">
        <v>1613</v>
      </c>
      <c r="C1218" s="2" t="s">
        <v>2885</v>
      </c>
      <c r="D1218" s="2" t="s">
        <v>1615</v>
      </c>
      <c r="E1218" s="4" t="n">
        <v>90.8</v>
      </c>
      <c r="F1218" s="4" t="n">
        <v>8.26</v>
      </c>
      <c r="G1218" s="4" t="n">
        <v>82.54</v>
      </c>
      <c r="H1218" s="2" t="s">
        <v>1385</v>
      </c>
    </row>
    <row r="1219" customFormat="false" ht="15" hidden="false" customHeight="false" outlineLevel="0" collapsed="false">
      <c r="A1219" s="2" t="s">
        <v>26</v>
      </c>
      <c r="B1219" s="2" t="s">
        <v>1847</v>
      </c>
      <c r="C1219" s="2" t="s">
        <v>2886</v>
      </c>
      <c r="D1219" s="2" t="s">
        <v>1849</v>
      </c>
      <c r="E1219" s="4" t="n">
        <v>66.91</v>
      </c>
      <c r="F1219" s="4" t="n">
        <v>6.09</v>
      </c>
      <c r="G1219" s="4" t="n">
        <v>60.82</v>
      </c>
      <c r="H1219" s="2" t="s">
        <v>1385</v>
      </c>
    </row>
    <row r="1220" customFormat="false" ht="15" hidden="false" customHeight="false" outlineLevel="0" collapsed="false">
      <c r="A1220" s="2" t="s">
        <v>26</v>
      </c>
      <c r="B1220" s="2" t="s">
        <v>1859</v>
      </c>
      <c r="C1220" s="2" t="s">
        <v>2887</v>
      </c>
      <c r="D1220" s="2" t="s">
        <v>1861</v>
      </c>
      <c r="E1220" s="4" t="n">
        <v>42.86</v>
      </c>
      <c r="F1220" s="4" t="n">
        <v>3.9</v>
      </c>
      <c r="G1220" s="4" t="n">
        <v>38.96</v>
      </c>
      <c r="H1220" s="2" t="s">
        <v>1385</v>
      </c>
    </row>
    <row r="1221" customFormat="false" ht="15" hidden="false" customHeight="false" outlineLevel="0" collapsed="false">
      <c r="A1221" s="2" t="s">
        <v>26</v>
      </c>
      <c r="B1221" s="2" t="s">
        <v>1601</v>
      </c>
      <c r="C1221" s="2" t="s">
        <v>2888</v>
      </c>
      <c r="D1221" s="2" t="s">
        <v>1603</v>
      </c>
      <c r="E1221" s="4" t="n">
        <v>26.9</v>
      </c>
      <c r="F1221" s="4" t="n">
        <v>2.45</v>
      </c>
      <c r="G1221" s="4" t="n">
        <v>24.45</v>
      </c>
      <c r="H1221" s="2" t="s">
        <v>1385</v>
      </c>
    </row>
    <row r="1222" customFormat="false" ht="15" hidden="false" customHeight="false" outlineLevel="0" collapsed="false">
      <c r="A1222" s="2" t="s">
        <v>26</v>
      </c>
      <c r="B1222" s="2" t="s">
        <v>1889</v>
      </c>
      <c r="C1222" s="2" t="s">
        <v>2889</v>
      </c>
      <c r="D1222" s="2" t="s">
        <v>1891</v>
      </c>
      <c r="E1222" s="4" t="n">
        <v>717.55</v>
      </c>
      <c r="F1222" s="4" t="n">
        <v>65.23</v>
      </c>
      <c r="G1222" s="4" t="n">
        <v>652.32</v>
      </c>
      <c r="H1222" s="2" t="s">
        <v>1385</v>
      </c>
    </row>
    <row r="1223" customFormat="false" ht="15" hidden="false" customHeight="false" outlineLevel="0" collapsed="false">
      <c r="A1223" s="2" t="s">
        <v>26</v>
      </c>
      <c r="B1223" s="2" t="s">
        <v>1574</v>
      </c>
      <c r="C1223" s="2" t="s">
        <v>2890</v>
      </c>
      <c r="D1223" s="2" t="s">
        <v>1576</v>
      </c>
      <c r="E1223" s="4" t="n">
        <v>1601.98</v>
      </c>
      <c r="F1223" s="4" t="n">
        <v>145.64</v>
      </c>
      <c r="G1223" s="4" t="n">
        <v>1456.34</v>
      </c>
      <c r="H1223" s="2" t="s">
        <v>1385</v>
      </c>
    </row>
    <row r="1224" customFormat="false" ht="15" hidden="false" customHeight="false" outlineLevel="0" collapsed="false">
      <c r="A1224" s="2" t="s">
        <v>26</v>
      </c>
      <c r="B1224" s="2" t="s">
        <v>1526</v>
      </c>
      <c r="C1224" s="2" t="s">
        <v>2891</v>
      </c>
      <c r="D1224" s="2" t="s">
        <v>1528</v>
      </c>
      <c r="E1224" s="4" t="n">
        <v>43.75</v>
      </c>
      <c r="F1224" s="4" t="n">
        <v>3.98</v>
      </c>
      <c r="G1224" s="4" t="n">
        <v>39.77</v>
      </c>
      <c r="H1224" s="2" t="s">
        <v>1385</v>
      </c>
    </row>
    <row r="1225" customFormat="false" ht="15" hidden="false" customHeight="false" outlineLevel="0" collapsed="false">
      <c r="A1225" s="2" t="s">
        <v>26</v>
      </c>
      <c r="B1225" s="2" t="s">
        <v>1874</v>
      </c>
      <c r="C1225" s="2" t="s">
        <v>2892</v>
      </c>
      <c r="D1225" s="2" t="s">
        <v>1876</v>
      </c>
      <c r="E1225" s="4" t="n">
        <v>43.3</v>
      </c>
      <c r="F1225" s="4" t="n">
        <v>3.94</v>
      </c>
      <c r="G1225" s="4" t="n">
        <v>39.36</v>
      </c>
      <c r="H1225" s="2" t="s">
        <v>1385</v>
      </c>
    </row>
    <row r="1226" customFormat="false" ht="15" hidden="false" customHeight="false" outlineLevel="0" collapsed="false">
      <c r="A1226" s="2" t="s">
        <v>26</v>
      </c>
      <c r="B1226" s="2" t="s">
        <v>1643</v>
      </c>
      <c r="C1226" s="2" t="s">
        <v>2893</v>
      </c>
      <c r="D1226" s="2" t="s">
        <v>1645</v>
      </c>
      <c r="E1226" s="4" t="n">
        <v>44.41</v>
      </c>
      <c r="F1226" s="4" t="n">
        <v>4.04</v>
      </c>
      <c r="G1226" s="4" t="n">
        <v>40.37</v>
      </c>
      <c r="H1226" s="2" t="s">
        <v>1385</v>
      </c>
    </row>
    <row r="1227" customFormat="false" ht="15" hidden="false" customHeight="false" outlineLevel="0" collapsed="false">
      <c r="A1227" s="2" t="s">
        <v>26</v>
      </c>
      <c r="B1227" s="2" t="s">
        <v>1814</v>
      </c>
      <c r="C1227" s="2" t="s">
        <v>2894</v>
      </c>
      <c r="D1227" s="2" t="s">
        <v>1816</v>
      </c>
      <c r="E1227" s="4" t="n">
        <v>43.27</v>
      </c>
      <c r="F1227" s="4" t="n">
        <v>3.93</v>
      </c>
      <c r="G1227" s="4" t="n">
        <v>39.34</v>
      </c>
      <c r="H1227" s="2" t="s">
        <v>1385</v>
      </c>
    </row>
    <row r="1228" customFormat="false" ht="15" hidden="false" customHeight="false" outlineLevel="0" collapsed="false">
      <c r="A1228" s="2" t="s">
        <v>26</v>
      </c>
      <c r="B1228" s="2" t="s">
        <v>1568</v>
      </c>
      <c r="C1228" s="2" t="s">
        <v>2895</v>
      </c>
      <c r="D1228" s="2" t="s">
        <v>1570</v>
      </c>
      <c r="E1228" s="4" t="n">
        <v>153.47</v>
      </c>
      <c r="F1228" s="4" t="n">
        <v>13.96</v>
      </c>
      <c r="G1228" s="4" t="n">
        <v>139.51</v>
      </c>
      <c r="H1228" s="2" t="s">
        <v>1385</v>
      </c>
    </row>
    <row r="1229" customFormat="false" ht="15" hidden="false" customHeight="false" outlineLevel="0" collapsed="false">
      <c r="A1229" s="2" t="s">
        <v>26</v>
      </c>
      <c r="B1229" s="2" t="s">
        <v>1586</v>
      </c>
      <c r="C1229" s="2" t="s">
        <v>2896</v>
      </c>
      <c r="D1229" s="2" t="s">
        <v>1588</v>
      </c>
      <c r="E1229" s="4" t="n">
        <v>920.02</v>
      </c>
      <c r="F1229" s="4" t="n">
        <v>83.64</v>
      </c>
      <c r="G1229" s="4" t="n">
        <v>836.38</v>
      </c>
      <c r="H1229" s="2" t="s">
        <v>1385</v>
      </c>
    </row>
    <row r="1230" customFormat="false" ht="15" hidden="false" customHeight="false" outlineLevel="0" collapsed="false">
      <c r="A1230" s="2" t="s">
        <v>26</v>
      </c>
      <c r="B1230" s="2" t="s">
        <v>1580</v>
      </c>
      <c r="C1230" s="2" t="s">
        <v>2897</v>
      </c>
      <c r="D1230" s="2" t="s">
        <v>1582</v>
      </c>
      <c r="E1230" s="4" t="n">
        <v>2029.67</v>
      </c>
      <c r="F1230" s="4" t="n">
        <v>184.52</v>
      </c>
      <c r="G1230" s="4" t="n">
        <v>1845.15</v>
      </c>
      <c r="H1230" s="2" t="s">
        <v>1385</v>
      </c>
    </row>
    <row r="1231" customFormat="false" ht="15" hidden="false" customHeight="false" outlineLevel="0" collapsed="false">
      <c r="A1231" s="2" t="s">
        <v>26</v>
      </c>
      <c r="B1231" s="2" t="s">
        <v>2827</v>
      </c>
      <c r="C1231" s="2" t="s">
        <v>2898</v>
      </c>
      <c r="D1231" s="2" t="s">
        <v>2829</v>
      </c>
      <c r="E1231" s="4" t="n">
        <v>34.75</v>
      </c>
      <c r="F1231" s="4" t="n">
        <v>3.16</v>
      </c>
      <c r="G1231" s="4" t="n">
        <v>31.59</v>
      </c>
      <c r="H1231" s="2" t="s">
        <v>1385</v>
      </c>
    </row>
    <row r="1232" customFormat="false" ht="15" hidden="false" customHeight="false" outlineLevel="0" collapsed="false">
      <c r="A1232" s="2" t="s">
        <v>26</v>
      </c>
      <c r="B1232" s="2" t="s">
        <v>179</v>
      </c>
      <c r="C1232" s="2" t="s">
        <v>836</v>
      </c>
      <c r="D1232" s="2" t="s">
        <v>181</v>
      </c>
      <c r="E1232" s="4" t="n">
        <v>114.49</v>
      </c>
      <c r="F1232" s="4" t="n">
        <v>10.41</v>
      </c>
      <c r="G1232" s="4" t="n">
        <v>104.08</v>
      </c>
      <c r="H1232" s="2" t="s">
        <v>1381</v>
      </c>
    </row>
    <row r="1233" customFormat="false" ht="15" hidden="false" customHeight="false" outlineLevel="0" collapsed="false">
      <c r="A1233" s="2" t="s">
        <v>26</v>
      </c>
      <c r="B1233" s="2" t="s">
        <v>1715</v>
      </c>
      <c r="C1233" s="2" t="s">
        <v>2899</v>
      </c>
      <c r="D1233" s="2" t="s">
        <v>1717</v>
      </c>
      <c r="E1233" s="4" t="n">
        <v>1035.33</v>
      </c>
      <c r="F1233" s="4" t="n">
        <v>94.12</v>
      </c>
      <c r="G1233" s="4" t="n">
        <v>941.21</v>
      </c>
      <c r="H1233" s="2" t="s">
        <v>1385</v>
      </c>
    </row>
    <row r="1234" customFormat="false" ht="15" hidden="false" customHeight="false" outlineLevel="0" collapsed="false">
      <c r="A1234" s="2" t="s">
        <v>26</v>
      </c>
      <c r="B1234" s="2" t="s">
        <v>1592</v>
      </c>
      <c r="C1234" s="2" t="s">
        <v>2900</v>
      </c>
      <c r="D1234" s="2" t="s">
        <v>1594</v>
      </c>
      <c r="E1234" s="4" t="n">
        <v>75.35</v>
      </c>
      <c r="F1234" s="4" t="n">
        <v>6.85</v>
      </c>
      <c r="G1234" s="4" t="n">
        <v>68.5</v>
      </c>
      <c r="H1234" s="2" t="s">
        <v>1385</v>
      </c>
    </row>
    <row r="1235" customFormat="false" ht="15" hidden="false" customHeight="false" outlineLevel="0" collapsed="false">
      <c r="A1235" s="2" t="s">
        <v>26</v>
      </c>
      <c r="B1235" s="2" t="s">
        <v>1778</v>
      </c>
      <c r="C1235" s="2" t="s">
        <v>2901</v>
      </c>
      <c r="D1235" s="2" t="s">
        <v>2445</v>
      </c>
      <c r="E1235" s="4" t="n">
        <v>131.75</v>
      </c>
      <c r="F1235" s="4" t="n">
        <v>11.98</v>
      </c>
      <c r="G1235" s="4" t="n">
        <v>119.77</v>
      </c>
      <c r="H1235" s="2" t="s">
        <v>1385</v>
      </c>
    </row>
    <row r="1236" customFormat="false" ht="15" hidden="false" customHeight="false" outlineLevel="0" collapsed="false">
      <c r="A1236" s="2" t="s">
        <v>26</v>
      </c>
      <c r="B1236" s="2" t="s">
        <v>1787</v>
      </c>
      <c r="C1236" s="2" t="s">
        <v>2902</v>
      </c>
      <c r="D1236" s="2" t="s">
        <v>1789</v>
      </c>
      <c r="E1236" s="4" t="n">
        <v>72.55</v>
      </c>
      <c r="F1236" s="4" t="n">
        <v>6.6</v>
      </c>
      <c r="G1236" s="4" t="n">
        <v>65.95</v>
      </c>
      <c r="H1236" s="2" t="s">
        <v>1385</v>
      </c>
    </row>
    <row r="1237" customFormat="false" ht="15" hidden="false" customHeight="false" outlineLevel="0" collapsed="false">
      <c r="A1237" s="2" t="s">
        <v>26</v>
      </c>
      <c r="B1237" s="2" t="s">
        <v>1823</v>
      </c>
      <c r="C1237" s="2" t="s">
        <v>2903</v>
      </c>
      <c r="D1237" s="2" t="s">
        <v>1825</v>
      </c>
      <c r="E1237" s="4" t="n">
        <v>101.24</v>
      </c>
      <c r="F1237" s="4" t="n">
        <v>9.21</v>
      </c>
      <c r="G1237" s="4" t="n">
        <v>92.03</v>
      </c>
      <c r="H1237" s="2" t="s">
        <v>1385</v>
      </c>
    </row>
    <row r="1238" customFormat="false" ht="15" hidden="false" customHeight="false" outlineLevel="0" collapsed="false">
      <c r="A1238" s="2" t="s">
        <v>26</v>
      </c>
      <c r="B1238" s="2" t="s">
        <v>1005</v>
      </c>
      <c r="C1238" s="2" t="s">
        <v>1052</v>
      </c>
      <c r="D1238" s="2" t="s">
        <v>1007</v>
      </c>
      <c r="E1238" s="4" t="n">
        <v>58.28</v>
      </c>
      <c r="F1238" s="4" t="n">
        <v>5.3</v>
      </c>
      <c r="G1238" s="4" t="n">
        <v>52.98</v>
      </c>
      <c r="H1238" s="2" t="s">
        <v>1381</v>
      </c>
    </row>
    <row r="1239" customFormat="false" ht="15" hidden="false" customHeight="false" outlineLevel="0" collapsed="false">
      <c r="A1239" s="2" t="s">
        <v>26</v>
      </c>
      <c r="B1239" s="2" t="s">
        <v>1790</v>
      </c>
      <c r="C1239" s="2" t="s">
        <v>2904</v>
      </c>
      <c r="D1239" s="2" t="s">
        <v>1792</v>
      </c>
      <c r="E1239" s="4" t="n">
        <v>69.4</v>
      </c>
      <c r="F1239" s="4" t="n">
        <v>6.31</v>
      </c>
      <c r="G1239" s="4" t="n">
        <v>63.09</v>
      </c>
      <c r="H1239" s="2" t="s">
        <v>1385</v>
      </c>
    </row>
    <row r="1240" customFormat="false" ht="15" hidden="false" customHeight="false" outlineLevel="0" collapsed="false">
      <c r="A1240" s="2" t="s">
        <v>26</v>
      </c>
      <c r="B1240" s="2" t="s">
        <v>999</v>
      </c>
      <c r="C1240" s="2" t="s">
        <v>1050</v>
      </c>
      <c r="D1240" s="2" t="s">
        <v>1001</v>
      </c>
      <c r="E1240" s="4" t="n">
        <v>35.97</v>
      </c>
      <c r="F1240" s="4" t="n">
        <v>3.27</v>
      </c>
      <c r="G1240" s="4" t="n">
        <v>32.7</v>
      </c>
      <c r="H1240" s="2" t="s">
        <v>1381</v>
      </c>
    </row>
    <row r="1241" customFormat="false" ht="15" hidden="false" customHeight="false" outlineLevel="0" collapsed="false">
      <c r="A1241" s="2" t="s">
        <v>26</v>
      </c>
      <c r="B1241" s="2" t="s">
        <v>1658</v>
      </c>
      <c r="C1241" s="2" t="s">
        <v>2905</v>
      </c>
      <c r="D1241" s="2" t="s">
        <v>1660</v>
      </c>
      <c r="E1241" s="4" t="n">
        <v>74.24</v>
      </c>
      <c r="F1241" s="4" t="n">
        <v>6.75</v>
      </c>
      <c r="G1241" s="4" t="n">
        <v>67.49</v>
      </c>
      <c r="H1241" s="2" t="s">
        <v>1385</v>
      </c>
    </row>
    <row r="1242" customFormat="false" ht="15" hidden="false" customHeight="false" outlineLevel="0" collapsed="false">
      <c r="A1242" s="2" t="s">
        <v>26</v>
      </c>
      <c r="B1242" s="2" t="s">
        <v>1012</v>
      </c>
      <c r="C1242" s="2" t="s">
        <v>1054</v>
      </c>
      <c r="D1242" s="2" t="s">
        <v>1014</v>
      </c>
      <c r="E1242" s="4" t="n">
        <v>35.81</v>
      </c>
      <c r="F1242" s="4" t="n">
        <v>3.26</v>
      </c>
      <c r="G1242" s="4" t="n">
        <v>32.55</v>
      </c>
      <c r="H1242" s="2" t="s">
        <v>1381</v>
      </c>
    </row>
    <row r="1243" customFormat="false" ht="15" hidden="false" customHeight="false" outlineLevel="0" collapsed="false">
      <c r="A1243" s="2" t="s">
        <v>26</v>
      </c>
      <c r="B1243" s="2" t="s">
        <v>1544</v>
      </c>
      <c r="C1243" s="2" t="s">
        <v>2906</v>
      </c>
      <c r="D1243" s="2" t="s">
        <v>1546</v>
      </c>
      <c r="E1243" s="4" t="n">
        <v>50.52</v>
      </c>
      <c r="F1243" s="4" t="n">
        <v>4.6</v>
      </c>
      <c r="G1243" s="4" t="n">
        <v>45.92</v>
      </c>
      <c r="H1243" s="2" t="s">
        <v>1385</v>
      </c>
    </row>
    <row r="1244" customFormat="false" ht="15" hidden="false" customHeight="false" outlineLevel="0" collapsed="false">
      <c r="A1244" s="2" t="s">
        <v>26</v>
      </c>
      <c r="B1244" s="2" t="s">
        <v>1619</v>
      </c>
      <c r="C1244" s="2" t="s">
        <v>2907</v>
      </c>
      <c r="D1244" s="2" t="s">
        <v>1621</v>
      </c>
      <c r="E1244" s="4" t="n">
        <v>77.41</v>
      </c>
      <c r="F1244" s="4" t="n">
        <v>7.04</v>
      </c>
      <c r="G1244" s="4" t="n">
        <v>70.37</v>
      </c>
      <c r="H1244" s="2" t="s">
        <v>1385</v>
      </c>
    </row>
    <row r="1245" customFormat="false" ht="15" hidden="false" customHeight="false" outlineLevel="0" collapsed="false">
      <c r="A1245" s="2" t="s">
        <v>26</v>
      </c>
      <c r="B1245" s="2" t="s">
        <v>1616</v>
      </c>
      <c r="C1245" s="2" t="s">
        <v>2908</v>
      </c>
      <c r="D1245" s="2" t="s">
        <v>1618</v>
      </c>
      <c r="E1245" s="4" t="n">
        <v>211.13</v>
      </c>
      <c r="F1245" s="4" t="n">
        <v>19.2</v>
      </c>
      <c r="G1245" s="4" t="n">
        <v>191.93</v>
      </c>
      <c r="H1245" s="2" t="s">
        <v>1385</v>
      </c>
    </row>
    <row r="1246" customFormat="false" ht="15" hidden="false" customHeight="false" outlineLevel="0" collapsed="false">
      <c r="A1246" s="2" t="s">
        <v>26</v>
      </c>
      <c r="B1246" s="2" t="s">
        <v>1712</v>
      </c>
      <c r="C1246" s="2" t="s">
        <v>2909</v>
      </c>
      <c r="D1246" s="2" t="s">
        <v>1714</v>
      </c>
      <c r="E1246" s="4" t="n">
        <v>1454.81</v>
      </c>
      <c r="F1246" s="4" t="n">
        <v>132.26</v>
      </c>
      <c r="G1246" s="4" t="n">
        <v>1322.55</v>
      </c>
      <c r="H1246" s="2" t="s">
        <v>1385</v>
      </c>
    </row>
    <row r="1247" customFormat="false" ht="15" hidden="false" customHeight="false" outlineLevel="0" collapsed="false">
      <c r="A1247" s="2" t="s">
        <v>26</v>
      </c>
      <c r="B1247" s="2" t="s">
        <v>1688</v>
      </c>
      <c r="C1247" s="2" t="s">
        <v>2910</v>
      </c>
      <c r="D1247" s="2" t="s">
        <v>1690</v>
      </c>
      <c r="E1247" s="4" t="n">
        <v>362.07</v>
      </c>
      <c r="F1247" s="4" t="n">
        <v>32.92</v>
      </c>
      <c r="G1247" s="4" t="n">
        <v>329.15</v>
      </c>
      <c r="H1247" s="2" t="s">
        <v>1385</v>
      </c>
    </row>
    <row r="1248" customFormat="false" ht="15" hidden="false" customHeight="false" outlineLevel="0" collapsed="false">
      <c r="A1248" s="2" t="s">
        <v>26</v>
      </c>
      <c r="B1248" s="2" t="s">
        <v>1019</v>
      </c>
      <c r="C1248" s="2" t="s">
        <v>1056</v>
      </c>
      <c r="D1248" s="2" t="s">
        <v>1021</v>
      </c>
      <c r="E1248" s="4" t="n">
        <v>64.74</v>
      </c>
      <c r="F1248" s="4" t="n">
        <v>5.89</v>
      </c>
      <c r="G1248" s="4" t="n">
        <v>58.85</v>
      </c>
      <c r="H1248" s="2" t="s">
        <v>1381</v>
      </c>
    </row>
    <row r="1249" customFormat="false" ht="15" hidden="false" customHeight="false" outlineLevel="0" collapsed="false">
      <c r="A1249" s="2" t="s">
        <v>26</v>
      </c>
      <c r="B1249" s="2" t="s">
        <v>1547</v>
      </c>
      <c r="C1249" s="2" t="s">
        <v>2911</v>
      </c>
      <c r="D1249" s="2" t="s">
        <v>1549</v>
      </c>
      <c r="E1249" s="4" t="n">
        <v>88.72</v>
      </c>
      <c r="F1249" s="4" t="n">
        <v>8.07</v>
      </c>
      <c r="G1249" s="4" t="n">
        <v>80.65</v>
      </c>
      <c r="H1249" s="2" t="s">
        <v>1385</v>
      </c>
    </row>
    <row r="1250" customFormat="false" ht="15" hidden="false" customHeight="false" outlineLevel="0" collapsed="false">
      <c r="A1250" s="2" t="s">
        <v>26</v>
      </c>
      <c r="B1250" s="2" t="s">
        <v>1026</v>
      </c>
      <c r="C1250" s="2" t="s">
        <v>1058</v>
      </c>
      <c r="D1250" s="2" t="s">
        <v>1028</v>
      </c>
      <c r="E1250" s="4" t="n">
        <v>67.06</v>
      </c>
      <c r="F1250" s="4" t="n">
        <v>6.1</v>
      </c>
      <c r="G1250" s="4" t="n">
        <v>60.96</v>
      </c>
      <c r="H1250" s="2" t="s">
        <v>1381</v>
      </c>
    </row>
    <row r="1251" customFormat="false" ht="15" hidden="false" customHeight="false" outlineLevel="0" collapsed="false">
      <c r="A1251" s="2" t="s">
        <v>26</v>
      </c>
      <c r="B1251" s="2" t="s">
        <v>1733</v>
      </c>
      <c r="C1251" s="2" t="s">
        <v>2912</v>
      </c>
      <c r="D1251" s="2" t="s">
        <v>1735</v>
      </c>
      <c r="E1251" s="4" t="n">
        <v>5846.59</v>
      </c>
      <c r="F1251" s="4" t="n">
        <v>531.51</v>
      </c>
      <c r="G1251" s="4" t="n">
        <v>5315.08</v>
      </c>
      <c r="H1251" s="2" t="s">
        <v>1385</v>
      </c>
    </row>
    <row r="1252" customFormat="false" ht="15" hidden="false" customHeight="false" outlineLevel="0" collapsed="false">
      <c r="A1252" s="2" t="s">
        <v>26</v>
      </c>
      <c r="B1252" s="2" t="s">
        <v>1622</v>
      </c>
      <c r="C1252" s="2" t="s">
        <v>2913</v>
      </c>
      <c r="D1252" s="2" t="s">
        <v>1624</v>
      </c>
      <c r="E1252" s="4" t="n">
        <v>91.47</v>
      </c>
      <c r="F1252" s="4" t="n">
        <v>8.32</v>
      </c>
      <c r="G1252" s="4" t="n">
        <v>83.15</v>
      </c>
      <c r="H1252" s="2" t="s">
        <v>1385</v>
      </c>
    </row>
    <row r="1253" customFormat="false" ht="15" hidden="false" customHeight="false" outlineLevel="0" collapsed="false">
      <c r="A1253" s="2" t="s">
        <v>26</v>
      </c>
      <c r="B1253" s="2" t="s">
        <v>1634</v>
      </c>
      <c r="C1253" s="2" t="s">
        <v>2914</v>
      </c>
      <c r="D1253" s="2" t="s">
        <v>1636</v>
      </c>
      <c r="E1253" s="4" t="n">
        <v>31.21</v>
      </c>
      <c r="F1253" s="4" t="n">
        <v>2.84</v>
      </c>
      <c r="G1253" s="4" t="n">
        <v>28.37</v>
      </c>
      <c r="H1253" s="2" t="s">
        <v>1385</v>
      </c>
    </row>
    <row r="1254" customFormat="false" ht="15" hidden="false" customHeight="false" outlineLevel="0" collapsed="false">
      <c r="A1254" s="2" t="s">
        <v>26</v>
      </c>
      <c r="B1254" s="2" t="s">
        <v>1604</v>
      </c>
      <c r="C1254" s="2" t="s">
        <v>2915</v>
      </c>
      <c r="D1254" s="2" t="s">
        <v>1606</v>
      </c>
      <c r="E1254" s="4" t="n">
        <v>1199.69</v>
      </c>
      <c r="F1254" s="4" t="n">
        <v>109.07</v>
      </c>
      <c r="G1254" s="4" t="n">
        <v>1090.62</v>
      </c>
      <c r="H1254" s="2" t="s">
        <v>1385</v>
      </c>
    </row>
    <row r="1255" customFormat="false" ht="15" hidden="false" customHeight="false" outlineLevel="0" collapsed="false">
      <c r="A1255" s="2" t="s">
        <v>26</v>
      </c>
      <c r="B1255" s="2" t="s">
        <v>1862</v>
      </c>
      <c r="C1255" s="2" t="s">
        <v>2916</v>
      </c>
      <c r="D1255" s="2" t="s">
        <v>1864</v>
      </c>
      <c r="E1255" s="4" t="n">
        <v>2744.23</v>
      </c>
      <c r="F1255" s="4" t="n">
        <v>249.48</v>
      </c>
      <c r="G1255" s="4" t="n">
        <v>2494.75</v>
      </c>
      <c r="H1255" s="2" t="s">
        <v>1385</v>
      </c>
    </row>
    <row r="1256" customFormat="false" ht="15" hidden="false" customHeight="false" outlineLevel="0" collapsed="false">
      <c r="A1256" s="2" t="s">
        <v>26</v>
      </c>
      <c r="B1256" s="2" t="s">
        <v>945</v>
      </c>
      <c r="C1256" s="2" t="s">
        <v>1032</v>
      </c>
      <c r="D1256" s="2" t="s">
        <v>947</v>
      </c>
      <c r="E1256" s="4" t="n">
        <v>36.76</v>
      </c>
      <c r="F1256" s="4" t="n">
        <v>3.35</v>
      </c>
      <c r="G1256" s="4" t="n">
        <v>33.41</v>
      </c>
      <c r="H1256" s="2" t="s">
        <v>1381</v>
      </c>
    </row>
    <row r="1257" customFormat="false" ht="15" hidden="false" customHeight="false" outlineLevel="0" collapsed="false">
      <c r="A1257" s="2" t="s">
        <v>26</v>
      </c>
      <c r="B1257" s="2" t="s">
        <v>1640</v>
      </c>
      <c r="C1257" s="2" t="s">
        <v>2917</v>
      </c>
      <c r="D1257" s="2" t="s">
        <v>1642</v>
      </c>
      <c r="E1257" s="4" t="n">
        <v>2157.52</v>
      </c>
      <c r="F1257" s="4" t="n">
        <v>196.14</v>
      </c>
      <c r="G1257" s="4" t="n">
        <v>1961.38</v>
      </c>
      <c r="H1257" s="2" t="s">
        <v>1385</v>
      </c>
    </row>
    <row r="1258" customFormat="false" ht="15" hidden="false" customHeight="false" outlineLevel="0" collapsed="false">
      <c r="A1258" s="2" t="s">
        <v>26</v>
      </c>
      <c r="B1258" s="2" t="s">
        <v>1724</v>
      </c>
      <c r="C1258" s="2" t="s">
        <v>2918</v>
      </c>
      <c r="D1258" s="2" t="s">
        <v>1726</v>
      </c>
      <c r="E1258" s="4" t="n">
        <v>59.64</v>
      </c>
      <c r="F1258" s="4" t="n">
        <v>5.43</v>
      </c>
      <c r="G1258" s="4" t="n">
        <v>54.21</v>
      </c>
      <c r="H1258" s="2" t="s">
        <v>1385</v>
      </c>
    </row>
    <row r="1259" customFormat="false" ht="15" hidden="false" customHeight="false" outlineLevel="0" collapsed="false">
      <c r="A1259" s="2" t="s">
        <v>26</v>
      </c>
      <c r="B1259" s="2" t="s">
        <v>661</v>
      </c>
      <c r="C1259" s="2" t="s">
        <v>680</v>
      </c>
      <c r="D1259" s="2" t="s">
        <v>663</v>
      </c>
      <c r="E1259" s="4" t="n">
        <v>99.46</v>
      </c>
      <c r="F1259" s="4" t="n">
        <v>9.05</v>
      </c>
      <c r="G1259" s="4" t="n">
        <v>90.41</v>
      </c>
      <c r="H1259" s="2" t="s">
        <v>1381</v>
      </c>
    </row>
    <row r="1260" customFormat="false" ht="15" hidden="false" customHeight="false" outlineLevel="0" collapsed="false">
      <c r="A1260" s="2" t="s">
        <v>26</v>
      </c>
      <c r="B1260" s="2" t="s">
        <v>533</v>
      </c>
      <c r="C1260" s="2" t="s">
        <v>1038</v>
      </c>
      <c r="D1260" s="2" t="s">
        <v>535</v>
      </c>
      <c r="E1260" s="4" t="n">
        <v>35.81</v>
      </c>
      <c r="F1260" s="4" t="n">
        <v>3.26</v>
      </c>
      <c r="G1260" s="4" t="n">
        <v>32.55</v>
      </c>
      <c r="H1260" s="2" t="s">
        <v>1381</v>
      </c>
    </row>
    <row r="1261" customFormat="false" ht="15" hidden="false" customHeight="false" outlineLevel="0" collapsed="false">
      <c r="A1261" s="2" t="s">
        <v>26</v>
      </c>
      <c r="B1261" s="2" t="s">
        <v>1679</v>
      </c>
      <c r="C1261" s="2" t="s">
        <v>2919</v>
      </c>
      <c r="D1261" s="2" t="s">
        <v>1681</v>
      </c>
      <c r="E1261" s="4" t="n">
        <v>170.07</v>
      </c>
      <c r="F1261" s="4" t="n">
        <v>15.47</v>
      </c>
      <c r="G1261" s="4" t="n">
        <v>154.6</v>
      </c>
      <c r="H1261" s="2" t="s">
        <v>1385</v>
      </c>
    </row>
    <row r="1262" customFormat="false" ht="15" hidden="false" customHeight="false" outlineLevel="0" collapsed="false">
      <c r="A1262" s="2" t="s">
        <v>26</v>
      </c>
      <c r="B1262" s="2" t="s">
        <v>816</v>
      </c>
      <c r="C1262" s="2" t="s">
        <v>1042</v>
      </c>
      <c r="D1262" s="2" t="s">
        <v>818</v>
      </c>
      <c r="E1262" s="4" t="n">
        <v>67.25</v>
      </c>
      <c r="F1262" s="4" t="n">
        <v>6.12</v>
      </c>
      <c r="G1262" s="4" t="n">
        <v>61.13</v>
      </c>
      <c r="H1262" s="2" t="s">
        <v>1381</v>
      </c>
    </row>
    <row r="1263" customFormat="false" ht="15" hidden="false" customHeight="false" outlineLevel="0" collapsed="false">
      <c r="A1263" s="2" t="s">
        <v>26</v>
      </c>
      <c r="B1263" s="2" t="s">
        <v>1829</v>
      </c>
      <c r="C1263" s="2" t="s">
        <v>2920</v>
      </c>
      <c r="D1263" s="2" t="s">
        <v>1831</v>
      </c>
      <c r="E1263" s="4" t="n">
        <v>56.25</v>
      </c>
      <c r="F1263" s="4" t="n">
        <v>5.12</v>
      </c>
      <c r="G1263" s="4" t="n">
        <v>51.13</v>
      </c>
      <c r="H1263" s="2" t="s">
        <v>1385</v>
      </c>
    </row>
    <row r="1264" customFormat="false" ht="15" hidden="false" customHeight="false" outlineLevel="0" collapsed="false">
      <c r="A1264" s="2" t="s">
        <v>26</v>
      </c>
      <c r="B1264" s="2" t="s">
        <v>965</v>
      </c>
      <c r="C1264" s="2" t="s">
        <v>1044</v>
      </c>
      <c r="D1264" s="2" t="s">
        <v>967</v>
      </c>
      <c r="E1264" s="4" t="n">
        <v>35.81</v>
      </c>
      <c r="F1264" s="4" t="n">
        <v>3.26</v>
      </c>
      <c r="G1264" s="4" t="n">
        <v>32.55</v>
      </c>
      <c r="H1264" s="2" t="s">
        <v>1381</v>
      </c>
    </row>
    <row r="1265" customFormat="false" ht="15" hidden="false" customHeight="false" outlineLevel="0" collapsed="false">
      <c r="A1265" s="2" t="s">
        <v>26</v>
      </c>
      <c r="B1265" s="2" t="s">
        <v>875</v>
      </c>
      <c r="C1265" s="2" t="s">
        <v>1170</v>
      </c>
      <c r="D1265" s="2" t="s">
        <v>877</v>
      </c>
      <c r="E1265" s="4" t="n">
        <v>59.66</v>
      </c>
      <c r="F1265" s="4" t="n">
        <v>5.43</v>
      </c>
      <c r="G1265" s="4" t="n">
        <v>54.23</v>
      </c>
      <c r="H1265" s="2" t="s">
        <v>1381</v>
      </c>
    </row>
    <row r="1266" customFormat="false" ht="15" hidden="false" customHeight="false" outlineLevel="0" collapsed="false">
      <c r="A1266" s="2" t="s">
        <v>26</v>
      </c>
      <c r="B1266" s="2" t="s">
        <v>1856</v>
      </c>
      <c r="C1266" s="2" t="s">
        <v>2921</v>
      </c>
      <c r="D1266" s="2" t="s">
        <v>1858</v>
      </c>
      <c r="E1266" s="4" t="n">
        <v>93.09</v>
      </c>
      <c r="F1266" s="4" t="n">
        <v>8.47</v>
      </c>
      <c r="G1266" s="4" t="n">
        <v>84.62</v>
      </c>
      <c r="H1266" s="2" t="s">
        <v>1385</v>
      </c>
    </row>
    <row r="1267" customFormat="false" ht="15" hidden="false" customHeight="false" outlineLevel="0" collapsed="false">
      <c r="A1267" s="2" t="s">
        <v>26</v>
      </c>
      <c r="B1267" s="2" t="s">
        <v>1685</v>
      </c>
      <c r="C1267" s="2" t="s">
        <v>2922</v>
      </c>
      <c r="D1267" s="2" t="s">
        <v>1687</v>
      </c>
      <c r="E1267" s="4" t="n">
        <v>89.99</v>
      </c>
      <c r="F1267" s="4" t="n">
        <v>8.19</v>
      </c>
      <c r="G1267" s="4" t="n">
        <v>81.8</v>
      </c>
      <c r="H1267" s="2" t="s">
        <v>1385</v>
      </c>
    </row>
    <row r="1268" customFormat="false" ht="15" hidden="false" customHeight="false" outlineLevel="0" collapsed="false">
      <c r="A1268" s="2" t="s">
        <v>26</v>
      </c>
      <c r="B1268" s="2" t="s">
        <v>1682</v>
      </c>
      <c r="C1268" s="2" t="s">
        <v>2923</v>
      </c>
      <c r="D1268" s="2" t="s">
        <v>1684</v>
      </c>
      <c r="E1268" s="4" t="n">
        <v>125.77</v>
      </c>
      <c r="F1268" s="4" t="n">
        <v>11.44</v>
      </c>
      <c r="G1268" s="4" t="n">
        <v>114.33</v>
      </c>
      <c r="H1268" s="2" t="s">
        <v>1385</v>
      </c>
    </row>
    <row r="1269" customFormat="false" ht="15" hidden="false" customHeight="false" outlineLevel="0" collapsed="false">
      <c r="A1269" s="2" t="s">
        <v>26</v>
      </c>
      <c r="B1269" s="2" t="s">
        <v>1529</v>
      </c>
      <c r="C1269" s="2" t="s">
        <v>2924</v>
      </c>
      <c r="D1269" s="2" t="s">
        <v>1531</v>
      </c>
      <c r="E1269" s="4" t="n">
        <v>57.31</v>
      </c>
      <c r="F1269" s="4" t="n">
        <v>21.56</v>
      </c>
      <c r="G1269" s="4" t="n">
        <v>35.75</v>
      </c>
      <c r="H1269" s="2" t="s">
        <v>1385</v>
      </c>
    </row>
    <row r="1270" customFormat="false" ht="15" hidden="false" customHeight="false" outlineLevel="0" collapsed="false">
      <c r="A1270" s="2" t="s">
        <v>26</v>
      </c>
      <c r="B1270" s="2" t="s">
        <v>1664</v>
      </c>
      <c r="C1270" s="2" t="s">
        <v>2925</v>
      </c>
      <c r="D1270" s="2" t="s">
        <v>1666</v>
      </c>
      <c r="E1270" s="4" t="n">
        <v>35.81</v>
      </c>
      <c r="F1270" s="4" t="n">
        <v>3.26</v>
      </c>
      <c r="G1270" s="4" t="n">
        <v>32.55</v>
      </c>
      <c r="H1270" s="2" t="s">
        <v>1385</v>
      </c>
    </row>
    <row r="1271" customFormat="false" ht="15" hidden="false" customHeight="false" outlineLevel="0" collapsed="false">
      <c r="A1271" s="2" t="s">
        <v>26</v>
      </c>
      <c r="B1271" s="2" t="s">
        <v>1595</v>
      </c>
      <c r="C1271" s="2" t="s">
        <v>2926</v>
      </c>
      <c r="D1271" s="2" t="s">
        <v>1597</v>
      </c>
      <c r="E1271" s="4" t="n">
        <v>46.02</v>
      </c>
      <c r="F1271" s="4" t="n">
        <v>4.19</v>
      </c>
      <c r="G1271" s="4" t="n">
        <v>41.83</v>
      </c>
      <c r="H1271" s="2" t="s">
        <v>1385</v>
      </c>
    </row>
    <row r="1272" customFormat="false" ht="15" hidden="false" customHeight="false" outlineLevel="0" collapsed="false">
      <c r="A1272" s="2" t="s">
        <v>26</v>
      </c>
      <c r="B1272" s="2" t="s">
        <v>1799</v>
      </c>
      <c r="C1272" s="2" t="s">
        <v>2927</v>
      </c>
      <c r="D1272" s="2" t="s">
        <v>1801</v>
      </c>
      <c r="E1272" s="4" t="n">
        <v>35.81</v>
      </c>
      <c r="F1272" s="4" t="n">
        <v>3.26</v>
      </c>
      <c r="G1272" s="4" t="n">
        <v>32.55</v>
      </c>
      <c r="H1272" s="2" t="s">
        <v>1385</v>
      </c>
    </row>
    <row r="1273" customFormat="false" ht="15" hidden="false" customHeight="false" outlineLevel="0" collapsed="false">
      <c r="A1273" s="2" t="s">
        <v>26</v>
      </c>
      <c r="B1273" s="2" t="s">
        <v>978</v>
      </c>
      <c r="C1273" s="2" t="s">
        <v>1048</v>
      </c>
      <c r="D1273" s="2" t="s">
        <v>980</v>
      </c>
      <c r="E1273" s="4" t="n">
        <v>35.81</v>
      </c>
      <c r="F1273" s="4" t="n">
        <v>3.26</v>
      </c>
      <c r="G1273" s="4" t="n">
        <v>32.55</v>
      </c>
      <c r="H1273" s="2" t="s">
        <v>1381</v>
      </c>
    </row>
    <row r="1274" customFormat="false" ht="15" hidden="false" customHeight="false" outlineLevel="0" collapsed="false">
      <c r="A1274" s="2" t="s">
        <v>26</v>
      </c>
      <c r="B1274" s="2" t="s">
        <v>1802</v>
      </c>
      <c r="C1274" s="2" t="s">
        <v>2928</v>
      </c>
      <c r="D1274" s="2" t="s">
        <v>1804</v>
      </c>
      <c r="E1274" s="4" t="n">
        <v>297.55</v>
      </c>
      <c r="F1274" s="4" t="n">
        <v>28.35</v>
      </c>
      <c r="G1274" s="4" t="n">
        <v>269.2</v>
      </c>
      <c r="H1274" s="2" t="s">
        <v>1385</v>
      </c>
    </row>
    <row r="1275" customFormat="false" ht="15" hidden="false" customHeight="false" outlineLevel="0" collapsed="false">
      <c r="A1275" s="2" t="s">
        <v>26</v>
      </c>
      <c r="B1275" s="2" t="s">
        <v>1673</v>
      </c>
      <c r="C1275" s="2" t="s">
        <v>2929</v>
      </c>
      <c r="D1275" s="2" t="s">
        <v>1675</v>
      </c>
      <c r="E1275" s="4" t="n">
        <v>349.11</v>
      </c>
      <c r="F1275" s="4" t="n">
        <v>31.74</v>
      </c>
      <c r="G1275" s="4" t="n">
        <v>317.37</v>
      </c>
      <c r="H1275" s="2" t="s">
        <v>1385</v>
      </c>
    </row>
    <row r="1276" customFormat="false" ht="15" hidden="false" customHeight="false" outlineLevel="0" collapsed="false">
      <c r="A1276" s="2" t="s">
        <v>26</v>
      </c>
      <c r="B1276" s="2" t="s">
        <v>1871</v>
      </c>
      <c r="C1276" s="2" t="s">
        <v>2930</v>
      </c>
      <c r="D1276" s="2" t="s">
        <v>1873</v>
      </c>
      <c r="E1276" s="4" t="n">
        <v>90.08</v>
      </c>
      <c r="F1276" s="4" t="n">
        <v>8.19</v>
      </c>
      <c r="G1276" s="4" t="n">
        <v>81.89</v>
      </c>
      <c r="H1276" s="2" t="s">
        <v>1385</v>
      </c>
    </row>
    <row r="1277" customFormat="false" ht="15" hidden="false" customHeight="false" outlineLevel="0" collapsed="false">
      <c r="A1277" s="2" t="s">
        <v>26</v>
      </c>
      <c r="B1277" s="2" t="s">
        <v>1868</v>
      </c>
      <c r="C1277" s="2" t="s">
        <v>2931</v>
      </c>
      <c r="D1277" s="2" t="s">
        <v>1870</v>
      </c>
      <c r="E1277" s="4" t="n">
        <v>282.78</v>
      </c>
      <c r="F1277" s="4" t="n">
        <v>25.71</v>
      </c>
      <c r="G1277" s="4" t="n">
        <v>257.07</v>
      </c>
      <c r="H1277" s="2" t="s">
        <v>1385</v>
      </c>
    </row>
    <row r="1278" customFormat="false" ht="15" hidden="false" customHeight="false" outlineLevel="0" collapsed="false">
      <c r="A1278" s="2" t="s">
        <v>26</v>
      </c>
      <c r="B1278" s="2" t="s">
        <v>958</v>
      </c>
      <c r="C1278" s="2" t="s">
        <v>1040</v>
      </c>
      <c r="D1278" s="2" t="s">
        <v>960</v>
      </c>
      <c r="E1278" s="4" t="n">
        <v>35.81</v>
      </c>
      <c r="F1278" s="4" t="n">
        <v>3.26</v>
      </c>
      <c r="G1278" s="4" t="n">
        <v>32.55</v>
      </c>
      <c r="H1278" s="2" t="s">
        <v>1381</v>
      </c>
    </row>
    <row r="1279" customFormat="false" ht="15" hidden="false" customHeight="false" outlineLevel="0" collapsed="false">
      <c r="A1279" s="2" t="s">
        <v>26</v>
      </c>
      <c r="B1279" s="2" t="s">
        <v>1745</v>
      </c>
      <c r="C1279" s="2" t="s">
        <v>2932</v>
      </c>
      <c r="D1279" s="2" t="s">
        <v>1747</v>
      </c>
      <c r="E1279" s="4" t="n">
        <v>38.63</v>
      </c>
      <c r="F1279" s="4" t="n">
        <v>3.52</v>
      </c>
      <c r="G1279" s="4" t="n">
        <v>35.11</v>
      </c>
      <c r="H1279" s="2" t="s">
        <v>1385</v>
      </c>
    </row>
    <row r="1280" customFormat="false" ht="15" hidden="false" customHeight="false" outlineLevel="0" collapsed="false">
      <c r="A1280" s="2" t="s">
        <v>26</v>
      </c>
      <c r="B1280" s="2" t="s">
        <v>1559</v>
      </c>
      <c r="C1280" s="2" t="s">
        <v>2933</v>
      </c>
      <c r="D1280" s="2" t="s">
        <v>1561</v>
      </c>
      <c r="E1280" s="4" t="n">
        <v>53.24</v>
      </c>
      <c r="F1280" s="4" t="n">
        <v>4.84</v>
      </c>
      <c r="G1280" s="4" t="n">
        <v>48.4</v>
      </c>
      <c r="H1280" s="2" t="s">
        <v>1385</v>
      </c>
    </row>
    <row r="1281" customFormat="false" ht="15" hidden="false" customHeight="false" outlineLevel="0" collapsed="false">
      <c r="A1281" s="2" t="s">
        <v>26</v>
      </c>
      <c r="B1281" s="2" t="s">
        <v>1832</v>
      </c>
      <c r="C1281" s="2" t="s">
        <v>2934</v>
      </c>
      <c r="D1281" s="2" t="s">
        <v>1834</v>
      </c>
      <c r="E1281" s="4" t="n">
        <v>482.1</v>
      </c>
      <c r="F1281" s="4" t="n">
        <v>43.83</v>
      </c>
      <c r="G1281" s="4" t="n">
        <v>438.27</v>
      </c>
      <c r="H1281" s="2" t="s">
        <v>1385</v>
      </c>
    </row>
    <row r="1282" customFormat="false" ht="15" hidden="false" customHeight="false" outlineLevel="0" collapsed="false">
      <c r="A1282" s="2" t="s">
        <v>26</v>
      </c>
      <c r="B1282" s="2" t="s">
        <v>1649</v>
      </c>
      <c r="C1282" s="2" t="s">
        <v>2935</v>
      </c>
      <c r="D1282" s="2" t="s">
        <v>1651</v>
      </c>
      <c r="E1282" s="4" t="n">
        <v>27.79</v>
      </c>
      <c r="F1282" s="4" t="n">
        <v>2.53</v>
      </c>
      <c r="G1282" s="4" t="n">
        <v>25.26</v>
      </c>
      <c r="H1282" s="2" t="s">
        <v>1385</v>
      </c>
    </row>
    <row r="1283" customFormat="false" ht="15" hidden="false" customHeight="false" outlineLevel="0" collapsed="false">
      <c r="A1283" s="2" t="s">
        <v>26</v>
      </c>
      <c r="B1283" s="2" t="s">
        <v>1757</v>
      </c>
      <c r="C1283" s="2" t="s">
        <v>2936</v>
      </c>
      <c r="D1283" s="2" t="s">
        <v>1759</v>
      </c>
      <c r="E1283" s="4" t="n">
        <v>164.87</v>
      </c>
      <c r="F1283" s="4" t="n">
        <v>14.99</v>
      </c>
      <c r="G1283" s="4" t="n">
        <v>149.88</v>
      </c>
      <c r="H1283" s="2" t="s">
        <v>1385</v>
      </c>
    </row>
    <row r="1284" customFormat="false" ht="15" hidden="false" customHeight="false" outlineLevel="0" collapsed="false">
      <c r="A1284" s="2" t="s">
        <v>26</v>
      </c>
      <c r="B1284" s="2" t="s">
        <v>1256</v>
      </c>
      <c r="C1284" s="2" t="s">
        <v>1272</v>
      </c>
      <c r="D1284" s="2" t="s">
        <v>1258</v>
      </c>
      <c r="E1284" s="4" t="n">
        <v>30.2</v>
      </c>
      <c r="F1284" s="4" t="n">
        <v>2.75</v>
      </c>
      <c r="G1284" s="4" t="n">
        <v>27.45</v>
      </c>
      <c r="H1284" s="2" t="s">
        <v>1381</v>
      </c>
    </row>
    <row r="1285" customFormat="false" ht="15" hidden="false" customHeight="false" outlineLevel="0" collapsed="false">
      <c r="A1285" s="2" t="s">
        <v>26</v>
      </c>
      <c r="B1285" s="2" t="s">
        <v>1532</v>
      </c>
      <c r="C1285" s="2" t="s">
        <v>2937</v>
      </c>
      <c r="D1285" s="2" t="s">
        <v>1534</v>
      </c>
      <c r="E1285" s="4" t="n">
        <v>423.43</v>
      </c>
      <c r="F1285" s="4" t="n">
        <v>38.49</v>
      </c>
      <c r="G1285" s="4" t="n">
        <v>384.94</v>
      </c>
      <c r="H1285" s="2" t="s">
        <v>1385</v>
      </c>
    </row>
    <row r="1286" customFormat="false" ht="15" hidden="false" customHeight="false" outlineLevel="0" collapsed="false">
      <c r="A1286" s="2" t="s">
        <v>26</v>
      </c>
      <c r="B1286" s="2" t="s">
        <v>1769</v>
      </c>
      <c r="C1286" s="2" t="s">
        <v>2938</v>
      </c>
      <c r="D1286" s="2" t="s">
        <v>1771</v>
      </c>
      <c r="E1286" s="4" t="n">
        <v>204.32</v>
      </c>
      <c r="F1286" s="4" t="n">
        <v>18.58</v>
      </c>
      <c r="G1286" s="4" t="n">
        <v>185.74</v>
      </c>
      <c r="H1286" s="2" t="s">
        <v>1385</v>
      </c>
    </row>
    <row r="1287" customFormat="false" ht="15" hidden="false" customHeight="false" outlineLevel="0" collapsed="false">
      <c r="A1287" s="2" t="s">
        <v>26</v>
      </c>
      <c r="B1287" s="2" t="s">
        <v>1538</v>
      </c>
      <c r="C1287" s="2" t="s">
        <v>2939</v>
      </c>
      <c r="D1287" s="2" t="s">
        <v>1540</v>
      </c>
      <c r="E1287" s="4" t="n">
        <v>211.5</v>
      </c>
      <c r="F1287" s="4" t="n">
        <v>19.23</v>
      </c>
      <c r="G1287" s="4" t="n">
        <v>192.27</v>
      </c>
      <c r="H1287" s="2" t="s">
        <v>1385</v>
      </c>
    </row>
    <row r="1288" customFormat="false" ht="15" hidden="false" customHeight="false" outlineLevel="0" collapsed="false">
      <c r="A1288" s="2" t="s">
        <v>26</v>
      </c>
      <c r="B1288" s="2" t="s">
        <v>1766</v>
      </c>
      <c r="C1288" s="2" t="s">
        <v>2940</v>
      </c>
      <c r="D1288" s="2" t="s">
        <v>1768</v>
      </c>
      <c r="E1288" s="4" t="n">
        <v>450.75</v>
      </c>
      <c r="F1288" s="4" t="n">
        <v>40.98</v>
      </c>
      <c r="G1288" s="4" t="n">
        <v>409.77</v>
      </c>
      <c r="H1288" s="2" t="s">
        <v>1385</v>
      </c>
    </row>
    <row r="1289" customFormat="false" ht="15" hidden="false" customHeight="false" outlineLevel="0" collapsed="false">
      <c r="A1289" s="2" t="s">
        <v>26</v>
      </c>
      <c r="B1289" s="2" t="s">
        <v>1754</v>
      </c>
      <c r="C1289" s="2" t="s">
        <v>2941</v>
      </c>
      <c r="D1289" s="2" t="s">
        <v>1756</v>
      </c>
      <c r="E1289" s="4" t="n">
        <v>92.65</v>
      </c>
      <c r="F1289" s="4" t="n">
        <v>8.43</v>
      </c>
      <c r="G1289" s="4" t="n">
        <v>84.22</v>
      </c>
      <c r="H1289" s="2" t="s">
        <v>1385</v>
      </c>
    </row>
    <row r="1290" customFormat="false" ht="15" hidden="false" customHeight="false" outlineLevel="0" collapsed="false">
      <c r="A1290" s="2" t="s">
        <v>26</v>
      </c>
      <c r="B1290" s="2" t="s">
        <v>1808</v>
      </c>
      <c r="C1290" s="2" t="s">
        <v>2942</v>
      </c>
      <c r="D1290" s="2" t="s">
        <v>1810</v>
      </c>
      <c r="E1290" s="4" t="n">
        <v>61.71</v>
      </c>
      <c r="F1290" s="4" t="n">
        <v>5.61</v>
      </c>
      <c r="G1290" s="4" t="n">
        <v>56.1</v>
      </c>
      <c r="H1290" s="2" t="s">
        <v>1385</v>
      </c>
    </row>
    <row r="1291" customFormat="false" ht="15" hidden="false" customHeight="false" outlineLevel="0" collapsed="false">
      <c r="A1291" s="2" t="s">
        <v>26</v>
      </c>
      <c r="B1291" s="2" t="s">
        <v>1205</v>
      </c>
      <c r="C1291" s="2" t="s">
        <v>1274</v>
      </c>
      <c r="D1291" s="2" t="s">
        <v>1207</v>
      </c>
      <c r="E1291" s="4" t="n">
        <v>50.91</v>
      </c>
      <c r="F1291" s="4" t="n">
        <v>4.63</v>
      </c>
      <c r="G1291" s="4" t="n">
        <v>46.28</v>
      </c>
      <c r="H1291" s="2" t="s">
        <v>1381</v>
      </c>
    </row>
    <row r="1292" customFormat="false" ht="15" hidden="false" customHeight="false" outlineLevel="0" collapsed="false">
      <c r="A1292" s="2" t="s">
        <v>26</v>
      </c>
      <c r="B1292" s="2" t="s">
        <v>185</v>
      </c>
      <c r="C1292" s="2" t="s">
        <v>1278</v>
      </c>
      <c r="D1292" s="2" t="s">
        <v>187</v>
      </c>
      <c r="E1292" s="4" t="n">
        <v>28.59</v>
      </c>
      <c r="F1292" s="4" t="n">
        <v>2.6</v>
      </c>
      <c r="G1292" s="4" t="n">
        <v>25.99</v>
      </c>
      <c r="H1292" s="2" t="s">
        <v>1381</v>
      </c>
    </row>
    <row r="1293" customFormat="false" ht="15" hidden="false" customHeight="false" outlineLevel="0" collapsed="false">
      <c r="A1293" s="2" t="s">
        <v>26</v>
      </c>
      <c r="B1293" s="2" t="s">
        <v>971</v>
      </c>
      <c r="C1293" s="2" t="s">
        <v>1046</v>
      </c>
      <c r="D1293" s="2" t="s">
        <v>973</v>
      </c>
      <c r="E1293" s="4" t="n">
        <v>36.57</v>
      </c>
      <c r="F1293" s="4" t="n">
        <v>3.33</v>
      </c>
      <c r="G1293" s="4" t="n">
        <v>33.24</v>
      </c>
      <c r="H1293" s="2" t="s">
        <v>1381</v>
      </c>
    </row>
    <row r="1294" customFormat="false" ht="15" hidden="false" customHeight="false" outlineLevel="0" collapsed="false">
      <c r="A1294" s="2" t="s">
        <v>26</v>
      </c>
      <c r="B1294" s="2" t="s">
        <v>1775</v>
      </c>
      <c r="C1294" s="2" t="s">
        <v>2943</v>
      </c>
      <c r="D1294" s="2" t="s">
        <v>1777</v>
      </c>
      <c r="E1294" s="4" t="n">
        <v>35.87</v>
      </c>
      <c r="F1294" s="4" t="n">
        <v>3.27</v>
      </c>
      <c r="G1294" s="4" t="n">
        <v>32.6</v>
      </c>
      <c r="H1294" s="2" t="s">
        <v>1385</v>
      </c>
    </row>
    <row r="1295" customFormat="false" ht="15" hidden="false" customHeight="false" outlineLevel="0" collapsed="false">
      <c r="A1295" s="2" t="s">
        <v>26</v>
      </c>
      <c r="B1295" s="2" t="s">
        <v>1850</v>
      </c>
      <c r="C1295" s="2" t="s">
        <v>2944</v>
      </c>
      <c r="D1295" s="2" t="s">
        <v>1852</v>
      </c>
      <c r="E1295" s="4" t="n">
        <v>70.02</v>
      </c>
      <c r="F1295" s="4" t="n">
        <v>6.37</v>
      </c>
      <c r="G1295" s="4" t="n">
        <v>63.65</v>
      </c>
      <c r="H1295" s="2" t="s">
        <v>1385</v>
      </c>
    </row>
    <row r="1296" customFormat="false" ht="15" hidden="false" customHeight="false" outlineLevel="0" collapsed="false">
      <c r="A1296" s="2" t="s">
        <v>26</v>
      </c>
      <c r="B1296" s="2" t="s">
        <v>1646</v>
      </c>
      <c r="C1296" s="2" t="s">
        <v>2945</v>
      </c>
      <c r="D1296" s="2" t="s">
        <v>1648</v>
      </c>
      <c r="E1296" s="4" t="n">
        <v>35.81</v>
      </c>
      <c r="F1296" s="4" t="n">
        <v>3.26</v>
      </c>
      <c r="G1296" s="4" t="n">
        <v>32.55</v>
      </c>
      <c r="H1296" s="2" t="s">
        <v>1385</v>
      </c>
    </row>
    <row r="1297" customFormat="false" ht="15" hidden="false" customHeight="false" outlineLevel="0" collapsed="false">
      <c r="A1297" s="2" t="s">
        <v>26</v>
      </c>
      <c r="B1297" s="2" t="s">
        <v>1730</v>
      </c>
      <c r="C1297" s="2" t="s">
        <v>2946</v>
      </c>
      <c r="D1297" s="2" t="s">
        <v>1732</v>
      </c>
      <c r="E1297" s="4" t="n">
        <v>133.5</v>
      </c>
      <c r="F1297" s="4" t="n">
        <v>12.14</v>
      </c>
      <c r="G1297" s="4" t="n">
        <v>121.36</v>
      </c>
      <c r="H1297" s="2" t="s">
        <v>1385</v>
      </c>
    </row>
    <row r="1298" customFormat="false" ht="15" hidden="false" customHeight="false" outlineLevel="0" collapsed="false">
      <c r="A1298" s="2" t="s">
        <v>26</v>
      </c>
      <c r="B1298" s="2" t="s">
        <v>1652</v>
      </c>
      <c r="C1298" s="2" t="s">
        <v>2947</v>
      </c>
      <c r="D1298" s="2" t="s">
        <v>1654</v>
      </c>
      <c r="E1298" s="4" t="n">
        <v>70.64</v>
      </c>
      <c r="F1298" s="4" t="n">
        <v>6.43</v>
      </c>
      <c r="G1298" s="4" t="n">
        <v>64.21</v>
      </c>
      <c r="H1298" s="2" t="s">
        <v>1385</v>
      </c>
    </row>
    <row r="1299" customFormat="false" ht="15" hidden="false" customHeight="false" outlineLevel="0" collapsed="false">
      <c r="A1299" s="2" t="s">
        <v>26</v>
      </c>
      <c r="B1299" s="2" t="s">
        <v>1835</v>
      </c>
      <c r="C1299" s="2" t="s">
        <v>2948</v>
      </c>
      <c r="D1299" s="2" t="s">
        <v>1837</v>
      </c>
      <c r="E1299" s="4" t="n">
        <v>83.36</v>
      </c>
      <c r="F1299" s="4" t="n">
        <v>7.58</v>
      </c>
      <c r="G1299" s="4" t="n">
        <v>75.78</v>
      </c>
      <c r="H1299" s="2" t="s">
        <v>1385</v>
      </c>
    </row>
    <row r="1300" customFormat="false" ht="15" hidden="false" customHeight="false" outlineLevel="0" collapsed="false">
      <c r="A1300" s="2" t="s">
        <v>26</v>
      </c>
      <c r="B1300" s="2" t="s">
        <v>1655</v>
      </c>
      <c r="C1300" s="2" t="s">
        <v>2949</v>
      </c>
      <c r="D1300" s="2" t="s">
        <v>1657</v>
      </c>
      <c r="E1300" s="4" t="n">
        <v>121.28</v>
      </c>
      <c r="F1300" s="4" t="n">
        <v>11.03</v>
      </c>
      <c r="G1300" s="4" t="n">
        <v>110.25</v>
      </c>
      <c r="H1300" s="2" t="s">
        <v>1385</v>
      </c>
    </row>
    <row r="1301" customFormat="false" ht="15" hidden="false" customHeight="false" outlineLevel="0" collapsed="false">
      <c r="A1301" s="2" t="s">
        <v>26</v>
      </c>
      <c r="B1301" s="2" t="s">
        <v>1706</v>
      </c>
      <c r="C1301" s="2" t="s">
        <v>2950</v>
      </c>
      <c r="D1301" s="2" t="s">
        <v>1708</v>
      </c>
      <c r="E1301" s="4" t="n">
        <v>35.06</v>
      </c>
      <c r="F1301" s="4" t="n">
        <v>4.08</v>
      </c>
      <c r="G1301" s="4" t="n">
        <v>30.98</v>
      </c>
      <c r="H1301" s="2" t="s">
        <v>1385</v>
      </c>
    </row>
    <row r="1302" customFormat="false" ht="15" hidden="false" customHeight="false" outlineLevel="0" collapsed="false">
      <c r="A1302" s="2" t="s">
        <v>26</v>
      </c>
      <c r="B1302" s="2" t="s">
        <v>1739</v>
      </c>
      <c r="C1302" s="2" t="s">
        <v>2951</v>
      </c>
      <c r="D1302" s="2" t="s">
        <v>1741</v>
      </c>
      <c r="E1302" s="4" t="n">
        <v>99.7</v>
      </c>
      <c r="F1302" s="4" t="n">
        <v>9.07</v>
      </c>
      <c r="G1302" s="4" t="n">
        <v>90.63</v>
      </c>
      <c r="H1302" s="2" t="s">
        <v>1385</v>
      </c>
    </row>
    <row r="1303" customFormat="false" ht="15" hidden="false" customHeight="false" outlineLevel="0" collapsed="false">
      <c r="A1303" s="2" t="s">
        <v>26</v>
      </c>
      <c r="B1303" s="2" t="s">
        <v>1565</v>
      </c>
      <c r="C1303" s="2" t="s">
        <v>2952</v>
      </c>
      <c r="D1303" s="2" t="s">
        <v>1567</v>
      </c>
      <c r="E1303" s="4" t="n">
        <v>449.29</v>
      </c>
      <c r="F1303" s="4" t="n">
        <v>40.85</v>
      </c>
      <c r="G1303" s="4" t="n">
        <v>408.44</v>
      </c>
      <c r="H1303" s="2" t="s">
        <v>1385</v>
      </c>
    </row>
    <row r="1304" customFormat="false" ht="15" hidden="false" customHeight="false" outlineLevel="0" collapsed="false">
      <c r="A1304" s="2" t="s">
        <v>26</v>
      </c>
      <c r="B1304" s="2" t="s">
        <v>1796</v>
      </c>
      <c r="C1304" s="2" t="s">
        <v>2953</v>
      </c>
      <c r="D1304" s="2" t="s">
        <v>1798</v>
      </c>
      <c r="E1304" s="4" t="n">
        <v>204.41</v>
      </c>
      <c r="F1304" s="4" t="n">
        <v>18.59</v>
      </c>
      <c r="G1304" s="4" t="n">
        <v>185.82</v>
      </c>
      <c r="H1304" s="2" t="s">
        <v>1385</v>
      </c>
    </row>
    <row r="1305" customFormat="false" ht="15" hidden="false" customHeight="false" outlineLevel="0" collapsed="false">
      <c r="A1305" s="2" t="s">
        <v>26</v>
      </c>
      <c r="B1305" s="2" t="s">
        <v>951</v>
      </c>
      <c r="C1305" s="2" t="s">
        <v>1036</v>
      </c>
      <c r="D1305" s="2" t="s">
        <v>953</v>
      </c>
      <c r="E1305" s="4" t="n">
        <v>37.73</v>
      </c>
      <c r="F1305" s="4" t="n">
        <v>3.43</v>
      </c>
      <c r="G1305" s="4" t="n">
        <v>34.3</v>
      </c>
      <c r="H1305" s="2" t="s">
        <v>1381</v>
      </c>
    </row>
    <row r="1306" customFormat="false" ht="15" hidden="false" customHeight="false" outlineLevel="0" collapsed="false">
      <c r="A1306" s="2" t="s">
        <v>26</v>
      </c>
      <c r="B1306" s="2" t="s">
        <v>1700</v>
      </c>
      <c r="C1306" s="2" t="s">
        <v>2954</v>
      </c>
      <c r="D1306" s="2" t="s">
        <v>1702</v>
      </c>
      <c r="E1306" s="4" t="n">
        <v>70.82</v>
      </c>
      <c r="F1306" s="4" t="n">
        <v>6.44</v>
      </c>
      <c r="G1306" s="4" t="n">
        <v>64.38</v>
      </c>
      <c r="H1306" s="2" t="s">
        <v>1385</v>
      </c>
    </row>
    <row r="1307" customFormat="false" ht="15" hidden="false" customHeight="false" outlineLevel="0" collapsed="false">
      <c r="A1307" s="2" t="s">
        <v>26</v>
      </c>
      <c r="B1307" s="2" t="s">
        <v>1844</v>
      </c>
      <c r="C1307" s="2" t="s">
        <v>2955</v>
      </c>
      <c r="D1307" s="2" t="s">
        <v>1846</v>
      </c>
      <c r="E1307" s="4" t="n">
        <v>62.34</v>
      </c>
      <c r="F1307" s="4" t="n">
        <v>5.67</v>
      </c>
      <c r="G1307" s="4" t="n">
        <v>56.67</v>
      </c>
      <c r="H1307" s="2" t="s">
        <v>1385</v>
      </c>
    </row>
    <row r="1308" customFormat="false" ht="15" hidden="false" customHeight="false" outlineLevel="0" collapsed="false">
      <c r="A1308" s="2" t="s">
        <v>26</v>
      </c>
      <c r="B1308" s="2" t="s">
        <v>1550</v>
      </c>
      <c r="C1308" s="2" t="s">
        <v>2956</v>
      </c>
      <c r="D1308" s="2" t="s">
        <v>1552</v>
      </c>
      <c r="E1308" s="4" t="n">
        <v>1700.05</v>
      </c>
      <c r="F1308" s="4" t="n">
        <v>154.55</v>
      </c>
      <c r="G1308" s="4" t="n">
        <v>1545.5</v>
      </c>
      <c r="H1308" s="2" t="s">
        <v>1385</v>
      </c>
    </row>
    <row r="1309" customFormat="false" ht="15" hidden="false" customHeight="false" outlineLevel="0" collapsed="false">
      <c r="A1309" s="2" t="s">
        <v>26</v>
      </c>
      <c r="B1309" s="2" t="s">
        <v>1553</v>
      </c>
      <c r="C1309" s="2" t="s">
        <v>2957</v>
      </c>
      <c r="D1309" s="2" t="s">
        <v>1555</v>
      </c>
      <c r="E1309" s="4" t="n">
        <v>325.18</v>
      </c>
      <c r="F1309" s="4" t="n">
        <v>29.57</v>
      </c>
      <c r="G1309" s="4" t="n">
        <v>295.61</v>
      </c>
      <c r="H1309" s="2" t="s">
        <v>1385</v>
      </c>
    </row>
    <row r="1310" customFormat="false" ht="15" hidden="false" customHeight="false" outlineLevel="0" collapsed="false">
      <c r="A1310" s="2" t="s">
        <v>26</v>
      </c>
      <c r="B1310" s="2" t="s">
        <v>1589</v>
      </c>
      <c r="C1310" s="2" t="s">
        <v>2958</v>
      </c>
      <c r="D1310" s="2" t="s">
        <v>1591</v>
      </c>
      <c r="E1310" s="4" t="n">
        <v>130.33</v>
      </c>
      <c r="F1310" s="4" t="n">
        <v>11.85</v>
      </c>
      <c r="G1310" s="4" t="n">
        <v>118.48</v>
      </c>
      <c r="H1310" s="2" t="s">
        <v>1385</v>
      </c>
    </row>
    <row r="1311" customFormat="false" ht="15" hidden="false" customHeight="false" outlineLevel="0" collapsed="false">
      <c r="A1311" s="2" t="s">
        <v>26</v>
      </c>
      <c r="B1311" s="2" t="s">
        <v>1781</v>
      </c>
      <c r="C1311" s="2" t="s">
        <v>2959</v>
      </c>
      <c r="D1311" s="2" t="s">
        <v>1783</v>
      </c>
      <c r="E1311" s="4" t="n">
        <v>79.58</v>
      </c>
      <c r="F1311" s="4" t="n">
        <v>7.24</v>
      </c>
      <c r="G1311" s="4" t="n">
        <v>72.34</v>
      </c>
      <c r="H1311" s="2" t="s">
        <v>1385</v>
      </c>
    </row>
    <row r="1312" customFormat="false" ht="15" hidden="false" customHeight="false" outlineLevel="0" collapsed="false">
      <c r="A1312" s="2" t="s">
        <v>26</v>
      </c>
      <c r="B1312" s="2" t="s">
        <v>1523</v>
      </c>
      <c r="C1312" s="2" t="s">
        <v>2960</v>
      </c>
      <c r="D1312" s="2" t="s">
        <v>1525</v>
      </c>
      <c r="E1312" s="4" t="n">
        <v>147.12</v>
      </c>
      <c r="F1312" s="4" t="n">
        <v>13.38</v>
      </c>
      <c r="G1312" s="4" t="n">
        <v>133.74</v>
      </c>
      <c r="H1312" s="2" t="s">
        <v>1385</v>
      </c>
    </row>
    <row r="1313" customFormat="false" ht="15" hidden="false" customHeight="false" outlineLevel="0" collapsed="false">
      <c r="A1313" s="2" t="s">
        <v>26</v>
      </c>
      <c r="B1313" s="2" t="s">
        <v>719</v>
      </c>
      <c r="C1313" s="2" t="s">
        <v>893</v>
      </c>
      <c r="D1313" s="2" t="s">
        <v>721</v>
      </c>
      <c r="E1313" s="4" t="n">
        <v>72.4</v>
      </c>
      <c r="F1313" s="4" t="n">
        <v>6.59</v>
      </c>
      <c r="G1313" s="4" t="n">
        <v>65.81</v>
      </c>
      <c r="H1313" s="2" t="s">
        <v>1381</v>
      </c>
    </row>
    <row r="1314" customFormat="false" ht="15" hidden="false" customHeight="false" outlineLevel="0" collapsed="false">
      <c r="A1314" s="2" t="s">
        <v>26</v>
      </c>
      <c r="B1314" s="2" t="s">
        <v>1751</v>
      </c>
      <c r="C1314" s="2" t="s">
        <v>2961</v>
      </c>
      <c r="D1314" s="2" t="s">
        <v>1753</v>
      </c>
      <c r="E1314" s="4" t="n">
        <v>35.81</v>
      </c>
      <c r="F1314" s="4" t="n">
        <v>3.26</v>
      </c>
      <c r="G1314" s="4" t="n">
        <v>32.55</v>
      </c>
      <c r="H1314" s="2" t="s">
        <v>1385</v>
      </c>
    </row>
    <row r="1315" customFormat="false" ht="15" hidden="false" customHeight="false" outlineLevel="0" collapsed="false">
      <c r="A1315" s="2" t="s">
        <v>26</v>
      </c>
      <c r="B1315" s="2" t="s">
        <v>1805</v>
      </c>
      <c r="C1315" s="2" t="s">
        <v>2962</v>
      </c>
      <c r="D1315" s="2" t="s">
        <v>1807</v>
      </c>
      <c r="E1315" s="4" t="n">
        <v>145.18</v>
      </c>
      <c r="F1315" s="4" t="n">
        <v>13.2</v>
      </c>
      <c r="G1315" s="4" t="n">
        <v>131.98</v>
      </c>
      <c r="H1315" s="2" t="s">
        <v>1385</v>
      </c>
    </row>
    <row r="1316" customFormat="false" ht="15" hidden="false" customHeight="false" outlineLevel="0" collapsed="false">
      <c r="A1316" s="2" t="s">
        <v>26</v>
      </c>
      <c r="B1316" s="2" t="s">
        <v>1721</v>
      </c>
      <c r="C1316" s="2" t="s">
        <v>2963</v>
      </c>
      <c r="D1316" s="2" t="s">
        <v>1723</v>
      </c>
      <c r="E1316" s="4" t="n">
        <v>36.09</v>
      </c>
      <c r="F1316" s="4" t="n">
        <v>3.29</v>
      </c>
      <c r="G1316" s="4" t="n">
        <v>32.8</v>
      </c>
      <c r="H1316" s="2" t="s">
        <v>1385</v>
      </c>
    </row>
    <row r="1317" customFormat="false" ht="15" hidden="false" customHeight="false" outlineLevel="0" collapsed="false">
      <c r="A1317" s="2" t="s">
        <v>26</v>
      </c>
      <c r="B1317" s="2" t="s">
        <v>1607</v>
      </c>
      <c r="C1317" s="2" t="s">
        <v>2964</v>
      </c>
      <c r="D1317" s="2" t="s">
        <v>1609</v>
      </c>
      <c r="E1317" s="4" t="n">
        <v>54.05</v>
      </c>
      <c r="F1317" s="4" t="n">
        <v>4.92</v>
      </c>
      <c r="G1317" s="4" t="n">
        <v>49.13</v>
      </c>
      <c r="H1317" s="2" t="s">
        <v>1385</v>
      </c>
    </row>
    <row r="1318" customFormat="false" ht="15" hidden="false" customHeight="false" outlineLevel="0" collapsed="false">
      <c r="A1318" s="2" t="s">
        <v>26</v>
      </c>
      <c r="B1318" s="2" t="s">
        <v>822</v>
      </c>
      <c r="C1318" s="2" t="s">
        <v>1034</v>
      </c>
      <c r="D1318" s="2" t="s">
        <v>824</v>
      </c>
      <c r="E1318" s="4" t="n">
        <v>62</v>
      </c>
      <c r="F1318" s="4" t="n">
        <v>5.64</v>
      </c>
      <c r="G1318" s="4" t="n">
        <v>56.36</v>
      </c>
      <c r="H1318" s="2" t="s">
        <v>1381</v>
      </c>
    </row>
    <row r="1319" customFormat="false" ht="15" hidden="false" customHeight="false" outlineLevel="0" collapsed="false">
      <c r="A1319" s="2" t="s">
        <v>26</v>
      </c>
      <c r="B1319" s="2" t="s">
        <v>1265</v>
      </c>
      <c r="C1319" s="2" t="s">
        <v>1276</v>
      </c>
      <c r="D1319" s="2" t="s">
        <v>1267</v>
      </c>
      <c r="E1319" s="4" t="n">
        <v>31.1</v>
      </c>
      <c r="F1319" s="4" t="n">
        <v>2.83</v>
      </c>
      <c r="G1319" s="4" t="n">
        <v>28.27</v>
      </c>
      <c r="H1319" s="2" t="s">
        <v>1381</v>
      </c>
    </row>
    <row r="1320" customFormat="false" ht="15" hidden="false" customHeight="false" outlineLevel="0" collapsed="false">
      <c r="A1320" s="2" t="s">
        <v>26</v>
      </c>
      <c r="B1320" s="2" t="s">
        <v>1250</v>
      </c>
      <c r="C1320" s="2" t="s">
        <v>1270</v>
      </c>
      <c r="D1320" s="2" t="s">
        <v>1252</v>
      </c>
      <c r="E1320" s="4" t="n">
        <v>38.76</v>
      </c>
      <c r="F1320" s="4" t="n">
        <v>3.53</v>
      </c>
      <c r="G1320" s="4" t="n">
        <v>35.23</v>
      </c>
      <c r="H1320" s="2" t="s">
        <v>1381</v>
      </c>
    </row>
    <row r="1321" customFormat="false" ht="15" hidden="false" customHeight="false" outlineLevel="0" collapsed="false">
      <c r="A1321" s="2" t="s">
        <v>26</v>
      </c>
      <c r="B1321" s="2" t="s">
        <v>896</v>
      </c>
      <c r="C1321" s="2" t="s">
        <v>1210</v>
      </c>
      <c r="D1321" s="2" t="s">
        <v>898</v>
      </c>
      <c r="E1321" s="4" t="n">
        <v>56.92</v>
      </c>
      <c r="F1321" s="4" t="n">
        <v>5.18</v>
      </c>
      <c r="G1321" s="4" t="n">
        <v>51.74</v>
      </c>
      <c r="H1321" s="2" t="s">
        <v>1381</v>
      </c>
    </row>
    <row r="1322" customFormat="false" ht="15" hidden="false" customHeight="false" outlineLevel="0" collapsed="false">
      <c r="A1322" s="2" t="s">
        <v>26</v>
      </c>
      <c r="B1322" s="2" t="s">
        <v>1772</v>
      </c>
      <c r="C1322" s="2" t="s">
        <v>2965</v>
      </c>
      <c r="D1322" s="2" t="s">
        <v>1774</v>
      </c>
      <c r="E1322" s="4" t="n">
        <v>98.43</v>
      </c>
      <c r="F1322" s="4" t="n">
        <v>8.95</v>
      </c>
      <c r="G1322" s="4" t="n">
        <v>89.48</v>
      </c>
      <c r="H1322" s="2" t="s">
        <v>1385</v>
      </c>
    </row>
    <row r="1323" customFormat="false" ht="15" hidden="false" customHeight="false" outlineLevel="0" collapsed="false">
      <c r="A1323" s="2" t="s">
        <v>26</v>
      </c>
      <c r="B1323" s="2" t="s">
        <v>1571</v>
      </c>
      <c r="C1323" s="2" t="s">
        <v>2966</v>
      </c>
      <c r="D1323" s="2" t="s">
        <v>1573</v>
      </c>
      <c r="E1323" s="4" t="n">
        <v>140.22</v>
      </c>
      <c r="F1323" s="4" t="n">
        <v>12.75</v>
      </c>
      <c r="G1323" s="4" t="n">
        <v>127.47</v>
      </c>
      <c r="H1323" s="2" t="s">
        <v>1385</v>
      </c>
    </row>
    <row r="1324" customFormat="false" ht="15" hidden="false" customHeight="false" outlineLevel="0" collapsed="false">
      <c r="A1324" s="2" t="s">
        <v>26</v>
      </c>
      <c r="B1324" s="2" t="s">
        <v>1760</v>
      </c>
      <c r="C1324" s="2" t="s">
        <v>2967</v>
      </c>
      <c r="D1324" s="2" t="s">
        <v>1762</v>
      </c>
      <c r="E1324" s="4" t="n">
        <v>116.23</v>
      </c>
      <c r="F1324" s="4" t="n">
        <v>10.57</v>
      </c>
      <c r="G1324" s="4" t="n">
        <v>105.66</v>
      </c>
      <c r="H1324" s="2" t="s">
        <v>1385</v>
      </c>
    </row>
    <row r="1325" customFormat="false" ht="15" hidden="false" customHeight="false" outlineLevel="0" collapsed="false">
      <c r="A1325" s="2" t="s">
        <v>26</v>
      </c>
      <c r="B1325" s="2" t="s">
        <v>1784</v>
      </c>
      <c r="C1325" s="2" t="s">
        <v>2968</v>
      </c>
      <c r="D1325" s="2" t="s">
        <v>1786</v>
      </c>
      <c r="E1325" s="4" t="n">
        <v>60.77</v>
      </c>
      <c r="F1325" s="4" t="n">
        <v>5.53</v>
      </c>
      <c r="G1325" s="4" t="n">
        <v>55.24</v>
      </c>
      <c r="H1325" s="2" t="s">
        <v>1385</v>
      </c>
    </row>
    <row r="1326" customFormat="false" ht="15" hidden="false" customHeight="false" outlineLevel="0" collapsed="false">
      <c r="A1326" s="2" t="s">
        <v>26</v>
      </c>
      <c r="B1326" s="2" t="s">
        <v>1820</v>
      </c>
      <c r="C1326" s="2" t="s">
        <v>2969</v>
      </c>
      <c r="D1326" s="2" t="s">
        <v>1822</v>
      </c>
      <c r="E1326" s="4" t="n">
        <v>80.36</v>
      </c>
      <c r="F1326" s="4" t="n">
        <v>7.31</v>
      </c>
      <c r="G1326" s="4" t="n">
        <v>73.05</v>
      </c>
      <c r="H1326" s="2" t="s">
        <v>1385</v>
      </c>
    </row>
    <row r="1327" customFormat="false" ht="15" hidden="false" customHeight="false" outlineLevel="0" collapsed="false">
      <c r="A1327" s="2" t="s">
        <v>26</v>
      </c>
      <c r="B1327" s="2" t="s">
        <v>1541</v>
      </c>
      <c r="C1327" s="2" t="s">
        <v>2970</v>
      </c>
      <c r="D1327" s="2" t="s">
        <v>1543</v>
      </c>
      <c r="E1327" s="4" t="n">
        <v>27.79</v>
      </c>
      <c r="F1327" s="4" t="n">
        <v>2.53</v>
      </c>
      <c r="G1327" s="4" t="n">
        <v>25.26</v>
      </c>
      <c r="H1327" s="2" t="s">
        <v>1385</v>
      </c>
    </row>
    <row r="1328" customFormat="false" ht="15" hidden="false" customHeight="false" outlineLevel="0" collapsed="false">
      <c r="A1328" s="2" t="s">
        <v>26</v>
      </c>
      <c r="B1328" s="2" t="s">
        <v>1703</v>
      </c>
      <c r="C1328" s="2" t="s">
        <v>2971</v>
      </c>
      <c r="D1328" s="2" t="s">
        <v>1705</v>
      </c>
      <c r="E1328" s="4" t="n">
        <v>114.37</v>
      </c>
      <c r="F1328" s="4" t="n">
        <v>10.4</v>
      </c>
      <c r="G1328" s="4" t="n">
        <v>103.97</v>
      </c>
      <c r="H1328" s="2" t="s">
        <v>1385</v>
      </c>
    </row>
    <row r="1329" customFormat="false" ht="15" hidden="false" customHeight="false" outlineLevel="0" collapsed="false">
      <c r="A1329" s="2" t="s">
        <v>26</v>
      </c>
      <c r="B1329" s="2" t="s">
        <v>1841</v>
      </c>
      <c r="C1329" s="2" t="s">
        <v>2972</v>
      </c>
      <c r="D1329" s="2" t="s">
        <v>1843</v>
      </c>
      <c r="E1329" s="4" t="n">
        <v>36.44</v>
      </c>
      <c r="F1329" s="4" t="n">
        <v>3.32</v>
      </c>
      <c r="G1329" s="4" t="n">
        <v>33.12</v>
      </c>
      <c r="H1329" s="2" t="s">
        <v>1385</v>
      </c>
    </row>
    <row r="1330" customFormat="false" ht="15" hidden="false" customHeight="false" outlineLevel="0" collapsed="false">
      <c r="A1330" s="2" t="s">
        <v>26</v>
      </c>
      <c r="B1330" s="2" t="s">
        <v>1598</v>
      </c>
      <c r="C1330" s="2" t="s">
        <v>2973</v>
      </c>
      <c r="D1330" s="2" t="s">
        <v>1600</v>
      </c>
      <c r="E1330" s="4" t="n">
        <v>64.61</v>
      </c>
      <c r="F1330" s="4" t="n">
        <v>5.88</v>
      </c>
      <c r="G1330" s="4" t="n">
        <v>58.73</v>
      </c>
      <c r="H1330" s="2" t="s">
        <v>1385</v>
      </c>
    </row>
    <row r="1331" customFormat="false" ht="15" hidden="false" customHeight="false" outlineLevel="0" collapsed="false">
      <c r="A1331" s="2" t="s">
        <v>26</v>
      </c>
      <c r="B1331" s="2" t="s">
        <v>1877</v>
      </c>
      <c r="C1331" s="2" t="s">
        <v>2974</v>
      </c>
      <c r="D1331" s="2" t="s">
        <v>1879</v>
      </c>
      <c r="E1331" s="4" t="n">
        <v>345.9</v>
      </c>
      <c r="F1331" s="4" t="n">
        <v>31.45</v>
      </c>
      <c r="G1331" s="4" t="n">
        <v>314.45</v>
      </c>
      <c r="H1331" s="2" t="s">
        <v>1385</v>
      </c>
    </row>
    <row r="1332" customFormat="false" ht="15" hidden="false" customHeight="false" outlineLevel="0" collapsed="false">
      <c r="A1332" s="2" t="s">
        <v>26</v>
      </c>
      <c r="B1332" s="2" t="s">
        <v>1637</v>
      </c>
      <c r="C1332" s="2" t="s">
        <v>2975</v>
      </c>
      <c r="D1332" s="2" t="s">
        <v>1639</v>
      </c>
      <c r="E1332" s="4" t="n">
        <v>90.63</v>
      </c>
      <c r="F1332" s="4" t="n">
        <v>8.24</v>
      </c>
      <c r="G1332" s="4" t="n">
        <v>82.39</v>
      </c>
      <c r="H1332" s="2" t="s">
        <v>1385</v>
      </c>
    </row>
    <row r="1333" customFormat="false" ht="15" hidden="false" customHeight="false" outlineLevel="0" collapsed="false">
      <c r="A1333" s="2" t="s">
        <v>30</v>
      </c>
      <c r="B1333" s="2" t="s">
        <v>226</v>
      </c>
      <c r="C1333" s="2" t="s">
        <v>227</v>
      </c>
      <c r="D1333" s="2" t="s">
        <v>228</v>
      </c>
      <c r="E1333" s="4" t="n">
        <v>143.99</v>
      </c>
      <c r="F1333" s="4" t="n">
        <v>13.09</v>
      </c>
      <c r="G1333" s="4" t="n">
        <v>130.9</v>
      </c>
      <c r="H1333" s="2" t="s">
        <v>1381</v>
      </c>
    </row>
    <row r="1334" customFormat="false" ht="15" hidden="false" customHeight="false" outlineLevel="0" collapsed="false">
      <c r="A1334" s="2" t="s">
        <v>30</v>
      </c>
      <c r="B1334" s="2" t="s">
        <v>1913</v>
      </c>
      <c r="C1334" s="2" t="s">
        <v>2976</v>
      </c>
      <c r="D1334" s="2" t="s">
        <v>1915</v>
      </c>
      <c r="E1334" s="4" t="n">
        <v>1485.36</v>
      </c>
      <c r="F1334" s="4" t="n">
        <v>135.03</v>
      </c>
      <c r="G1334" s="4" t="n">
        <v>1350.33</v>
      </c>
      <c r="H1334" s="2" t="s">
        <v>1385</v>
      </c>
    </row>
    <row r="1335" customFormat="false" ht="15" hidden="false" customHeight="false" outlineLevel="0" collapsed="false">
      <c r="A1335" s="2" t="s">
        <v>30</v>
      </c>
      <c r="B1335" s="2" t="s">
        <v>2011</v>
      </c>
      <c r="C1335" s="2" t="s">
        <v>2977</v>
      </c>
      <c r="D1335" s="2" t="s">
        <v>2013</v>
      </c>
      <c r="E1335" s="4" t="n">
        <v>-4.75</v>
      </c>
      <c r="F1335" s="4" t="n">
        <v>8.15</v>
      </c>
      <c r="G1335" s="4" t="n">
        <v>-12.9</v>
      </c>
      <c r="H1335" s="2" t="s">
        <v>1385</v>
      </c>
    </row>
    <row r="1336" customFormat="false" ht="15" hidden="false" customHeight="false" outlineLevel="0" collapsed="false">
      <c r="A1336" s="2" t="s">
        <v>30</v>
      </c>
      <c r="B1336" s="2" t="s">
        <v>2014</v>
      </c>
      <c r="C1336" s="2" t="s">
        <v>2978</v>
      </c>
      <c r="D1336" s="2" t="s">
        <v>2016</v>
      </c>
      <c r="E1336" s="4" t="n">
        <v>766.07</v>
      </c>
      <c r="F1336" s="4" t="n">
        <v>69.65</v>
      </c>
      <c r="G1336" s="4" t="n">
        <v>696.42</v>
      </c>
      <c r="H1336" s="2" t="s">
        <v>1385</v>
      </c>
    </row>
    <row r="1337" customFormat="false" ht="15" hidden="false" customHeight="false" outlineLevel="0" collapsed="false">
      <c r="A1337" s="2" t="s">
        <v>30</v>
      </c>
      <c r="B1337" s="2" t="s">
        <v>1937</v>
      </c>
      <c r="C1337" s="2" t="s">
        <v>2979</v>
      </c>
      <c r="D1337" s="2" t="s">
        <v>1939</v>
      </c>
      <c r="E1337" s="4" t="n">
        <v>1138.15</v>
      </c>
      <c r="F1337" s="4" t="n">
        <v>105.65</v>
      </c>
      <c r="G1337" s="4" t="n">
        <v>1032.5</v>
      </c>
      <c r="H1337" s="2" t="s">
        <v>1385</v>
      </c>
    </row>
    <row r="1338" customFormat="false" ht="15" hidden="false" customHeight="false" outlineLevel="0" collapsed="false">
      <c r="A1338" s="2" t="s">
        <v>30</v>
      </c>
      <c r="B1338" s="2" t="s">
        <v>1500</v>
      </c>
      <c r="C1338" s="2" t="s">
        <v>2980</v>
      </c>
      <c r="D1338" s="2" t="s">
        <v>1502</v>
      </c>
      <c r="E1338" s="4" t="n">
        <v>432.21</v>
      </c>
      <c r="F1338" s="4" t="n">
        <v>39.3</v>
      </c>
      <c r="G1338" s="4" t="n">
        <v>392.91</v>
      </c>
      <c r="H1338" s="2" t="s">
        <v>1385</v>
      </c>
    </row>
    <row r="1339" customFormat="false" ht="15" hidden="false" customHeight="false" outlineLevel="0" collapsed="false">
      <c r="A1339" s="2" t="s">
        <v>30</v>
      </c>
      <c r="B1339" s="2" t="s">
        <v>1503</v>
      </c>
      <c r="C1339" s="2" t="s">
        <v>2981</v>
      </c>
      <c r="D1339" s="2" t="s">
        <v>1505</v>
      </c>
      <c r="E1339" s="4" t="n">
        <v>219.02</v>
      </c>
      <c r="F1339" s="4" t="n">
        <v>19.92</v>
      </c>
      <c r="G1339" s="4" t="n">
        <v>199.1</v>
      </c>
      <c r="H1339" s="2" t="s">
        <v>1385</v>
      </c>
    </row>
    <row r="1340" customFormat="false" ht="15" hidden="false" customHeight="false" outlineLevel="0" collapsed="false">
      <c r="A1340" s="2" t="s">
        <v>30</v>
      </c>
      <c r="B1340" s="2" t="s">
        <v>1506</v>
      </c>
      <c r="C1340" s="2" t="s">
        <v>2982</v>
      </c>
      <c r="D1340" s="2" t="s">
        <v>1508</v>
      </c>
      <c r="E1340" s="4" t="n">
        <v>126.07</v>
      </c>
      <c r="F1340" s="4" t="n">
        <v>11.46</v>
      </c>
      <c r="G1340" s="4" t="n">
        <v>114.61</v>
      </c>
      <c r="H1340" s="2" t="s">
        <v>1385</v>
      </c>
    </row>
    <row r="1341" customFormat="false" ht="15" hidden="false" customHeight="false" outlineLevel="0" collapsed="false">
      <c r="A1341" s="2" t="s">
        <v>30</v>
      </c>
      <c r="B1341" s="2" t="s">
        <v>1509</v>
      </c>
      <c r="C1341" s="2" t="s">
        <v>2983</v>
      </c>
      <c r="D1341" s="2" t="s">
        <v>1511</v>
      </c>
      <c r="E1341" s="4" t="n">
        <v>800.95</v>
      </c>
      <c r="F1341" s="4" t="n">
        <v>72.82</v>
      </c>
      <c r="G1341" s="4" t="n">
        <v>728.13</v>
      </c>
      <c r="H1341" s="2" t="s">
        <v>1385</v>
      </c>
    </row>
    <row r="1342" customFormat="false" ht="15" hidden="false" customHeight="false" outlineLevel="0" collapsed="false">
      <c r="A1342" s="2" t="s">
        <v>30</v>
      </c>
      <c r="B1342" s="2" t="s">
        <v>173</v>
      </c>
      <c r="C1342" s="2" t="s">
        <v>199</v>
      </c>
      <c r="D1342" s="2" t="s">
        <v>175</v>
      </c>
      <c r="E1342" s="4" t="n">
        <v>233.42</v>
      </c>
      <c r="F1342" s="4" t="n">
        <v>21.22</v>
      </c>
      <c r="G1342" s="4" t="n">
        <v>212.2</v>
      </c>
      <c r="H1342" s="2" t="s">
        <v>1381</v>
      </c>
    </row>
    <row r="1343" customFormat="false" ht="15" hidden="false" customHeight="false" outlineLevel="0" collapsed="false">
      <c r="A1343" s="2" t="s">
        <v>30</v>
      </c>
      <c r="B1343" s="2" t="s">
        <v>1513</v>
      </c>
      <c r="C1343" s="2" t="s">
        <v>2984</v>
      </c>
      <c r="D1343" s="2" t="s">
        <v>1515</v>
      </c>
      <c r="E1343" s="4" t="n">
        <v>125.3</v>
      </c>
      <c r="F1343" s="4" t="n">
        <v>11.4</v>
      </c>
      <c r="G1343" s="4" t="n">
        <v>113.9</v>
      </c>
      <c r="H1343" s="2" t="s">
        <v>1385</v>
      </c>
    </row>
    <row r="1344" customFormat="false" ht="15" hidden="false" customHeight="false" outlineLevel="0" collapsed="false">
      <c r="A1344" s="2" t="s">
        <v>30</v>
      </c>
      <c r="B1344" s="2" t="s">
        <v>2037</v>
      </c>
      <c r="C1344" s="2" t="s">
        <v>2985</v>
      </c>
      <c r="D1344" s="2" t="s">
        <v>2039</v>
      </c>
      <c r="E1344" s="4" t="n">
        <v>132.55</v>
      </c>
      <c r="F1344" s="4" t="n">
        <v>12.06</v>
      </c>
      <c r="G1344" s="4" t="n">
        <v>120.49</v>
      </c>
      <c r="H1344" s="2" t="s">
        <v>1385</v>
      </c>
    </row>
    <row r="1345" customFormat="false" ht="15" hidden="false" customHeight="false" outlineLevel="0" collapsed="false">
      <c r="A1345" s="2" t="s">
        <v>30</v>
      </c>
      <c r="B1345" s="2" t="s">
        <v>1517</v>
      </c>
      <c r="C1345" s="2" t="s">
        <v>2986</v>
      </c>
      <c r="D1345" s="2" t="s">
        <v>1519</v>
      </c>
      <c r="E1345" s="4" t="n">
        <v>1644.13</v>
      </c>
      <c r="F1345" s="4" t="n">
        <v>149.47</v>
      </c>
      <c r="G1345" s="4" t="n">
        <v>1494.66</v>
      </c>
      <c r="H1345" s="2" t="s">
        <v>1385</v>
      </c>
    </row>
    <row r="1346" customFormat="false" ht="15" hidden="false" customHeight="false" outlineLevel="0" collapsed="false">
      <c r="A1346" s="2" t="s">
        <v>30</v>
      </c>
      <c r="B1346" s="2" t="s">
        <v>233</v>
      </c>
      <c r="C1346" s="2" t="s">
        <v>234</v>
      </c>
      <c r="D1346" s="2" t="s">
        <v>235</v>
      </c>
      <c r="E1346" s="4" t="n">
        <v>153.44</v>
      </c>
      <c r="F1346" s="4" t="n">
        <v>13.95</v>
      </c>
      <c r="G1346" s="4" t="n">
        <v>139.49</v>
      </c>
      <c r="H1346" s="2" t="s">
        <v>1381</v>
      </c>
    </row>
    <row r="1347" customFormat="false" ht="15" hidden="false" customHeight="false" outlineLevel="0" collapsed="false">
      <c r="A1347" s="2" t="s">
        <v>30</v>
      </c>
      <c r="B1347" s="2" t="s">
        <v>167</v>
      </c>
      <c r="C1347" s="2" t="s">
        <v>209</v>
      </c>
      <c r="D1347" s="2" t="s">
        <v>169</v>
      </c>
      <c r="E1347" s="4" t="n">
        <v>232.58</v>
      </c>
      <c r="F1347" s="4" t="n">
        <v>21.14</v>
      </c>
      <c r="G1347" s="4" t="n">
        <v>211.44</v>
      </c>
      <c r="H1347" s="2" t="s">
        <v>1381</v>
      </c>
    </row>
    <row r="1348" customFormat="false" ht="15" hidden="false" customHeight="false" outlineLevel="0" collapsed="false">
      <c r="A1348" s="2" t="s">
        <v>30</v>
      </c>
      <c r="B1348" s="2" t="s">
        <v>2040</v>
      </c>
      <c r="C1348" s="2" t="s">
        <v>2987</v>
      </c>
      <c r="D1348" s="2" t="s">
        <v>2042</v>
      </c>
      <c r="E1348" s="4" t="n">
        <v>302.06</v>
      </c>
      <c r="F1348" s="4" t="n">
        <v>27.46</v>
      </c>
      <c r="G1348" s="4" t="n">
        <v>274.6</v>
      </c>
      <c r="H1348" s="2" t="s">
        <v>1385</v>
      </c>
    </row>
    <row r="1349" customFormat="false" ht="15" hidden="false" customHeight="false" outlineLevel="0" collapsed="false">
      <c r="A1349" s="2" t="s">
        <v>30</v>
      </c>
      <c r="B1349" s="2" t="s">
        <v>2043</v>
      </c>
      <c r="C1349" s="2" t="s">
        <v>2988</v>
      </c>
      <c r="D1349" s="2" t="s">
        <v>2045</v>
      </c>
      <c r="E1349" s="4" t="n">
        <v>442.89</v>
      </c>
      <c r="F1349" s="4" t="n">
        <v>40.27</v>
      </c>
      <c r="G1349" s="4" t="n">
        <v>402.62</v>
      </c>
      <c r="H1349" s="2" t="s">
        <v>1385</v>
      </c>
    </row>
    <row r="1350" customFormat="false" ht="15" hidden="false" customHeight="false" outlineLevel="0" collapsed="false">
      <c r="A1350" s="2" t="s">
        <v>30</v>
      </c>
      <c r="B1350" s="2" t="s">
        <v>249</v>
      </c>
      <c r="C1350" s="2" t="s">
        <v>285</v>
      </c>
      <c r="D1350" s="2" t="s">
        <v>251</v>
      </c>
      <c r="E1350" s="4" t="n">
        <v>162.2</v>
      </c>
      <c r="F1350" s="4" t="n">
        <v>14.75</v>
      </c>
      <c r="G1350" s="4" t="n">
        <v>147.45</v>
      </c>
      <c r="H1350" s="2" t="s">
        <v>1381</v>
      </c>
    </row>
    <row r="1351" customFormat="false" ht="15" hidden="false" customHeight="false" outlineLevel="0" collapsed="false">
      <c r="A1351" s="2" t="s">
        <v>30</v>
      </c>
      <c r="B1351" s="2" t="s">
        <v>2029</v>
      </c>
      <c r="C1351" s="2" t="s">
        <v>2989</v>
      </c>
      <c r="D1351" s="2" t="s">
        <v>2031</v>
      </c>
      <c r="E1351" s="4" t="n">
        <v>1109.16</v>
      </c>
      <c r="F1351" s="4" t="n">
        <v>100.84</v>
      </c>
      <c r="G1351" s="4" t="n">
        <v>1008.32</v>
      </c>
      <c r="H1351" s="2" t="s">
        <v>1385</v>
      </c>
    </row>
    <row r="1352" customFormat="false" ht="15" hidden="false" customHeight="false" outlineLevel="0" collapsed="false">
      <c r="A1352" s="2" t="s">
        <v>30</v>
      </c>
      <c r="B1352" s="2" t="s">
        <v>270</v>
      </c>
      <c r="C1352" s="2" t="s">
        <v>287</v>
      </c>
      <c r="D1352" s="2" t="s">
        <v>272</v>
      </c>
      <c r="E1352" s="4" t="n">
        <v>109.67</v>
      </c>
      <c r="F1352" s="4" t="n">
        <v>9.98</v>
      </c>
      <c r="G1352" s="4" t="n">
        <v>99.69</v>
      </c>
      <c r="H1352" s="2" t="s">
        <v>1381</v>
      </c>
    </row>
    <row r="1353" customFormat="false" ht="15" hidden="false" customHeight="false" outlineLevel="0" collapsed="false">
      <c r="A1353" s="2" t="s">
        <v>30</v>
      </c>
      <c r="B1353" s="2" t="s">
        <v>2068</v>
      </c>
      <c r="C1353" s="2" t="s">
        <v>2990</v>
      </c>
      <c r="D1353" s="2" t="s">
        <v>2070</v>
      </c>
      <c r="E1353" s="4" t="n">
        <v>2853.28</v>
      </c>
      <c r="F1353" s="4" t="n">
        <v>259.4</v>
      </c>
      <c r="G1353" s="4" t="n">
        <v>2593.88</v>
      </c>
      <c r="H1353" s="2" t="s">
        <v>1385</v>
      </c>
    </row>
    <row r="1354" customFormat="false" ht="15" hidden="false" customHeight="false" outlineLevel="0" collapsed="false">
      <c r="A1354" s="2" t="s">
        <v>30</v>
      </c>
      <c r="B1354" s="2" t="s">
        <v>2032</v>
      </c>
      <c r="C1354" s="2" t="s">
        <v>2991</v>
      </c>
      <c r="D1354" s="2" t="s">
        <v>2034</v>
      </c>
      <c r="E1354" s="4" t="n">
        <v>123.86</v>
      </c>
      <c r="F1354" s="4" t="n">
        <v>11.26</v>
      </c>
      <c r="G1354" s="4" t="n">
        <v>112.6</v>
      </c>
      <c r="H1354" s="2" t="s">
        <v>1385</v>
      </c>
    </row>
    <row r="1355" customFormat="false" ht="15" hidden="false" customHeight="false" outlineLevel="0" collapsed="false">
      <c r="A1355" s="2" t="s">
        <v>30</v>
      </c>
      <c r="B1355" s="2" t="s">
        <v>2053</v>
      </c>
      <c r="C1355" s="2" t="s">
        <v>2992</v>
      </c>
      <c r="D1355" s="2" t="s">
        <v>2055</v>
      </c>
      <c r="E1355" s="4" t="n">
        <v>354.46</v>
      </c>
      <c r="F1355" s="4" t="n">
        <v>32.23</v>
      </c>
      <c r="G1355" s="4" t="n">
        <v>322.23</v>
      </c>
      <c r="H1355" s="2" t="s">
        <v>1385</v>
      </c>
    </row>
    <row r="1356" customFormat="false" ht="15" hidden="false" customHeight="false" outlineLevel="0" collapsed="false">
      <c r="A1356" s="2" t="s">
        <v>30</v>
      </c>
      <c r="B1356" s="2" t="s">
        <v>2082</v>
      </c>
      <c r="C1356" s="2" t="s">
        <v>2993</v>
      </c>
      <c r="D1356" s="2" t="s">
        <v>2084</v>
      </c>
      <c r="E1356" s="4" t="n">
        <v>130.24</v>
      </c>
      <c r="F1356" s="4" t="n">
        <v>11.85</v>
      </c>
      <c r="G1356" s="4" t="n">
        <v>118.39</v>
      </c>
      <c r="H1356" s="2" t="s">
        <v>1385</v>
      </c>
    </row>
    <row r="1357" customFormat="false" ht="15" hidden="false" customHeight="false" outlineLevel="0" collapsed="false">
      <c r="A1357" s="2" t="s">
        <v>30</v>
      </c>
      <c r="B1357" s="2" t="s">
        <v>2056</v>
      </c>
      <c r="C1357" s="2" t="s">
        <v>2994</v>
      </c>
      <c r="D1357" s="2" t="s">
        <v>2058</v>
      </c>
      <c r="E1357" s="4" t="n">
        <v>282.47</v>
      </c>
      <c r="F1357" s="4" t="n">
        <v>25.67</v>
      </c>
      <c r="G1357" s="4" t="n">
        <v>256.8</v>
      </c>
      <c r="H1357" s="2" t="s">
        <v>1385</v>
      </c>
    </row>
    <row r="1358" customFormat="false" ht="15" hidden="false" customHeight="false" outlineLevel="0" collapsed="false">
      <c r="A1358" s="2" t="s">
        <v>30</v>
      </c>
      <c r="B1358" s="2" t="s">
        <v>2059</v>
      </c>
      <c r="C1358" s="2" t="s">
        <v>2995</v>
      </c>
      <c r="D1358" s="2" t="s">
        <v>2061</v>
      </c>
      <c r="E1358" s="4" t="n">
        <v>108.16</v>
      </c>
      <c r="F1358" s="4" t="n">
        <v>9.83</v>
      </c>
      <c r="G1358" s="4" t="n">
        <v>98.33</v>
      </c>
      <c r="H1358" s="2" t="s">
        <v>1385</v>
      </c>
    </row>
    <row r="1359" customFormat="false" ht="15" hidden="false" customHeight="false" outlineLevel="0" collapsed="false">
      <c r="A1359" s="2" t="s">
        <v>30</v>
      </c>
      <c r="B1359" s="2" t="s">
        <v>2047</v>
      </c>
      <c r="C1359" s="2" t="s">
        <v>2996</v>
      </c>
      <c r="D1359" s="2" t="s">
        <v>2049</v>
      </c>
      <c r="E1359" s="4" t="n">
        <v>115.59</v>
      </c>
      <c r="F1359" s="4" t="n">
        <v>10.51</v>
      </c>
      <c r="G1359" s="4" t="n">
        <v>105.08</v>
      </c>
      <c r="H1359" s="2" t="s">
        <v>1385</v>
      </c>
    </row>
    <row r="1360" customFormat="false" ht="15" hidden="false" customHeight="false" outlineLevel="0" collapsed="false">
      <c r="A1360" s="2" t="s">
        <v>30</v>
      </c>
      <c r="B1360" s="2" t="s">
        <v>2071</v>
      </c>
      <c r="C1360" s="2" t="s">
        <v>2997</v>
      </c>
      <c r="D1360" s="2" t="s">
        <v>2073</v>
      </c>
      <c r="E1360" s="4" t="n">
        <v>2388.82</v>
      </c>
      <c r="F1360" s="4" t="n">
        <v>217.17</v>
      </c>
      <c r="G1360" s="4" t="n">
        <v>2171.65</v>
      </c>
      <c r="H1360" s="2" t="s">
        <v>1385</v>
      </c>
    </row>
    <row r="1361" customFormat="false" ht="15" hidden="false" customHeight="false" outlineLevel="0" collapsed="false">
      <c r="A1361" s="2" t="s">
        <v>30</v>
      </c>
      <c r="B1361" s="2" t="s">
        <v>69</v>
      </c>
      <c r="C1361" s="2" t="s">
        <v>78</v>
      </c>
      <c r="D1361" s="2" t="s">
        <v>71</v>
      </c>
      <c r="E1361" s="4" t="n">
        <v>1596.02</v>
      </c>
      <c r="F1361" s="4" t="n">
        <v>145.1</v>
      </c>
      <c r="G1361" s="4" t="n">
        <v>1450.92</v>
      </c>
      <c r="H1361" s="2" t="s">
        <v>1381</v>
      </c>
    </row>
    <row r="1362" customFormat="false" ht="15" hidden="false" customHeight="false" outlineLevel="0" collapsed="false">
      <c r="A1362" s="2" t="s">
        <v>30</v>
      </c>
      <c r="B1362" s="2" t="s">
        <v>305</v>
      </c>
      <c r="C1362" s="2" t="s">
        <v>349</v>
      </c>
      <c r="D1362" s="2" t="s">
        <v>307</v>
      </c>
      <c r="E1362" s="4" t="n">
        <v>124.75</v>
      </c>
      <c r="F1362" s="4" t="n">
        <v>11.34</v>
      </c>
      <c r="G1362" s="4" t="n">
        <v>113.41</v>
      </c>
      <c r="H1362" s="2" t="s">
        <v>1381</v>
      </c>
    </row>
    <row r="1363" customFormat="false" ht="15" hidden="false" customHeight="false" outlineLevel="0" collapsed="false">
      <c r="A1363" s="2" t="s">
        <v>30</v>
      </c>
      <c r="B1363" s="2" t="s">
        <v>298</v>
      </c>
      <c r="C1363" s="2" t="s">
        <v>347</v>
      </c>
      <c r="D1363" s="2" t="s">
        <v>300</v>
      </c>
      <c r="E1363" s="4" t="n">
        <v>110.09</v>
      </c>
      <c r="F1363" s="4" t="n">
        <v>10.01</v>
      </c>
      <c r="G1363" s="4" t="n">
        <v>100.08</v>
      </c>
      <c r="H1363" s="2" t="s">
        <v>1381</v>
      </c>
    </row>
    <row r="1364" customFormat="false" ht="15" hidden="false" customHeight="false" outlineLevel="0" collapsed="false">
      <c r="A1364" s="2" t="s">
        <v>30</v>
      </c>
      <c r="B1364" s="2" t="s">
        <v>2110</v>
      </c>
      <c r="C1364" s="2" t="s">
        <v>2998</v>
      </c>
      <c r="D1364" s="2" t="s">
        <v>2112</v>
      </c>
      <c r="E1364" s="4" t="n">
        <v>5340.21</v>
      </c>
      <c r="F1364" s="4" t="n">
        <v>485.49</v>
      </c>
      <c r="G1364" s="4" t="n">
        <v>4854.72</v>
      </c>
      <c r="H1364" s="2" t="s">
        <v>1385</v>
      </c>
    </row>
    <row r="1365" customFormat="false" ht="15" hidden="false" customHeight="false" outlineLevel="0" collapsed="false">
      <c r="A1365" s="2" t="s">
        <v>30</v>
      </c>
      <c r="B1365" s="2" t="s">
        <v>2113</v>
      </c>
      <c r="C1365" s="2" t="s">
        <v>2999</v>
      </c>
      <c r="D1365" s="2" t="s">
        <v>2115</v>
      </c>
      <c r="E1365" s="4" t="n">
        <v>1434.94</v>
      </c>
      <c r="F1365" s="4" t="n">
        <v>130.45</v>
      </c>
      <c r="G1365" s="4" t="n">
        <v>1304.49</v>
      </c>
      <c r="H1365" s="2" t="s">
        <v>1385</v>
      </c>
    </row>
    <row r="1366" customFormat="false" ht="15" hidden="false" customHeight="false" outlineLevel="0" collapsed="false">
      <c r="A1366" s="2" t="s">
        <v>30</v>
      </c>
      <c r="B1366" s="2" t="s">
        <v>2119</v>
      </c>
      <c r="C1366" s="2" t="s">
        <v>3000</v>
      </c>
      <c r="D1366" s="2" t="s">
        <v>2121</v>
      </c>
      <c r="E1366" s="4" t="n">
        <v>1379.18</v>
      </c>
      <c r="F1366" s="4" t="n">
        <v>125.39</v>
      </c>
      <c r="G1366" s="4" t="n">
        <v>1253.79</v>
      </c>
      <c r="H1366" s="2" t="s">
        <v>1385</v>
      </c>
    </row>
    <row r="1367" customFormat="false" ht="15" hidden="false" customHeight="false" outlineLevel="0" collapsed="false">
      <c r="A1367" s="2" t="s">
        <v>30</v>
      </c>
      <c r="B1367" s="2" t="s">
        <v>2122</v>
      </c>
      <c r="C1367" s="2" t="s">
        <v>3001</v>
      </c>
      <c r="D1367" s="2" t="s">
        <v>2124</v>
      </c>
      <c r="E1367" s="4" t="n">
        <v>2904.09</v>
      </c>
      <c r="F1367" s="4" t="n">
        <v>264.02</v>
      </c>
      <c r="G1367" s="4" t="n">
        <v>2640.07</v>
      </c>
      <c r="H1367" s="2" t="s">
        <v>1385</v>
      </c>
    </row>
    <row r="1368" customFormat="false" ht="15" hidden="false" customHeight="false" outlineLevel="0" collapsed="false">
      <c r="A1368" s="2" t="s">
        <v>30</v>
      </c>
      <c r="B1368" s="2" t="s">
        <v>2116</v>
      </c>
      <c r="C1368" s="2" t="s">
        <v>3002</v>
      </c>
      <c r="D1368" s="2" t="s">
        <v>2118</v>
      </c>
      <c r="E1368" s="4" t="n">
        <v>1189.33</v>
      </c>
      <c r="F1368" s="4" t="n">
        <v>108.13</v>
      </c>
      <c r="G1368" s="4" t="n">
        <v>1081.2</v>
      </c>
      <c r="H1368" s="2" t="s">
        <v>1385</v>
      </c>
    </row>
    <row r="1369" customFormat="false" ht="15" hidden="false" customHeight="false" outlineLevel="0" collapsed="false">
      <c r="A1369" s="2" t="s">
        <v>30</v>
      </c>
      <c r="B1369" s="2" t="s">
        <v>2062</v>
      </c>
      <c r="C1369" s="2" t="s">
        <v>3003</v>
      </c>
      <c r="D1369" s="2" t="s">
        <v>2064</v>
      </c>
      <c r="E1369" s="4" t="n">
        <v>311.69</v>
      </c>
      <c r="F1369" s="4" t="n">
        <v>28.34</v>
      </c>
      <c r="G1369" s="4" t="n">
        <v>283.35</v>
      </c>
      <c r="H1369" s="2" t="s">
        <v>1385</v>
      </c>
    </row>
    <row r="1370" customFormat="false" ht="15" hidden="false" customHeight="false" outlineLevel="0" collapsed="false">
      <c r="A1370" s="2" t="s">
        <v>30</v>
      </c>
      <c r="B1370" s="2" t="s">
        <v>204</v>
      </c>
      <c r="C1370" s="2" t="s">
        <v>320</v>
      </c>
      <c r="D1370" s="2" t="s">
        <v>206</v>
      </c>
      <c r="E1370" s="4" t="n">
        <v>216.08</v>
      </c>
      <c r="F1370" s="4" t="n">
        <v>19.64</v>
      </c>
      <c r="G1370" s="4" t="n">
        <v>196.44</v>
      </c>
      <c r="H1370" s="2" t="s">
        <v>1381</v>
      </c>
    </row>
    <row r="1371" customFormat="false" ht="15" hidden="false" customHeight="false" outlineLevel="0" collapsed="false">
      <c r="A1371" s="2" t="s">
        <v>30</v>
      </c>
      <c r="B1371" s="2" t="s">
        <v>323</v>
      </c>
      <c r="C1371" s="2" t="s">
        <v>351</v>
      </c>
      <c r="D1371" s="2" t="s">
        <v>325</v>
      </c>
      <c r="E1371" s="4" t="n">
        <v>124.73</v>
      </c>
      <c r="F1371" s="4" t="n">
        <v>11.34</v>
      </c>
      <c r="G1371" s="4" t="n">
        <v>113.39</v>
      </c>
      <c r="H1371" s="2" t="s">
        <v>1381</v>
      </c>
    </row>
    <row r="1372" customFormat="false" ht="15" hidden="false" customHeight="false" outlineLevel="0" collapsed="false">
      <c r="A1372" s="2" t="s">
        <v>30</v>
      </c>
      <c r="B1372" s="2" t="s">
        <v>2096</v>
      </c>
      <c r="C1372" s="2" t="s">
        <v>3004</v>
      </c>
      <c r="D1372" s="2" t="s">
        <v>2098</v>
      </c>
      <c r="E1372" s="4" t="n">
        <v>184.21</v>
      </c>
      <c r="F1372" s="4" t="n">
        <v>16.74</v>
      </c>
      <c r="G1372" s="4" t="n">
        <v>167.47</v>
      </c>
      <c r="H1372" s="2" t="s">
        <v>1385</v>
      </c>
    </row>
    <row r="1373" customFormat="false" ht="15" hidden="false" customHeight="false" outlineLevel="0" collapsed="false">
      <c r="A1373" s="2" t="s">
        <v>30</v>
      </c>
      <c r="B1373" s="2" t="s">
        <v>160</v>
      </c>
      <c r="C1373" s="2" t="s">
        <v>193</v>
      </c>
      <c r="D1373" s="2" t="s">
        <v>162</v>
      </c>
      <c r="E1373" s="4" t="n">
        <v>258.44</v>
      </c>
      <c r="F1373" s="4" t="n">
        <v>23.49</v>
      </c>
      <c r="G1373" s="4" t="n">
        <v>234.95</v>
      </c>
      <c r="H1373" s="2" t="s">
        <v>1381</v>
      </c>
    </row>
    <row r="1374" customFormat="false" ht="15" hidden="false" customHeight="false" outlineLevel="0" collapsed="false">
      <c r="A1374" s="2" t="s">
        <v>30</v>
      </c>
      <c r="B1374" s="2" t="s">
        <v>2099</v>
      </c>
      <c r="C1374" s="2" t="s">
        <v>3005</v>
      </c>
      <c r="D1374" s="2" t="s">
        <v>2101</v>
      </c>
      <c r="E1374" s="4" t="n">
        <v>480.4</v>
      </c>
      <c r="F1374" s="4" t="n">
        <v>43.67</v>
      </c>
      <c r="G1374" s="4" t="n">
        <v>436.73</v>
      </c>
      <c r="H1374" s="2" t="s">
        <v>1385</v>
      </c>
    </row>
    <row r="1375" customFormat="false" ht="15" hidden="false" customHeight="false" outlineLevel="0" collapsed="false">
      <c r="A1375" s="2" t="s">
        <v>30</v>
      </c>
      <c r="B1375" s="2" t="s">
        <v>123</v>
      </c>
      <c r="C1375" s="2" t="s">
        <v>201</v>
      </c>
      <c r="D1375" s="2" t="s">
        <v>125</v>
      </c>
      <c r="E1375" s="4" t="n">
        <v>307.63</v>
      </c>
      <c r="F1375" s="4" t="n">
        <v>27.97</v>
      </c>
      <c r="G1375" s="4" t="n">
        <v>279.66</v>
      </c>
      <c r="H1375" s="2" t="s">
        <v>1381</v>
      </c>
    </row>
    <row r="1376" customFormat="false" ht="15" hidden="false" customHeight="false" outlineLevel="0" collapsed="false">
      <c r="A1376" s="2" t="s">
        <v>30</v>
      </c>
      <c r="B1376" s="2" t="s">
        <v>582</v>
      </c>
      <c r="C1376" s="2" t="s">
        <v>624</v>
      </c>
      <c r="D1376" s="2" t="s">
        <v>584</v>
      </c>
      <c r="E1376" s="4" t="n">
        <v>87.14</v>
      </c>
      <c r="F1376" s="4" t="n">
        <v>7.92</v>
      </c>
      <c r="G1376" s="4" t="n">
        <v>79.22</v>
      </c>
      <c r="H1376" s="2" t="s">
        <v>1381</v>
      </c>
    </row>
    <row r="1377" customFormat="false" ht="15" hidden="false" customHeight="false" outlineLevel="0" collapsed="false">
      <c r="A1377" s="2" t="s">
        <v>30</v>
      </c>
      <c r="B1377" s="2" t="s">
        <v>316</v>
      </c>
      <c r="C1377" s="2" t="s">
        <v>375</v>
      </c>
      <c r="D1377" s="2" t="s">
        <v>318</v>
      </c>
      <c r="E1377" s="4" t="n">
        <v>105.11</v>
      </c>
      <c r="F1377" s="4" t="n">
        <v>9.56</v>
      </c>
      <c r="G1377" s="4" t="n">
        <v>95.55</v>
      </c>
      <c r="H1377" s="2" t="s">
        <v>1381</v>
      </c>
    </row>
    <row r="1378" customFormat="false" ht="15" hidden="false" customHeight="false" outlineLevel="0" collapsed="false">
      <c r="A1378" s="2" t="s">
        <v>30</v>
      </c>
      <c r="B1378" s="2" t="s">
        <v>2079</v>
      </c>
      <c r="C1378" s="2" t="s">
        <v>3006</v>
      </c>
      <c r="D1378" s="2" t="s">
        <v>2081</v>
      </c>
      <c r="E1378" s="4" t="n">
        <v>447.45</v>
      </c>
      <c r="F1378" s="4" t="n">
        <v>40.68</v>
      </c>
      <c r="G1378" s="4" t="n">
        <v>406.77</v>
      </c>
      <c r="H1378" s="2" t="s">
        <v>1385</v>
      </c>
    </row>
    <row r="1379" customFormat="false" ht="15" hidden="false" customHeight="false" outlineLevel="0" collapsed="false">
      <c r="A1379" s="2" t="s">
        <v>30</v>
      </c>
      <c r="B1379" s="2" t="s">
        <v>2137</v>
      </c>
      <c r="C1379" s="2" t="s">
        <v>3007</v>
      </c>
      <c r="D1379" s="2" t="s">
        <v>2139</v>
      </c>
      <c r="E1379" s="4" t="n">
        <v>136.65</v>
      </c>
      <c r="F1379" s="4" t="n">
        <v>12.42</v>
      </c>
      <c r="G1379" s="4" t="n">
        <v>124.23</v>
      </c>
      <c r="H1379" s="2" t="s">
        <v>1385</v>
      </c>
    </row>
    <row r="1380" customFormat="false" ht="15" hidden="false" customHeight="false" outlineLevel="0" collapsed="false">
      <c r="A1380" s="2" t="s">
        <v>30</v>
      </c>
      <c r="B1380" s="2" t="s">
        <v>2087</v>
      </c>
      <c r="C1380" s="2" t="s">
        <v>3008</v>
      </c>
      <c r="D1380" s="2" t="s">
        <v>2089</v>
      </c>
      <c r="E1380" s="4" t="n">
        <v>2433.66</v>
      </c>
      <c r="F1380" s="4" t="n">
        <v>221.25</v>
      </c>
      <c r="G1380" s="4" t="n">
        <v>2212.41</v>
      </c>
      <c r="H1380" s="2" t="s">
        <v>1385</v>
      </c>
    </row>
    <row r="1381" customFormat="false" ht="15" hidden="false" customHeight="false" outlineLevel="0" collapsed="false">
      <c r="A1381" s="2" t="s">
        <v>30</v>
      </c>
      <c r="B1381" s="2" t="s">
        <v>2091</v>
      </c>
      <c r="C1381" s="2" t="s">
        <v>3009</v>
      </c>
      <c r="D1381" s="2" t="s">
        <v>2093</v>
      </c>
      <c r="E1381" s="4" t="n">
        <v>1290.02</v>
      </c>
      <c r="F1381" s="4" t="n">
        <v>117.28</v>
      </c>
      <c r="G1381" s="4" t="n">
        <v>1172.74</v>
      </c>
      <c r="H1381" s="2" t="s">
        <v>1385</v>
      </c>
    </row>
    <row r="1382" customFormat="false" ht="15" hidden="false" customHeight="false" outlineLevel="0" collapsed="false">
      <c r="A1382" s="2" t="s">
        <v>30</v>
      </c>
      <c r="B1382" s="2" t="s">
        <v>311</v>
      </c>
      <c r="C1382" s="2" t="s">
        <v>371</v>
      </c>
      <c r="D1382" s="2" t="s">
        <v>313</v>
      </c>
      <c r="E1382" s="4" t="n">
        <v>105.11</v>
      </c>
      <c r="F1382" s="4" t="n">
        <v>9.56</v>
      </c>
      <c r="G1382" s="4" t="n">
        <v>95.55</v>
      </c>
      <c r="H1382" s="2" t="s">
        <v>1381</v>
      </c>
    </row>
    <row r="1383" customFormat="false" ht="15" hidden="false" customHeight="false" outlineLevel="0" collapsed="false">
      <c r="A1383" s="2" t="s">
        <v>30</v>
      </c>
      <c r="B1383" s="2" t="s">
        <v>330</v>
      </c>
      <c r="C1383" s="2" t="s">
        <v>373</v>
      </c>
      <c r="D1383" s="2" t="s">
        <v>332</v>
      </c>
      <c r="E1383" s="4" t="n">
        <v>112.81</v>
      </c>
      <c r="F1383" s="4" t="n">
        <v>10.27</v>
      </c>
      <c r="G1383" s="4" t="n">
        <v>102.54</v>
      </c>
      <c r="H1383" s="2" t="s">
        <v>1381</v>
      </c>
    </row>
    <row r="1384" customFormat="false" ht="15" hidden="false" customHeight="false" outlineLevel="0" collapsed="false">
      <c r="A1384" s="2" t="s">
        <v>30</v>
      </c>
      <c r="B1384" s="2" t="s">
        <v>2103</v>
      </c>
      <c r="C1384" s="2" t="s">
        <v>3010</v>
      </c>
      <c r="D1384" s="2" t="s">
        <v>2105</v>
      </c>
      <c r="E1384" s="4" t="n">
        <v>186.78</v>
      </c>
      <c r="F1384" s="4" t="n">
        <v>17</v>
      </c>
      <c r="G1384" s="4" t="n">
        <v>169.78</v>
      </c>
      <c r="H1384" s="2" t="s">
        <v>1385</v>
      </c>
    </row>
    <row r="1385" customFormat="false" ht="15" hidden="false" customHeight="false" outlineLevel="0" collapsed="false">
      <c r="A1385" s="2" t="s">
        <v>30</v>
      </c>
      <c r="B1385" s="2" t="s">
        <v>2106</v>
      </c>
      <c r="C1385" s="2" t="s">
        <v>3011</v>
      </c>
      <c r="D1385" s="2" t="s">
        <v>2108</v>
      </c>
      <c r="E1385" s="4" t="n">
        <v>434.29</v>
      </c>
      <c r="F1385" s="4" t="n">
        <v>39.49</v>
      </c>
      <c r="G1385" s="4" t="n">
        <v>394.8</v>
      </c>
      <c r="H1385" s="2" t="s">
        <v>1385</v>
      </c>
    </row>
    <row r="1386" customFormat="false" ht="15" hidden="false" customHeight="false" outlineLevel="0" collapsed="false">
      <c r="A1386" s="2" t="s">
        <v>30</v>
      </c>
      <c r="B1386" s="2" t="s">
        <v>61</v>
      </c>
      <c r="C1386" s="2" t="s">
        <v>62</v>
      </c>
      <c r="D1386" s="2" t="s">
        <v>63</v>
      </c>
      <c r="E1386" s="4" t="n">
        <v>988.08</v>
      </c>
      <c r="F1386" s="4" t="n">
        <v>89.84</v>
      </c>
      <c r="G1386" s="4" t="n">
        <v>898.24</v>
      </c>
      <c r="H1386" s="2" t="s">
        <v>1381</v>
      </c>
    </row>
    <row r="1387" customFormat="false" ht="15" hidden="false" customHeight="false" outlineLevel="0" collapsed="false">
      <c r="A1387" s="2" t="s">
        <v>30</v>
      </c>
      <c r="B1387" s="2" t="s">
        <v>378</v>
      </c>
      <c r="C1387" s="2" t="s">
        <v>471</v>
      </c>
      <c r="D1387" s="2" t="s">
        <v>380</v>
      </c>
      <c r="E1387" s="4" t="n">
        <v>105.56</v>
      </c>
      <c r="F1387" s="4" t="n">
        <v>9.6</v>
      </c>
      <c r="G1387" s="4" t="n">
        <v>95.96</v>
      </c>
      <c r="H1387" s="2" t="s">
        <v>1381</v>
      </c>
    </row>
    <row r="1388" customFormat="false" ht="15" hidden="false" customHeight="false" outlineLevel="0" collapsed="false">
      <c r="A1388" s="2" t="s">
        <v>30</v>
      </c>
      <c r="B1388" s="2" t="s">
        <v>2140</v>
      </c>
      <c r="C1388" s="2" t="s">
        <v>3012</v>
      </c>
      <c r="D1388" s="2" t="s">
        <v>2142</v>
      </c>
      <c r="E1388" s="4" t="n">
        <v>165.96</v>
      </c>
      <c r="F1388" s="4" t="n">
        <v>15.09</v>
      </c>
      <c r="G1388" s="4" t="n">
        <v>150.87</v>
      </c>
      <c r="H1388" s="2" t="s">
        <v>1385</v>
      </c>
    </row>
    <row r="1389" customFormat="false" ht="15" hidden="false" customHeight="false" outlineLevel="0" collapsed="false">
      <c r="A1389" s="2" t="s">
        <v>30</v>
      </c>
      <c r="B1389" s="2" t="s">
        <v>354</v>
      </c>
      <c r="C1389" s="2" t="s">
        <v>473</v>
      </c>
      <c r="D1389" s="2" t="s">
        <v>356</v>
      </c>
      <c r="E1389" s="4" t="n">
        <v>120.89</v>
      </c>
      <c r="F1389" s="4" t="n">
        <v>10.99</v>
      </c>
      <c r="G1389" s="4" t="n">
        <v>109.9</v>
      </c>
      <c r="H1389" s="2" t="s">
        <v>1381</v>
      </c>
    </row>
    <row r="1390" customFormat="false" ht="15" hidden="false" customHeight="false" outlineLevel="0" collapsed="false">
      <c r="A1390" s="2" t="s">
        <v>30</v>
      </c>
      <c r="B1390" s="2" t="s">
        <v>2126</v>
      </c>
      <c r="C1390" s="2" t="s">
        <v>3013</v>
      </c>
      <c r="D1390" s="2" t="s">
        <v>2128</v>
      </c>
      <c r="E1390" s="4" t="n">
        <v>565.94</v>
      </c>
      <c r="F1390" s="4" t="n">
        <v>51.46</v>
      </c>
      <c r="G1390" s="4" t="n">
        <v>514.48</v>
      </c>
      <c r="H1390" s="2" t="s">
        <v>1385</v>
      </c>
    </row>
    <row r="1391" customFormat="false" ht="15" hidden="false" customHeight="false" outlineLevel="0" collapsed="false">
      <c r="A1391" s="2" t="s">
        <v>30</v>
      </c>
      <c r="B1391" s="2" t="s">
        <v>2148</v>
      </c>
      <c r="C1391" s="2" t="s">
        <v>3014</v>
      </c>
      <c r="D1391" s="2" t="s">
        <v>2150</v>
      </c>
      <c r="E1391" s="4" t="n">
        <v>422.31</v>
      </c>
      <c r="F1391" s="4" t="n">
        <v>38.39</v>
      </c>
      <c r="G1391" s="4" t="n">
        <v>383.92</v>
      </c>
      <c r="H1391" s="2" t="s">
        <v>1385</v>
      </c>
    </row>
    <row r="1392" customFormat="false" ht="15" hidden="false" customHeight="false" outlineLevel="0" collapsed="false">
      <c r="A1392" s="2" t="s">
        <v>30</v>
      </c>
      <c r="B1392" s="2" t="s">
        <v>444</v>
      </c>
      <c r="C1392" s="2" t="s">
        <v>505</v>
      </c>
      <c r="D1392" s="2" t="s">
        <v>446</v>
      </c>
      <c r="E1392" s="4" t="n">
        <v>114.69</v>
      </c>
      <c r="F1392" s="4" t="n">
        <v>10.43</v>
      </c>
      <c r="G1392" s="4" t="n">
        <v>104.26</v>
      </c>
      <c r="H1392" s="2" t="s">
        <v>1381</v>
      </c>
    </row>
    <row r="1393" customFormat="false" ht="15" hidden="false" customHeight="false" outlineLevel="0" collapsed="false">
      <c r="A1393" s="2" t="s">
        <v>30</v>
      </c>
      <c r="B1393" s="2" t="s">
        <v>2170</v>
      </c>
      <c r="C1393" s="2" t="s">
        <v>3015</v>
      </c>
      <c r="D1393" s="2" t="s">
        <v>2172</v>
      </c>
      <c r="E1393" s="4" t="n">
        <v>209.19</v>
      </c>
      <c r="F1393" s="4" t="n">
        <v>19.02</v>
      </c>
      <c r="G1393" s="4" t="n">
        <v>190.17</v>
      </c>
      <c r="H1393" s="2" t="s">
        <v>1385</v>
      </c>
    </row>
    <row r="1394" customFormat="false" ht="15" hidden="false" customHeight="false" outlineLevel="0" collapsed="false">
      <c r="A1394" s="2" t="s">
        <v>30</v>
      </c>
      <c r="B1394" s="2" t="s">
        <v>2163</v>
      </c>
      <c r="C1394" s="2" t="s">
        <v>3016</v>
      </c>
      <c r="D1394" s="2" t="s">
        <v>2165</v>
      </c>
      <c r="E1394" s="4" t="n">
        <v>1158.71</v>
      </c>
      <c r="F1394" s="4" t="n">
        <v>105.35</v>
      </c>
      <c r="G1394" s="4" t="n">
        <v>1053.36</v>
      </c>
      <c r="H1394" s="2" t="s">
        <v>1385</v>
      </c>
    </row>
    <row r="1395" customFormat="false" ht="15" hidden="false" customHeight="false" outlineLevel="0" collapsed="false">
      <c r="A1395" s="2" t="s">
        <v>30</v>
      </c>
      <c r="B1395" s="2" t="s">
        <v>2131</v>
      </c>
      <c r="C1395" s="2" t="s">
        <v>3017</v>
      </c>
      <c r="D1395" s="2" t="s">
        <v>2133</v>
      </c>
      <c r="E1395" s="4" t="n">
        <v>366.14</v>
      </c>
      <c r="F1395" s="4" t="n">
        <v>33.28</v>
      </c>
      <c r="G1395" s="4" t="n">
        <v>332.86</v>
      </c>
      <c r="H1395" s="2" t="s">
        <v>1385</v>
      </c>
    </row>
    <row r="1396" customFormat="false" ht="15" hidden="false" customHeight="false" outlineLevel="0" collapsed="false">
      <c r="A1396" s="2" t="s">
        <v>30</v>
      </c>
      <c r="B1396" s="2" t="s">
        <v>436</v>
      </c>
      <c r="C1396" s="2" t="s">
        <v>484</v>
      </c>
      <c r="D1396" s="2" t="s">
        <v>438</v>
      </c>
      <c r="E1396" s="4" t="n">
        <v>106.48</v>
      </c>
      <c r="F1396" s="4" t="n">
        <v>9.68</v>
      </c>
      <c r="G1396" s="4" t="n">
        <v>96.8</v>
      </c>
      <c r="H1396" s="2" t="s">
        <v>1381</v>
      </c>
    </row>
    <row r="1397" customFormat="false" ht="15" hidden="false" customHeight="false" outlineLevel="0" collapsed="false">
      <c r="A1397" s="2" t="s">
        <v>30</v>
      </c>
      <c r="B1397" s="2" t="s">
        <v>2134</v>
      </c>
      <c r="C1397" s="2" t="s">
        <v>3018</v>
      </c>
      <c r="D1397" s="2" t="s">
        <v>2136</v>
      </c>
      <c r="E1397" s="4" t="n">
        <v>530.3</v>
      </c>
      <c r="F1397" s="4" t="n">
        <v>48.21</v>
      </c>
      <c r="G1397" s="4" t="n">
        <v>482.09</v>
      </c>
      <c r="H1397" s="2" t="s">
        <v>1385</v>
      </c>
    </row>
    <row r="1398" customFormat="false" ht="15" hidden="false" customHeight="false" outlineLevel="0" collapsed="false">
      <c r="A1398" s="2" t="s">
        <v>30</v>
      </c>
      <c r="B1398" s="2" t="s">
        <v>2154</v>
      </c>
      <c r="C1398" s="2" t="s">
        <v>3019</v>
      </c>
      <c r="D1398" s="2" t="s">
        <v>2156</v>
      </c>
      <c r="E1398" s="4" t="n">
        <v>214.79</v>
      </c>
      <c r="F1398" s="4" t="n">
        <v>19.54</v>
      </c>
      <c r="G1398" s="4" t="n">
        <v>195.25</v>
      </c>
      <c r="H1398" s="2" t="s">
        <v>1385</v>
      </c>
    </row>
    <row r="1399" customFormat="false" ht="15" hidden="false" customHeight="false" outlineLevel="0" collapsed="false">
      <c r="A1399" s="2" t="s">
        <v>30</v>
      </c>
      <c r="B1399" s="2" t="s">
        <v>2143</v>
      </c>
      <c r="C1399" s="2" t="s">
        <v>3020</v>
      </c>
      <c r="D1399" s="2" t="s">
        <v>2145</v>
      </c>
      <c r="E1399" s="4" t="n">
        <v>566.59</v>
      </c>
      <c r="F1399" s="4" t="n">
        <v>51.51</v>
      </c>
      <c r="G1399" s="4" t="n">
        <v>515.08</v>
      </c>
      <c r="H1399" s="2" t="s">
        <v>1385</v>
      </c>
    </row>
    <row r="1400" customFormat="false" ht="15" hidden="false" customHeight="false" outlineLevel="0" collapsed="false">
      <c r="A1400" s="2" t="s">
        <v>30</v>
      </c>
      <c r="B1400" s="2" t="s">
        <v>405</v>
      </c>
      <c r="C1400" s="2" t="s">
        <v>486</v>
      </c>
      <c r="D1400" s="2" t="s">
        <v>407</v>
      </c>
      <c r="E1400" s="4" t="n">
        <v>105.11</v>
      </c>
      <c r="F1400" s="4" t="n">
        <v>9.56</v>
      </c>
      <c r="G1400" s="4" t="n">
        <v>95.55</v>
      </c>
      <c r="H1400" s="2" t="s">
        <v>1381</v>
      </c>
    </row>
    <row r="1401" customFormat="false" ht="15" hidden="false" customHeight="false" outlineLevel="0" collapsed="false">
      <c r="A1401" s="2" t="s">
        <v>30</v>
      </c>
      <c r="B1401" s="2" t="s">
        <v>384</v>
      </c>
      <c r="C1401" s="2" t="s">
        <v>488</v>
      </c>
      <c r="D1401" s="2" t="s">
        <v>386</v>
      </c>
      <c r="E1401" s="4" t="n">
        <v>108.72</v>
      </c>
      <c r="F1401" s="4" t="n">
        <v>9.89</v>
      </c>
      <c r="G1401" s="4" t="n">
        <v>98.83</v>
      </c>
      <c r="H1401" s="2" t="s">
        <v>1381</v>
      </c>
    </row>
    <row r="1402" customFormat="false" ht="15" hidden="false" customHeight="false" outlineLevel="0" collapsed="false">
      <c r="A1402" s="2" t="s">
        <v>30</v>
      </c>
      <c r="B1402" s="2" t="s">
        <v>412</v>
      </c>
      <c r="C1402" s="2" t="s">
        <v>507</v>
      </c>
      <c r="D1402" s="2" t="s">
        <v>414</v>
      </c>
      <c r="E1402" s="4" t="n">
        <v>138.91</v>
      </c>
      <c r="F1402" s="4" t="n">
        <v>12.64</v>
      </c>
      <c r="G1402" s="4" t="n">
        <v>126.27</v>
      </c>
      <c r="H1402" s="2" t="s">
        <v>1381</v>
      </c>
    </row>
    <row r="1403" customFormat="false" ht="15" hidden="false" customHeight="false" outlineLevel="0" collapsed="false">
      <c r="A1403" s="2" t="s">
        <v>30</v>
      </c>
      <c r="B1403" s="2" t="s">
        <v>2157</v>
      </c>
      <c r="C1403" s="2" t="s">
        <v>3021</v>
      </c>
      <c r="D1403" s="2" t="s">
        <v>2159</v>
      </c>
      <c r="E1403" s="4" t="n">
        <v>88.89</v>
      </c>
      <c r="F1403" s="4" t="n">
        <v>8.07</v>
      </c>
      <c r="G1403" s="4" t="n">
        <v>80.82</v>
      </c>
      <c r="H1403" s="2" t="s">
        <v>1385</v>
      </c>
    </row>
    <row r="1404" customFormat="false" ht="15" hidden="false" customHeight="false" outlineLevel="0" collapsed="false">
      <c r="A1404" s="2" t="s">
        <v>30</v>
      </c>
      <c r="B1404" s="2" t="s">
        <v>429</v>
      </c>
      <c r="C1404" s="2" t="s">
        <v>509</v>
      </c>
      <c r="D1404" s="2" t="s">
        <v>431</v>
      </c>
      <c r="E1404" s="4" t="n">
        <v>165.08</v>
      </c>
      <c r="F1404" s="4" t="n">
        <v>15.01</v>
      </c>
      <c r="G1404" s="4" t="n">
        <v>150.07</v>
      </c>
      <c r="H1404" s="2" t="s">
        <v>1381</v>
      </c>
    </row>
    <row r="1405" customFormat="false" ht="15" hidden="false" customHeight="false" outlineLevel="0" collapsed="false">
      <c r="A1405" s="2" t="s">
        <v>30</v>
      </c>
      <c r="B1405" s="2" t="s">
        <v>2160</v>
      </c>
      <c r="C1405" s="2" t="s">
        <v>3022</v>
      </c>
      <c r="D1405" s="2" t="s">
        <v>2162</v>
      </c>
      <c r="E1405" s="4" t="n">
        <v>111.87</v>
      </c>
      <c r="F1405" s="4" t="n">
        <v>10.18</v>
      </c>
      <c r="G1405" s="4" t="n">
        <v>101.69</v>
      </c>
      <c r="H1405" s="2" t="s">
        <v>1385</v>
      </c>
    </row>
    <row r="1406" customFormat="false" ht="15" hidden="false" customHeight="false" outlineLevel="0" collapsed="false">
      <c r="A1406" s="2" t="s">
        <v>30</v>
      </c>
      <c r="B1406" s="2" t="s">
        <v>2026</v>
      </c>
      <c r="C1406" s="2" t="s">
        <v>3023</v>
      </c>
      <c r="D1406" s="2" t="s">
        <v>2028</v>
      </c>
      <c r="E1406" s="4" t="n">
        <v>134.64</v>
      </c>
      <c r="F1406" s="4" t="n">
        <v>12.25</v>
      </c>
      <c r="G1406" s="4" t="n">
        <v>122.39</v>
      </c>
      <c r="H1406" s="2" t="s">
        <v>1385</v>
      </c>
    </row>
    <row r="1407" customFormat="false" ht="15" hidden="false" customHeight="false" outlineLevel="0" collapsed="false">
      <c r="A1407" s="2" t="s">
        <v>30</v>
      </c>
      <c r="B1407" s="2" t="s">
        <v>697</v>
      </c>
      <c r="C1407" s="2" t="s">
        <v>735</v>
      </c>
      <c r="D1407" s="2" t="s">
        <v>699</v>
      </c>
      <c r="E1407" s="4" t="n">
        <v>93.06</v>
      </c>
      <c r="F1407" s="4" t="n">
        <v>8.46</v>
      </c>
      <c r="G1407" s="4" t="n">
        <v>84.6</v>
      </c>
      <c r="H1407" s="2" t="s">
        <v>1381</v>
      </c>
    </row>
    <row r="1408" customFormat="false" ht="15" hidden="false" customHeight="false" outlineLevel="0" collapsed="false">
      <c r="A1408" s="2" t="s">
        <v>30</v>
      </c>
      <c r="B1408" s="2" t="s">
        <v>564</v>
      </c>
      <c r="C1408" s="2" t="s">
        <v>565</v>
      </c>
      <c r="D1408" s="2" t="s">
        <v>566</v>
      </c>
      <c r="E1408" s="4" t="n">
        <v>144.83</v>
      </c>
      <c r="F1408" s="4" t="n">
        <v>13.17</v>
      </c>
      <c r="G1408" s="4" t="n">
        <v>131.66</v>
      </c>
      <c r="H1408" s="2" t="s">
        <v>1381</v>
      </c>
    </row>
    <row r="1409" customFormat="false" ht="15" hidden="false" customHeight="false" outlineLevel="0" collapsed="false">
      <c r="A1409" s="2" t="s">
        <v>30</v>
      </c>
      <c r="B1409" s="2" t="s">
        <v>2173</v>
      </c>
      <c r="C1409" s="2" t="s">
        <v>3024</v>
      </c>
      <c r="D1409" s="2" t="s">
        <v>2175</v>
      </c>
      <c r="E1409" s="4" t="n">
        <v>770.73</v>
      </c>
      <c r="F1409" s="4" t="n">
        <v>70.08</v>
      </c>
      <c r="G1409" s="4" t="n">
        <v>700.65</v>
      </c>
      <c r="H1409" s="2" t="s">
        <v>1385</v>
      </c>
    </row>
    <row r="1410" customFormat="false" ht="15" hidden="false" customHeight="false" outlineLevel="0" collapsed="false">
      <c r="A1410" s="2" t="s">
        <v>30</v>
      </c>
      <c r="B1410" s="2" t="s">
        <v>2195</v>
      </c>
      <c r="C1410" s="2" t="s">
        <v>3025</v>
      </c>
      <c r="D1410" s="2" t="s">
        <v>2197</v>
      </c>
      <c r="E1410" s="4" t="n">
        <v>151.98</v>
      </c>
      <c r="F1410" s="4" t="n">
        <v>13.82</v>
      </c>
      <c r="G1410" s="4" t="n">
        <v>138.16</v>
      </c>
      <c r="H1410" s="2" t="s">
        <v>1385</v>
      </c>
    </row>
    <row r="1411" customFormat="false" ht="15" hidden="false" customHeight="false" outlineLevel="0" collapsed="false">
      <c r="A1411" s="2" t="s">
        <v>30</v>
      </c>
      <c r="B1411" s="2" t="s">
        <v>546</v>
      </c>
      <c r="C1411" s="2" t="s">
        <v>606</v>
      </c>
      <c r="D1411" s="2" t="s">
        <v>548</v>
      </c>
      <c r="E1411" s="4" t="n">
        <v>175.1</v>
      </c>
      <c r="F1411" s="4" t="n">
        <v>15.92</v>
      </c>
      <c r="G1411" s="4" t="n">
        <v>159.18</v>
      </c>
      <c r="H1411" s="2" t="s">
        <v>1381</v>
      </c>
    </row>
    <row r="1412" customFormat="false" ht="15" hidden="false" customHeight="false" outlineLevel="0" collapsed="false">
      <c r="A1412" s="2" t="s">
        <v>30</v>
      </c>
      <c r="B1412" s="2" t="s">
        <v>2017</v>
      </c>
      <c r="C1412" s="2" t="s">
        <v>3026</v>
      </c>
      <c r="D1412" s="2" t="s">
        <v>2019</v>
      </c>
      <c r="E1412" s="4" t="n">
        <v>583.11</v>
      </c>
      <c r="F1412" s="4" t="n">
        <v>53.02</v>
      </c>
      <c r="G1412" s="4" t="n">
        <v>530.09</v>
      </c>
      <c r="H1412" s="2" t="s">
        <v>1385</v>
      </c>
    </row>
    <row r="1413" customFormat="false" ht="15" hidden="false" customHeight="false" outlineLevel="0" collapsed="false">
      <c r="A1413" s="2" t="s">
        <v>30</v>
      </c>
      <c r="B1413" s="2" t="s">
        <v>2166</v>
      </c>
      <c r="C1413" s="2" t="s">
        <v>3027</v>
      </c>
      <c r="D1413" s="2" t="s">
        <v>2168</v>
      </c>
      <c r="E1413" s="4" t="n">
        <v>3575.14</v>
      </c>
      <c r="F1413" s="4" t="n">
        <v>325.02</v>
      </c>
      <c r="G1413" s="4" t="n">
        <v>3250.12</v>
      </c>
      <c r="H1413" s="2" t="s">
        <v>1385</v>
      </c>
    </row>
    <row r="1414" customFormat="false" ht="15" hidden="false" customHeight="false" outlineLevel="0" collapsed="false">
      <c r="A1414" s="2" t="s">
        <v>30</v>
      </c>
      <c r="B1414" s="2" t="s">
        <v>242</v>
      </c>
      <c r="C1414" s="2" t="s">
        <v>243</v>
      </c>
      <c r="D1414" s="2" t="s">
        <v>244</v>
      </c>
      <c r="E1414" s="4" t="n">
        <v>113.66</v>
      </c>
      <c r="F1414" s="4" t="n">
        <v>10.35</v>
      </c>
      <c r="G1414" s="4" t="n">
        <v>103.31</v>
      </c>
      <c r="H1414" s="2" t="s">
        <v>1381</v>
      </c>
    </row>
    <row r="1415" customFormat="false" ht="15" hidden="false" customHeight="false" outlineLevel="0" collapsed="false">
      <c r="A1415" s="2" t="s">
        <v>30</v>
      </c>
      <c r="B1415" s="2" t="s">
        <v>1395</v>
      </c>
      <c r="C1415" s="2" t="s">
        <v>3028</v>
      </c>
      <c r="D1415" s="2" t="s">
        <v>1397</v>
      </c>
      <c r="E1415" s="4" t="n">
        <v>-54.57</v>
      </c>
      <c r="F1415" s="4" t="n">
        <v>-4.98</v>
      </c>
      <c r="G1415" s="4" t="n">
        <v>-49.59</v>
      </c>
      <c r="H1415" s="2" t="s">
        <v>1385</v>
      </c>
    </row>
    <row r="1416" customFormat="false" ht="15" hidden="false" customHeight="false" outlineLevel="0" collapsed="false">
      <c r="A1416" s="2" t="s">
        <v>30</v>
      </c>
      <c r="B1416" s="2" t="s">
        <v>2185</v>
      </c>
      <c r="C1416" s="2" t="s">
        <v>3029</v>
      </c>
      <c r="D1416" s="2" t="s">
        <v>2187</v>
      </c>
      <c r="E1416" s="4" t="n">
        <v>263.36</v>
      </c>
      <c r="F1416" s="4" t="n">
        <v>23.94</v>
      </c>
      <c r="G1416" s="4" t="n">
        <v>239.42</v>
      </c>
      <c r="H1416" s="2" t="s">
        <v>1385</v>
      </c>
    </row>
    <row r="1417" customFormat="false" ht="15" hidden="false" customHeight="false" outlineLevel="0" collapsed="false">
      <c r="A1417" s="2" t="s">
        <v>30</v>
      </c>
      <c r="B1417" s="2" t="s">
        <v>2188</v>
      </c>
      <c r="C1417" s="2" t="s">
        <v>3030</v>
      </c>
      <c r="D1417" s="2" t="s">
        <v>2190</v>
      </c>
      <c r="E1417" s="4" t="n">
        <v>656.35</v>
      </c>
      <c r="F1417" s="4" t="n">
        <v>59.68</v>
      </c>
      <c r="G1417" s="4" t="n">
        <v>596.67</v>
      </c>
      <c r="H1417" s="2" t="s">
        <v>1385</v>
      </c>
    </row>
    <row r="1418" customFormat="false" ht="15" hidden="false" customHeight="false" outlineLevel="0" collapsed="false">
      <c r="A1418" s="2" t="s">
        <v>30</v>
      </c>
      <c r="B1418" s="2" t="s">
        <v>2191</v>
      </c>
      <c r="C1418" s="2" t="s">
        <v>3031</v>
      </c>
      <c r="D1418" s="2" t="s">
        <v>2193</v>
      </c>
      <c r="E1418" s="4" t="n">
        <v>625.2</v>
      </c>
      <c r="F1418" s="4" t="n">
        <v>56.83</v>
      </c>
      <c r="G1418" s="4" t="n">
        <v>568.37</v>
      </c>
      <c r="H1418" s="2" t="s">
        <v>1385</v>
      </c>
    </row>
    <row r="1419" customFormat="false" ht="15" hidden="false" customHeight="false" outlineLevel="0" collapsed="false">
      <c r="A1419" s="2" t="s">
        <v>30</v>
      </c>
      <c r="B1419" s="2" t="s">
        <v>526</v>
      </c>
      <c r="C1419" s="2" t="s">
        <v>588</v>
      </c>
      <c r="D1419" s="2" t="s">
        <v>528</v>
      </c>
      <c r="E1419" s="4" t="n">
        <v>151.79</v>
      </c>
      <c r="F1419" s="4" t="n">
        <v>13.81</v>
      </c>
      <c r="G1419" s="4" t="n">
        <v>137.98</v>
      </c>
      <c r="H1419" s="2" t="s">
        <v>1381</v>
      </c>
    </row>
    <row r="1420" customFormat="false" ht="15" hidden="false" customHeight="false" outlineLevel="0" collapsed="false">
      <c r="A1420" s="2" t="s">
        <v>30</v>
      </c>
      <c r="B1420" s="2" t="s">
        <v>2208</v>
      </c>
      <c r="C1420" s="2" t="s">
        <v>3032</v>
      </c>
      <c r="D1420" s="2" t="s">
        <v>2210</v>
      </c>
      <c r="E1420" s="4" t="n">
        <v>310.16</v>
      </c>
      <c r="F1420" s="4" t="n">
        <v>28.2</v>
      </c>
      <c r="G1420" s="4" t="n">
        <v>281.96</v>
      </c>
      <c r="H1420" s="2" t="s">
        <v>1385</v>
      </c>
    </row>
    <row r="1421" customFormat="false" ht="15" hidden="false" customHeight="false" outlineLevel="0" collapsed="false">
      <c r="A1421" s="2" t="s">
        <v>30</v>
      </c>
      <c r="B1421" s="2" t="s">
        <v>2219</v>
      </c>
      <c r="C1421" s="2" t="s">
        <v>3033</v>
      </c>
      <c r="D1421" s="2" t="s">
        <v>2221</v>
      </c>
      <c r="E1421" s="4" t="n">
        <v>158.25</v>
      </c>
      <c r="F1421" s="4" t="n">
        <v>14.39</v>
      </c>
      <c r="G1421" s="4" t="n">
        <v>143.86</v>
      </c>
      <c r="H1421" s="2" t="s">
        <v>1385</v>
      </c>
    </row>
    <row r="1422" customFormat="false" ht="15" hidden="false" customHeight="false" outlineLevel="0" collapsed="false">
      <c r="A1422" s="2" t="s">
        <v>30</v>
      </c>
      <c r="B1422" s="2" t="s">
        <v>2023</v>
      </c>
      <c r="C1422" s="2" t="s">
        <v>3034</v>
      </c>
      <c r="D1422" s="2" t="s">
        <v>2025</v>
      </c>
      <c r="E1422" s="4" t="n">
        <v>1076.17</v>
      </c>
      <c r="F1422" s="4" t="n">
        <v>97.84</v>
      </c>
      <c r="G1422" s="4" t="n">
        <v>978.33</v>
      </c>
      <c r="H1422" s="2" t="s">
        <v>1385</v>
      </c>
    </row>
    <row r="1423" customFormat="false" ht="15" hidden="false" customHeight="false" outlineLevel="0" collapsed="false">
      <c r="A1423" s="2" t="s">
        <v>30</v>
      </c>
      <c r="B1423" s="2" t="s">
        <v>220</v>
      </c>
      <c r="C1423" s="2" t="s">
        <v>221</v>
      </c>
      <c r="D1423" s="2" t="s">
        <v>222</v>
      </c>
      <c r="E1423" s="4" t="n">
        <v>117.63</v>
      </c>
      <c r="F1423" s="4" t="n">
        <v>10.7</v>
      </c>
      <c r="G1423" s="4" t="n">
        <v>106.93</v>
      </c>
      <c r="H1423" s="2" t="s">
        <v>1381</v>
      </c>
    </row>
    <row r="1424" customFormat="false" ht="15" hidden="false" customHeight="false" outlineLevel="0" collapsed="false">
      <c r="A1424" s="2" t="s">
        <v>30</v>
      </c>
      <c r="B1424" s="2" t="s">
        <v>212</v>
      </c>
      <c r="C1424" s="2" t="s">
        <v>213</v>
      </c>
      <c r="D1424" s="2" t="s">
        <v>214</v>
      </c>
      <c r="E1424" s="4" t="n">
        <v>110.18</v>
      </c>
      <c r="F1424" s="4" t="n">
        <v>10.02</v>
      </c>
      <c r="G1424" s="4" t="n">
        <v>100.16</v>
      </c>
      <c r="H1424" s="2" t="s">
        <v>1381</v>
      </c>
    </row>
    <row r="1425" customFormat="false" ht="15" hidden="false" customHeight="false" outlineLevel="0" collapsed="false">
      <c r="A1425" s="2" t="s">
        <v>30</v>
      </c>
      <c r="B1425" s="2" t="s">
        <v>1964</v>
      </c>
      <c r="C1425" s="2" t="s">
        <v>3035</v>
      </c>
      <c r="D1425" s="2" t="s">
        <v>1966</v>
      </c>
      <c r="E1425" s="4" t="n">
        <v>3443.13</v>
      </c>
      <c r="F1425" s="4" t="n">
        <v>313.02</v>
      </c>
      <c r="G1425" s="4" t="n">
        <v>3130.11</v>
      </c>
      <c r="H1425" s="2" t="s">
        <v>1385</v>
      </c>
    </row>
    <row r="1426" customFormat="false" ht="15" hidden="false" customHeight="false" outlineLevel="0" collapsed="false">
      <c r="A1426" s="2" t="s">
        <v>30</v>
      </c>
      <c r="B1426" s="2" t="s">
        <v>2759</v>
      </c>
      <c r="C1426" s="2" t="s">
        <v>3036</v>
      </c>
      <c r="D1426" s="2" t="s">
        <v>2761</v>
      </c>
      <c r="E1426" s="4" t="n">
        <v>692.42</v>
      </c>
      <c r="F1426" s="4" t="n">
        <v>62.95</v>
      </c>
      <c r="G1426" s="4" t="n">
        <v>629.47</v>
      </c>
      <c r="H1426" s="2" t="s">
        <v>1385</v>
      </c>
    </row>
    <row r="1427" customFormat="false" ht="15" hidden="false" customHeight="false" outlineLevel="0" collapsed="false">
      <c r="A1427" s="2" t="s">
        <v>30</v>
      </c>
      <c r="B1427" s="2" t="s">
        <v>2677</v>
      </c>
      <c r="C1427" s="2" t="s">
        <v>3037</v>
      </c>
      <c r="D1427" s="2" t="s">
        <v>2679</v>
      </c>
      <c r="E1427" s="4" t="n">
        <v>578.91</v>
      </c>
      <c r="F1427" s="4" t="n">
        <v>52.63</v>
      </c>
      <c r="G1427" s="4" t="n">
        <v>526.28</v>
      </c>
      <c r="H1427" s="2" t="s">
        <v>1385</v>
      </c>
    </row>
    <row r="1428" customFormat="false" ht="15" hidden="false" customHeight="false" outlineLevel="0" collapsed="false">
      <c r="A1428" s="2" t="s">
        <v>30</v>
      </c>
      <c r="B1428" s="2" t="s">
        <v>2680</v>
      </c>
      <c r="C1428" s="2" t="s">
        <v>3038</v>
      </c>
      <c r="D1428" s="2" t="s">
        <v>2682</v>
      </c>
      <c r="E1428" s="4" t="n">
        <v>692.42</v>
      </c>
      <c r="F1428" s="4" t="n">
        <v>62.95</v>
      </c>
      <c r="G1428" s="4" t="n">
        <v>629.47</v>
      </c>
      <c r="H1428" s="2" t="s">
        <v>1385</v>
      </c>
    </row>
    <row r="1429" customFormat="false" ht="15" hidden="false" customHeight="false" outlineLevel="0" collapsed="false">
      <c r="A1429" s="2" t="s">
        <v>30</v>
      </c>
      <c r="B1429" s="2" t="s">
        <v>1748</v>
      </c>
      <c r="C1429" s="2" t="s">
        <v>3039</v>
      </c>
      <c r="D1429" s="2" t="s">
        <v>1750</v>
      </c>
      <c r="E1429" s="4" t="n">
        <v>255.6</v>
      </c>
      <c r="F1429" s="4" t="n">
        <v>23.24</v>
      </c>
      <c r="G1429" s="4" t="n">
        <v>232.36</v>
      </c>
      <c r="H1429" s="2" t="s">
        <v>1385</v>
      </c>
    </row>
    <row r="1430" customFormat="false" ht="15" hidden="false" customHeight="false" outlineLevel="0" collapsed="false">
      <c r="A1430" s="2" t="s">
        <v>30</v>
      </c>
      <c r="B1430" s="2" t="s">
        <v>1628</v>
      </c>
      <c r="C1430" s="2" t="s">
        <v>3040</v>
      </c>
      <c r="D1430" s="2" t="s">
        <v>1630</v>
      </c>
      <c r="E1430" s="4" t="n">
        <v>193.31</v>
      </c>
      <c r="F1430" s="4" t="n">
        <v>17.58</v>
      </c>
      <c r="G1430" s="4" t="n">
        <v>175.73</v>
      </c>
      <c r="H1430" s="2" t="s">
        <v>1385</v>
      </c>
    </row>
    <row r="1431" customFormat="false" ht="15" hidden="false" customHeight="false" outlineLevel="0" collapsed="false">
      <c r="A1431" s="2" t="s">
        <v>30</v>
      </c>
      <c r="B1431" s="2" t="s">
        <v>938</v>
      </c>
      <c r="C1431" s="2" t="s">
        <v>939</v>
      </c>
      <c r="D1431" s="2" t="s">
        <v>940</v>
      </c>
      <c r="E1431" s="4" t="n">
        <v>103.47</v>
      </c>
      <c r="F1431" s="4" t="n">
        <v>9.42</v>
      </c>
      <c r="G1431" s="4" t="n">
        <v>94.05</v>
      </c>
      <c r="H1431" s="2" t="s">
        <v>1381</v>
      </c>
    </row>
    <row r="1432" customFormat="false" ht="15" hidden="false" customHeight="false" outlineLevel="0" collapsed="false">
      <c r="A1432" s="2" t="s">
        <v>30</v>
      </c>
      <c r="B1432" s="2" t="s">
        <v>1497</v>
      </c>
      <c r="C1432" s="2" t="s">
        <v>3041</v>
      </c>
      <c r="D1432" s="2" t="s">
        <v>1499</v>
      </c>
      <c r="E1432" s="4" t="n">
        <v>256.78</v>
      </c>
      <c r="F1432" s="4" t="n">
        <v>23.34</v>
      </c>
      <c r="G1432" s="4" t="n">
        <v>233.44</v>
      </c>
      <c r="H1432" s="2" t="s">
        <v>1385</v>
      </c>
    </row>
    <row r="1433" customFormat="false" ht="15" hidden="false" customHeight="false" outlineLevel="0" collapsed="false">
      <c r="A1433" s="2" t="s">
        <v>30</v>
      </c>
      <c r="B1433" s="2" t="s">
        <v>2830</v>
      </c>
      <c r="C1433" s="2" t="s">
        <v>3042</v>
      </c>
      <c r="D1433" s="2" t="s">
        <v>2832</v>
      </c>
      <c r="E1433" s="4" t="n">
        <v>1401.69</v>
      </c>
      <c r="F1433" s="4" t="n">
        <v>127.44</v>
      </c>
      <c r="G1433" s="4" t="n">
        <v>1274.25</v>
      </c>
      <c r="H1433" s="2" t="s">
        <v>1385</v>
      </c>
    </row>
    <row r="1434" customFormat="false" ht="15" hidden="false" customHeight="false" outlineLevel="0" collapsed="false">
      <c r="A1434" s="2" t="s">
        <v>30</v>
      </c>
      <c r="B1434" s="2" t="s">
        <v>143</v>
      </c>
      <c r="C1434" s="2" t="s">
        <v>3043</v>
      </c>
      <c r="D1434" s="2" t="s">
        <v>145</v>
      </c>
      <c r="E1434" s="4" t="n">
        <v>0</v>
      </c>
      <c r="F1434" s="4" t="n">
        <v>0</v>
      </c>
      <c r="G1434" s="4" t="n">
        <v>0</v>
      </c>
      <c r="H1434" s="2" t="s">
        <v>1385</v>
      </c>
    </row>
    <row r="1435" customFormat="false" ht="15" hidden="false" customHeight="false" outlineLevel="0" collapsed="false">
      <c r="A1435" s="2" t="s">
        <v>30</v>
      </c>
      <c r="B1435" s="2" t="s">
        <v>1971</v>
      </c>
      <c r="C1435" s="2" t="s">
        <v>3044</v>
      </c>
      <c r="D1435" s="2" t="s">
        <v>1973</v>
      </c>
      <c r="E1435" s="4" t="n">
        <v>0</v>
      </c>
      <c r="F1435" s="4" t="n">
        <v>0</v>
      </c>
      <c r="G1435" s="4" t="n">
        <v>0</v>
      </c>
      <c r="H1435" s="2" t="s">
        <v>1385</v>
      </c>
    </row>
    <row r="1436" customFormat="false" ht="15" hidden="false" customHeight="false" outlineLevel="0" collapsed="false">
      <c r="A1436" s="2" t="s">
        <v>30</v>
      </c>
      <c r="B1436" s="2" t="s">
        <v>1919</v>
      </c>
      <c r="C1436" s="2" t="s">
        <v>3045</v>
      </c>
      <c r="D1436" s="2" t="s">
        <v>1921</v>
      </c>
      <c r="E1436" s="4" t="n">
        <v>0</v>
      </c>
      <c r="F1436" s="4" t="n">
        <v>0</v>
      </c>
      <c r="G1436" s="4" t="n">
        <v>0</v>
      </c>
      <c r="H1436" s="2" t="s">
        <v>1385</v>
      </c>
    </row>
    <row r="1437" customFormat="false" ht="15" hidden="false" customHeight="false" outlineLevel="0" collapsed="false">
      <c r="A1437" s="2" t="s">
        <v>30</v>
      </c>
      <c r="B1437" s="2" t="s">
        <v>1978</v>
      </c>
      <c r="C1437" s="2" t="s">
        <v>3046</v>
      </c>
      <c r="D1437" s="2" t="s">
        <v>1980</v>
      </c>
      <c r="E1437" s="4" t="n">
        <v>0</v>
      </c>
      <c r="F1437" s="4" t="n">
        <v>0</v>
      </c>
      <c r="G1437" s="4" t="n">
        <v>0</v>
      </c>
      <c r="H1437" s="2" t="s">
        <v>1385</v>
      </c>
    </row>
    <row r="1438" customFormat="false" ht="15" hidden="false" customHeight="false" outlineLevel="0" collapsed="false">
      <c r="A1438" s="2" t="s">
        <v>30</v>
      </c>
      <c r="B1438" s="2" t="s">
        <v>600</v>
      </c>
      <c r="C1438" s="2" t="s">
        <v>3047</v>
      </c>
      <c r="D1438" s="2" t="s">
        <v>602</v>
      </c>
      <c r="E1438" s="4" t="n">
        <v>0</v>
      </c>
      <c r="F1438" s="4" t="n">
        <v>0</v>
      </c>
      <c r="G1438" s="4" t="n">
        <v>0</v>
      </c>
      <c r="H1438" s="2" t="s">
        <v>1385</v>
      </c>
    </row>
    <row r="1439" customFormat="false" ht="15" hidden="false" customHeight="false" outlineLevel="0" collapsed="false">
      <c r="A1439" s="2" t="s">
        <v>30</v>
      </c>
      <c r="B1439" s="2" t="s">
        <v>993</v>
      </c>
      <c r="C1439" s="2" t="s">
        <v>1200</v>
      </c>
      <c r="D1439" s="2" t="s">
        <v>995</v>
      </c>
      <c r="E1439" s="4" t="n">
        <v>77.84</v>
      </c>
      <c r="F1439" s="4" t="n">
        <v>7.09</v>
      </c>
      <c r="G1439" s="4" t="n">
        <v>70.75</v>
      </c>
      <c r="H1439" s="2" t="s">
        <v>1381</v>
      </c>
    </row>
    <row r="1440" customFormat="false" ht="15" hidden="false" customHeight="false" outlineLevel="0" collapsed="false">
      <c r="A1440" s="2" t="s">
        <v>30</v>
      </c>
      <c r="B1440" s="2" t="s">
        <v>911</v>
      </c>
      <c r="C1440" s="2" t="s">
        <v>1164</v>
      </c>
      <c r="D1440" s="2" t="s">
        <v>913</v>
      </c>
      <c r="E1440" s="4" t="n">
        <v>53</v>
      </c>
      <c r="F1440" s="4" t="n">
        <v>4.82</v>
      </c>
      <c r="G1440" s="4" t="n">
        <v>48.18</v>
      </c>
      <c r="H1440" s="2" t="s">
        <v>1381</v>
      </c>
    </row>
    <row r="1441" customFormat="false" ht="15" hidden="false" customHeight="false" outlineLevel="0" collapsed="false">
      <c r="A1441" s="2" t="s">
        <v>30</v>
      </c>
      <c r="B1441" s="2" t="s">
        <v>1494</v>
      </c>
      <c r="C1441" s="2" t="s">
        <v>3048</v>
      </c>
      <c r="D1441" s="2" t="s">
        <v>1496</v>
      </c>
      <c r="E1441" s="4" t="n">
        <v>38.12</v>
      </c>
      <c r="F1441" s="4" t="n">
        <v>3.47</v>
      </c>
      <c r="G1441" s="4" t="n">
        <v>34.65</v>
      </c>
      <c r="H1441" s="2" t="s">
        <v>1385</v>
      </c>
    </row>
    <row r="1442" customFormat="false" ht="15" hidden="false" customHeight="false" outlineLevel="0" collapsed="false">
      <c r="A1442" s="2" t="s">
        <v>30</v>
      </c>
      <c r="B1442" s="2" t="s">
        <v>1793</v>
      </c>
      <c r="C1442" s="2" t="s">
        <v>3049</v>
      </c>
      <c r="D1442" s="2" t="s">
        <v>1795</v>
      </c>
      <c r="E1442" s="4" t="n">
        <v>59.78</v>
      </c>
      <c r="F1442" s="4" t="n">
        <v>5.45</v>
      </c>
      <c r="G1442" s="4" t="n">
        <v>54.33</v>
      </c>
      <c r="H1442" s="2" t="s">
        <v>1385</v>
      </c>
    </row>
    <row r="1443" customFormat="false" ht="15" hidden="false" customHeight="false" outlineLevel="0" collapsed="false">
      <c r="A1443" s="2" t="s">
        <v>30</v>
      </c>
      <c r="B1443" s="2" t="s">
        <v>1817</v>
      </c>
      <c r="C1443" s="2" t="s">
        <v>3050</v>
      </c>
      <c r="D1443" s="2" t="s">
        <v>1819</v>
      </c>
      <c r="E1443" s="4" t="n">
        <v>256.28</v>
      </c>
      <c r="F1443" s="4" t="n">
        <v>23.31</v>
      </c>
      <c r="G1443" s="4" t="n">
        <v>232.97</v>
      </c>
      <c r="H1443" s="2" t="s">
        <v>1385</v>
      </c>
    </row>
    <row r="1444" customFormat="false" ht="15" hidden="false" customHeight="false" outlineLevel="0" collapsed="false">
      <c r="A1444" s="2" t="s">
        <v>30</v>
      </c>
      <c r="B1444" s="2" t="s">
        <v>2302</v>
      </c>
      <c r="C1444" s="2" t="s">
        <v>3051</v>
      </c>
      <c r="D1444" s="2" t="s">
        <v>2304</v>
      </c>
      <c r="E1444" s="4" t="n">
        <v>246.14</v>
      </c>
      <c r="F1444" s="4" t="n">
        <v>22.37</v>
      </c>
      <c r="G1444" s="4" t="n">
        <v>223.77</v>
      </c>
      <c r="H1444" s="2" t="s">
        <v>1385</v>
      </c>
    </row>
    <row r="1445" customFormat="false" ht="15" hidden="false" customHeight="false" outlineLevel="0" collapsed="false">
      <c r="A1445" s="2" t="s">
        <v>30</v>
      </c>
      <c r="B1445" s="2" t="s">
        <v>555</v>
      </c>
      <c r="C1445" s="2" t="s">
        <v>3052</v>
      </c>
      <c r="D1445" s="2" t="s">
        <v>557</v>
      </c>
      <c r="E1445" s="4" t="n">
        <v>0</v>
      </c>
      <c r="F1445" s="4" t="n">
        <v>0</v>
      </c>
      <c r="G1445" s="4" t="n">
        <v>0</v>
      </c>
      <c r="H1445" s="2" t="s">
        <v>1385</v>
      </c>
    </row>
    <row r="1446" customFormat="false" ht="15" hidden="false" customHeight="false" outlineLevel="0" collapsed="false">
      <c r="A1446" s="2" t="s">
        <v>30</v>
      </c>
      <c r="B1446" s="2" t="s">
        <v>1910</v>
      </c>
      <c r="C1446" s="2" t="s">
        <v>3053</v>
      </c>
      <c r="D1446" s="2" t="s">
        <v>1912</v>
      </c>
      <c r="E1446" s="4" t="n">
        <v>0</v>
      </c>
      <c r="F1446" s="4" t="n">
        <v>0</v>
      </c>
      <c r="G1446" s="4" t="n">
        <v>0</v>
      </c>
      <c r="H1446" s="2" t="s">
        <v>1385</v>
      </c>
    </row>
    <row r="1447" customFormat="false" ht="15" hidden="false" customHeight="false" outlineLevel="0" collapsed="false">
      <c r="A1447" s="2" t="s">
        <v>30</v>
      </c>
      <c r="B1447" s="2" t="s">
        <v>1946</v>
      </c>
      <c r="C1447" s="2" t="s">
        <v>3054</v>
      </c>
      <c r="D1447" s="2" t="s">
        <v>1948</v>
      </c>
      <c r="E1447" s="4" t="n">
        <v>0</v>
      </c>
      <c r="F1447" s="4" t="n">
        <v>0</v>
      </c>
      <c r="G1447" s="4" t="n">
        <v>0</v>
      </c>
      <c r="H1447" s="2" t="s">
        <v>1385</v>
      </c>
    </row>
    <row r="1448" customFormat="false" ht="15" hidden="false" customHeight="false" outlineLevel="0" collapsed="false">
      <c r="A1448" s="2" t="s">
        <v>30</v>
      </c>
      <c r="B1448" s="2" t="s">
        <v>1907</v>
      </c>
      <c r="C1448" s="2" t="s">
        <v>3055</v>
      </c>
      <c r="D1448" s="2" t="s">
        <v>1909</v>
      </c>
      <c r="E1448" s="4" t="n">
        <v>0</v>
      </c>
      <c r="F1448" s="4" t="n">
        <v>0</v>
      </c>
      <c r="G1448" s="4" t="n">
        <v>0</v>
      </c>
      <c r="H1448" s="2" t="s">
        <v>1385</v>
      </c>
    </row>
    <row r="1449" customFormat="false" ht="15" hidden="false" customHeight="false" outlineLevel="0" collapsed="false">
      <c r="A1449" s="2" t="s">
        <v>30</v>
      </c>
      <c r="B1449" s="2" t="s">
        <v>88</v>
      </c>
      <c r="C1449" s="2" t="s">
        <v>3056</v>
      </c>
      <c r="D1449" s="2" t="s">
        <v>90</v>
      </c>
      <c r="E1449" s="4" t="n">
        <v>0</v>
      </c>
      <c r="F1449" s="4" t="n">
        <v>0</v>
      </c>
      <c r="G1449" s="4" t="n">
        <v>0</v>
      </c>
      <c r="H1449" s="2" t="s">
        <v>1385</v>
      </c>
    </row>
    <row r="1450" customFormat="false" ht="15" hidden="false" customHeight="false" outlineLevel="0" collapsed="false">
      <c r="A1450" s="2" t="s">
        <v>30</v>
      </c>
      <c r="B1450" s="2" t="s">
        <v>1975</v>
      </c>
      <c r="C1450" s="2" t="s">
        <v>3057</v>
      </c>
      <c r="D1450" s="2" t="s">
        <v>1977</v>
      </c>
      <c r="E1450" s="4" t="n">
        <v>0</v>
      </c>
      <c r="F1450" s="4" t="n">
        <v>0</v>
      </c>
      <c r="G1450" s="4" t="n">
        <v>0</v>
      </c>
      <c r="H1450" s="2" t="s">
        <v>1385</v>
      </c>
    </row>
    <row r="1451" customFormat="false" ht="15" hidden="false" customHeight="false" outlineLevel="0" collapsed="false">
      <c r="A1451" s="2" t="s">
        <v>30</v>
      </c>
      <c r="B1451" s="2" t="s">
        <v>1916</v>
      </c>
      <c r="C1451" s="2" t="s">
        <v>3058</v>
      </c>
      <c r="D1451" s="2" t="s">
        <v>1918</v>
      </c>
      <c r="E1451" s="4" t="n">
        <v>0</v>
      </c>
      <c r="F1451" s="4" t="n">
        <v>0</v>
      </c>
      <c r="G1451" s="4" t="n">
        <v>0</v>
      </c>
      <c r="H1451" s="2" t="s">
        <v>1385</v>
      </c>
    </row>
    <row r="1452" customFormat="false" ht="15" hidden="false" customHeight="false" outlineLevel="0" collapsed="false">
      <c r="A1452" s="2" t="s">
        <v>30</v>
      </c>
      <c r="B1452" s="2" t="s">
        <v>924</v>
      </c>
      <c r="C1452" s="2" t="s">
        <v>1328</v>
      </c>
      <c r="D1452" s="2" t="s">
        <v>926</v>
      </c>
      <c r="E1452" s="4" t="n">
        <v>40.18</v>
      </c>
      <c r="F1452" s="4" t="n">
        <v>3.67</v>
      </c>
      <c r="G1452" s="4" t="n">
        <v>36.51</v>
      </c>
      <c r="H1452" s="2" t="s">
        <v>1381</v>
      </c>
    </row>
    <row r="1453" customFormat="false" ht="15" hidden="false" customHeight="false" outlineLevel="0" collapsed="false">
      <c r="A1453" s="2" t="s">
        <v>30</v>
      </c>
      <c r="B1453" s="2" t="s">
        <v>512</v>
      </c>
      <c r="C1453" s="2" t="s">
        <v>3059</v>
      </c>
      <c r="D1453" s="2" t="s">
        <v>514</v>
      </c>
      <c r="E1453" s="4" t="n">
        <v>0</v>
      </c>
      <c r="F1453" s="4" t="n">
        <v>0</v>
      </c>
      <c r="G1453" s="4" t="n">
        <v>0</v>
      </c>
      <c r="H1453" s="2" t="s">
        <v>1385</v>
      </c>
    </row>
    <row r="1454" customFormat="false" ht="15" hidden="false" customHeight="false" outlineLevel="0" collapsed="false">
      <c r="A1454" s="2" t="s">
        <v>30</v>
      </c>
      <c r="B1454" s="2" t="s">
        <v>465</v>
      </c>
      <c r="C1454" s="2" t="s">
        <v>3060</v>
      </c>
      <c r="D1454" s="2" t="s">
        <v>467</v>
      </c>
      <c r="E1454" s="4" t="n">
        <v>0</v>
      </c>
      <c r="F1454" s="4" t="n">
        <v>0</v>
      </c>
      <c r="G1454" s="4" t="n">
        <v>0</v>
      </c>
      <c r="H1454" s="2" t="s">
        <v>1385</v>
      </c>
    </row>
    <row r="1455" customFormat="false" ht="15" hidden="false" customHeight="false" outlineLevel="0" collapsed="false">
      <c r="A1455" s="2" t="s">
        <v>30</v>
      </c>
      <c r="B1455" s="2" t="s">
        <v>1949</v>
      </c>
      <c r="C1455" s="2" t="s">
        <v>3061</v>
      </c>
      <c r="D1455" s="2" t="s">
        <v>1951</v>
      </c>
      <c r="E1455" s="4" t="n">
        <v>0</v>
      </c>
      <c r="F1455" s="4" t="n">
        <v>0</v>
      </c>
      <c r="G1455" s="4" t="n">
        <v>0</v>
      </c>
      <c r="H1455" s="2" t="s">
        <v>1385</v>
      </c>
    </row>
    <row r="1456" customFormat="false" ht="15" hidden="false" customHeight="false" outlineLevel="0" collapsed="false">
      <c r="A1456" s="2" t="s">
        <v>30</v>
      </c>
      <c r="B1456" s="2" t="s">
        <v>984</v>
      </c>
      <c r="C1456" s="2" t="s">
        <v>1330</v>
      </c>
      <c r="D1456" s="2" t="s">
        <v>986</v>
      </c>
      <c r="E1456" s="4" t="n">
        <v>35.81</v>
      </c>
      <c r="F1456" s="4" t="n">
        <v>3.26</v>
      </c>
      <c r="G1456" s="4" t="n">
        <v>32.55</v>
      </c>
      <c r="H1456" s="2" t="s">
        <v>1381</v>
      </c>
    </row>
    <row r="1457" customFormat="false" ht="15" hidden="false" customHeight="false" outlineLevel="0" collapsed="false">
      <c r="A1457" s="2" t="s">
        <v>30</v>
      </c>
      <c r="B1457" s="2" t="s">
        <v>1583</v>
      </c>
      <c r="C1457" s="2" t="s">
        <v>3062</v>
      </c>
      <c r="D1457" s="2" t="s">
        <v>1585</v>
      </c>
      <c r="E1457" s="4" t="n">
        <v>155.89</v>
      </c>
      <c r="F1457" s="4" t="n">
        <v>14.17</v>
      </c>
      <c r="G1457" s="4" t="n">
        <v>141.72</v>
      </c>
      <c r="H1457" s="2" t="s">
        <v>1385</v>
      </c>
    </row>
    <row r="1458" customFormat="false" ht="15" hidden="false" customHeight="false" outlineLevel="0" collapsed="false">
      <c r="A1458" s="2" t="s">
        <v>30</v>
      </c>
      <c r="B1458" s="2" t="s">
        <v>2008</v>
      </c>
      <c r="C1458" s="2" t="s">
        <v>3063</v>
      </c>
      <c r="D1458" s="2" t="s">
        <v>2010</v>
      </c>
      <c r="E1458" s="4" t="n">
        <v>0</v>
      </c>
      <c r="F1458" s="4" t="n">
        <v>0</v>
      </c>
      <c r="G1458" s="4" t="n">
        <v>0</v>
      </c>
      <c r="H1458" s="2" t="s">
        <v>1385</v>
      </c>
    </row>
    <row r="1459" customFormat="false" ht="15" hidden="false" customHeight="false" outlineLevel="0" collapsed="false">
      <c r="A1459" s="2" t="s">
        <v>30</v>
      </c>
      <c r="B1459" s="2" t="s">
        <v>2827</v>
      </c>
      <c r="C1459" s="2" t="s">
        <v>3064</v>
      </c>
      <c r="D1459" s="2" t="s">
        <v>2829</v>
      </c>
      <c r="E1459" s="4" t="n">
        <v>41.65</v>
      </c>
      <c r="F1459" s="4" t="n">
        <v>3.8</v>
      </c>
      <c r="G1459" s="4" t="n">
        <v>37.85</v>
      </c>
      <c r="H1459" s="2" t="s">
        <v>1385</v>
      </c>
    </row>
    <row r="1460" customFormat="false" ht="15" hidden="false" customHeight="false" outlineLevel="0" collapsed="false">
      <c r="A1460" s="2" t="s">
        <v>30</v>
      </c>
      <c r="B1460" s="2" t="s">
        <v>1592</v>
      </c>
      <c r="C1460" s="2" t="s">
        <v>3065</v>
      </c>
      <c r="D1460" s="2" t="s">
        <v>1594</v>
      </c>
      <c r="E1460" s="4" t="n">
        <v>76.93</v>
      </c>
      <c r="F1460" s="4" t="n">
        <v>7</v>
      </c>
      <c r="G1460" s="4" t="n">
        <v>69.93</v>
      </c>
      <c r="H1460" s="2" t="s">
        <v>1385</v>
      </c>
    </row>
    <row r="1461" customFormat="false" ht="15" hidden="false" customHeight="false" outlineLevel="0" collapsed="false">
      <c r="A1461" s="2" t="s">
        <v>30</v>
      </c>
      <c r="B1461" s="2" t="s">
        <v>1715</v>
      </c>
      <c r="C1461" s="2" t="s">
        <v>3066</v>
      </c>
      <c r="D1461" s="2" t="s">
        <v>1717</v>
      </c>
      <c r="E1461" s="4" t="n">
        <v>1036.54</v>
      </c>
      <c r="F1461" s="4" t="n">
        <v>94.24</v>
      </c>
      <c r="G1461" s="4" t="n">
        <v>942.3</v>
      </c>
      <c r="H1461" s="2" t="s">
        <v>1385</v>
      </c>
    </row>
    <row r="1462" customFormat="false" ht="15" hidden="false" customHeight="false" outlineLevel="0" collapsed="false">
      <c r="A1462" s="2" t="s">
        <v>30</v>
      </c>
      <c r="B1462" s="2" t="s">
        <v>179</v>
      </c>
      <c r="C1462" s="2" t="s">
        <v>400</v>
      </c>
      <c r="D1462" s="2" t="s">
        <v>181</v>
      </c>
      <c r="E1462" s="4" t="n">
        <v>222.13</v>
      </c>
      <c r="F1462" s="4" t="n">
        <v>20.2</v>
      </c>
      <c r="G1462" s="4" t="n">
        <v>201.93</v>
      </c>
      <c r="H1462" s="2" t="s">
        <v>1381</v>
      </c>
    </row>
    <row r="1463" customFormat="false" ht="15" hidden="false" customHeight="false" outlineLevel="0" collapsed="false">
      <c r="A1463" s="2" t="s">
        <v>30</v>
      </c>
      <c r="B1463" s="2" t="s">
        <v>2563</v>
      </c>
      <c r="C1463" s="2" t="s">
        <v>3067</v>
      </c>
      <c r="D1463" s="2" t="s">
        <v>2565</v>
      </c>
      <c r="E1463" s="4" t="n">
        <v>45.42</v>
      </c>
      <c r="F1463" s="4" t="n">
        <v>4.13</v>
      </c>
      <c r="G1463" s="4" t="n">
        <v>41.29</v>
      </c>
      <c r="H1463" s="2" t="s">
        <v>1385</v>
      </c>
    </row>
    <row r="1464" customFormat="false" ht="15" hidden="false" customHeight="false" outlineLevel="0" collapsed="false">
      <c r="A1464" s="2" t="s">
        <v>30</v>
      </c>
      <c r="B1464" s="2" t="s">
        <v>81</v>
      </c>
      <c r="C1464" s="2" t="s">
        <v>3068</v>
      </c>
      <c r="D1464" s="2" t="s">
        <v>83</v>
      </c>
      <c r="E1464" s="4" t="n">
        <v>0</v>
      </c>
      <c r="F1464" s="4" t="n">
        <v>0</v>
      </c>
      <c r="G1464" s="4" t="n">
        <v>0</v>
      </c>
      <c r="H1464" s="2" t="s">
        <v>1385</v>
      </c>
    </row>
    <row r="1465" customFormat="false" ht="15" hidden="false" customHeight="false" outlineLevel="0" collapsed="false">
      <c r="A1465" s="2" t="s">
        <v>30</v>
      </c>
      <c r="B1465" s="2" t="s">
        <v>1217</v>
      </c>
      <c r="C1465" s="2" t="s">
        <v>1350</v>
      </c>
      <c r="D1465" s="2" t="s">
        <v>1219</v>
      </c>
      <c r="E1465" s="4" t="n">
        <v>27.79</v>
      </c>
      <c r="F1465" s="4" t="n">
        <v>2.53</v>
      </c>
      <c r="G1465" s="4" t="n">
        <v>25.26</v>
      </c>
      <c r="H1465" s="2" t="s">
        <v>1381</v>
      </c>
    </row>
    <row r="1466" customFormat="false" ht="15" hidden="false" customHeight="false" outlineLevel="0" collapsed="false">
      <c r="A1466" s="2" t="s">
        <v>30</v>
      </c>
      <c r="B1466" s="2" t="s">
        <v>1224</v>
      </c>
      <c r="C1466" s="2" t="s">
        <v>1356</v>
      </c>
      <c r="D1466" s="2" t="s">
        <v>1226</v>
      </c>
      <c r="E1466" s="4" t="n">
        <v>31.36</v>
      </c>
      <c r="F1466" s="4" t="n">
        <v>2.86</v>
      </c>
      <c r="G1466" s="4" t="n">
        <v>28.5</v>
      </c>
      <c r="H1466" s="2" t="s">
        <v>1381</v>
      </c>
    </row>
    <row r="1467" customFormat="false" ht="15" hidden="false" customHeight="false" outlineLevel="0" collapsed="false">
      <c r="A1467" s="2" t="s">
        <v>30</v>
      </c>
      <c r="B1467" s="2" t="s">
        <v>519</v>
      </c>
      <c r="C1467" s="2" t="s">
        <v>1172</v>
      </c>
      <c r="D1467" s="2" t="s">
        <v>521</v>
      </c>
      <c r="E1467" s="4" t="n">
        <v>88.3</v>
      </c>
      <c r="F1467" s="4" t="n">
        <v>8.03</v>
      </c>
      <c r="G1467" s="4" t="n">
        <v>80.27</v>
      </c>
      <c r="H1467" s="2" t="s">
        <v>1381</v>
      </c>
    </row>
    <row r="1468" customFormat="false" ht="15" hidden="false" customHeight="false" outlineLevel="0" collapsed="false">
      <c r="A1468" s="2" t="s">
        <v>30</v>
      </c>
      <c r="B1468" s="2" t="s">
        <v>1577</v>
      </c>
      <c r="C1468" s="2" t="s">
        <v>3069</v>
      </c>
      <c r="D1468" s="2" t="s">
        <v>1579</v>
      </c>
      <c r="E1468" s="4" t="n">
        <v>83.31</v>
      </c>
      <c r="F1468" s="4" t="n">
        <v>7.58</v>
      </c>
      <c r="G1468" s="4" t="n">
        <v>75.73</v>
      </c>
      <c r="H1468" s="2" t="s">
        <v>1385</v>
      </c>
    </row>
    <row r="1469" customFormat="false" ht="15" hidden="false" customHeight="false" outlineLevel="0" collapsed="false">
      <c r="A1469" s="2" t="s">
        <v>30</v>
      </c>
      <c r="B1469" s="2" t="s">
        <v>931</v>
      </c>
      <c r="C1469" s="2" t="s">
        <v>1346</v>
      </c>
      <c r="D1469" s="2" t="s">
        <v>933</v>
      </c>
      <c r="E1469" s="4" t="n">
        <v>36.86</v>
      </c>
      <c r="F1469" s="4" t="n">
        <v>3.35</v>
      </c>
      <c r="G1469" s="4" t="n">
        <v>33.51</v>
      </c>
      <c r="H1469" s="2" t="s">
        <v>1381</v>
      </c>
    </row>
    <row r="1470" customFormat="false" ht="15" hidden="false" customHeight="false" outlineLevel="0" collapsed="false">
      <c r="A1470" s="2" t="s">
        <v>30</v>
      </c>
      <c r="B1470" s="2" t="s">
        <v>116</v>
      </c>
      <c r="C1470" s="2" t="s">
        <v>195</v>
      </c>
      <c r="D1470" s="2" t="s">
        <v>118</v>
      </c>
      <c r="E1470" s="4" t="n">
        <v>242.64</v>
      </c>
      <c r="F1470" s="4" t="n">
        <v>22.06</v>
      </c>
      <c r="G1470" s="4" t="n">
        <v>220.58</v>
      </c>
      <c r="H1470" s="2" t="s">
        <v>1381</v>
      </c>
    </row>
    <row r="1471" customFormat="false" ht="15" hidden="false" customHeight="false" outlineLevel="0" collapsed="false">
      <c r="A1471" s="2" t="s">
        <v>30</v>
      </c>
      <c r="B1471" s="2" t="s">
        <v>1883</v>
      </c>
      <c r="C1471" s="2" t="s">
        <v>3070</v>
      </c>
      <c r="D1471" s="2" t="s">
        <v>1885</v>
      </c>
      <c r="E1471" s="4" t="n">
        <v>112.57</v>
      </c>
      <c r="F1471" s="4" t="n">
        <v>10.24</v>
      </c>
      <c r="G1471" s="4" t="n">
        <v>102.33</v>
      </c>
      <c r="H1471" s="2" t="s">
        <v>1385</v>
      </c>
    </row>
    <row r="1472" customFormat="false" ht="15" hidden="false" customHeight="false" outlineLevel="0" collapsed="false">
      <c r="A1472" s="2" t="s">
        <v>30</v>
      </c>
      <c r="B1472" s="2" t="s">
        <v>1237</v>
      </c>
      <c r="C1472" s="2" t="s">
        <v>1354</v>
      </c>
      <c r="D1472" s="2" t="s">
        <v>1239</v>
      </c>
      <c r="E1472" s="4" t="n">
        <v>34.43</v>
      </c>
      <c r="F1472" s="4" t="n">
        <v>3.14</v>
      </c>
      <c r="G1472" s="4" t="n">
        <v>31.29</v>
      </c>
      <c r="H1472" s="2" t="s">
        <v>1381</v>
      </c>
    </row>
    <row r="1473" customFormat="false" ht="15" hidden="false" customHeight="false" outlineLevel="0" collapsed="false">
      <c r="A1473" s="2" t="s">
        <v>30</v>
      </c>
      <c r="B1473" s="2" t="s">
        <v>1231</v>
      </c>
      <c r="C1473" s="2" t="s">
        <v>1352</v>
      </c>
      <c r="D1473" s="2" t="s">
        <v>1233</v>
      </c>
      <c r="E1473" s="4" t="n">
        <v>37.9</v>
      </c>
      <c r="F1473" s="4" t="n">
        <v>3.45</v>
      </c>
      <c r="G1473" s="4" t="n">
        <v>34.45</v>
      </c>
      <c r="H1473" s="2" t="s">
        <v>1381</v>
      </c>
    </row>
    <row r="1474" customFormat="false" ht="15" hidden="false" customHeight="false" outlineLevel="0" collapsed="false">
      <c r="A1474" s="2" t="s">
        <v>30</v>
      </c>
      <c r="B1474" s="2" t="s">
        <v>1535</v>
      </c>
      <c r="C1474" s="2" t="s">
        <v>3071</v>
      </c>
      <c r="D1474" s="2" t="s">
        <v>1537</v>
      </c>
      <c r="E1474" s="4" t="n">
        <v>68.07</v>
      </c>
      <c r="F1474" s="4" t="n">
        <v>6.19</v>
      </c>
      <c r="G1474" s="4" t="n">
        <v>61.88</v>
      </c>
      <c r="H1474" s="2" t="s">
        <v>1385</v>
      </c>
    </row>
    <row r="1475" customFormat="false" ht="15" hidden="false" customHeight="false" outlineLevel="0" collapsed="false">
      <c r="A1475" s="2" t="s">
        <v>30</v>
      </c>
      <c r="B1475" s="2" t="s">
        <v>1763</v>
      </c>
      <c r="C1475" s="2" t="s">
        <v>3072</v>
      </c>
      <c r="D1475" s="2" t="s">
        <v>1765</v>
      </c>
      <c r="E1475" s="4" t="n">
        <v>91.62</v>
      </c>
      <c r="F1475" s="4" t="n">
        <v>8.33</v>
      </c>
      <c r="G1475" s="4" t="n">
        <v>83.29</v>
      </c>
      <c r="H1475" s="2" t="s">
        <v>1385</v>
      </c>
    </row>
    <row r="1476" customFormat="false" ht="15" hidden="false" customHeight="false" outlineLevel="0" collapsed="false">
      <c r="A1476" s="2" t="s">
        <v>30</v>
      </c>
      <c r="B1476" s="2" t="s">
        <v>1967</v>
      </c>
      <c r="C1476" s="2" t="s">
        <v>3073</v>
      </c>
      <c r="D1476" s="2" t="s">
        <v>1588</v>
      </c>
      <c r="E1476" s="4" t="n">
        <v>0</v>
      </c>
      <c r="F1476" s="4" t="n">
        <v>0</v>
      </c>
      <c r="G1476" s="4" t="n">
        <v>0</v>
      </c>
      <c r="H1476" s="2" t="s">
        <v>1385</v>
      </c>
    </row>
    <row r="1477" customFormat="false" ht="15" hidden="false" customHeight="false" outlineLevel="0" collapsed="false">
      <c r="A1477" s="2" t="s">
        <v>30</v>
      </c>
      <c r="B1477" s="2" t="s">
        <v>1990</v>
      </c>
      <c r="C1477" s="2" t="s">
        <v>3074</v>
      </c>
      <c r="D1477" s="2" t="s">
        <v>1992</v>
      </c>
      <c r="E1477" s="4" t="n">
        <v>0</v>
      </c>
      <c r="F1477" s="4" t="n">
        <v>0</v>
      </c>
      <c r="G1477" s="4" t="n">
        <v>0</v>
      </c>
      <c r="H1477" s="2" t="s">
        <v>1385</v>
      </c>
    </row>
    <row r="1478" customFormat="false" ht="15" hidden="false" customHeight="false" outlineLevel="0" collapsed="false">
      <c r="A1478" s="2" t="s">
        <v>30</v>
      </c>
      <c r="B1478" s="2" t="s">
        <v>1969</v>
      </c>
      <c r="C1478" s="2" t="s">
        <v>3075</v>
      </c>
      <c r="D1478" s="2" t="s">
        <v>1588</v>
      </c>
      <c r="E1478" s="4" t="n">
        <v>0</v>
      </c>
      <c r="F1478" s="4" t="n">
        <v>0</v>
      </c>
      <c r="G1478" s="4" t="n">
        <v>0</v>
      </c>
      <c r="H1478" s="2" t="s">
        <v>1385</v>
      </c>
    </row>
    <row r="1479" customFormat="false" ht="15" hidden="false" customHeight="false" outlineLevel="0" collapsed="false">
      <c r="A1479" s="2" t="s">
        <v>30</v>
      </c>
      <c r="B1479" s="2" t="s">
        <v>99</v>
      </c>
      <c r="C1479" s="2" t="s">
        <v>3076</v>
      </c>
      <c r="D1479" s="2" t="s">
        <v>101</v>
      </c>
      <c r="E1479" s="4" t="n">
        <v>0</v>
      </c>
      <c r="F1479" s="4" t="n">
        <v>0</v>
      </c>
      <c r="G1479" s="4" t="n">
        <v>0</v>
      </c>
      <c r="H1479" s="2" t="s">
        <v>1385</v>
      </c>
    </row>
    <row r="1480" customFormat="false" ht="15" hidden="false" customHeight="false" outlineLevel="0" collapsed="false">
      <c r="A1480" s="2" t="s">
        <v>30</v>
      </c>
      <c r="B1480" s="2" t="s">
        <v>1943</v>
      </c>
      <c r="C1480" s="2" t="s">
        <v>3077</v>
      </c>
      <c r="D1480" s="2" t="s">
        <v>1945</v>
      </c>
      <c r="E1480" s="4" t="n">
        <v>0</v>
      </c>
      <c r="F1480" s="4" t="n">
        <v>0</v>
      </c>
      <c r="G1480" s="4" t="n">
        <v>0</v>
      </c>
      <c r="H1480" s="2" t="s">
        <v>1385</v>
      </c>
    </row>
    <row r="1481" customFormat="false" ht="15" hidden="false" customHeight="false" outlineLevel="0" collapsed="false">
      <c r="A1481" s="2" t="s">
        <v>30</v>
      </c>
      <c r="B1481" s="2" t="s">
        <v>458</v>
      </c>
      <c r="C1481" s="2" t="s">
        <v>3078</v>
      </c>
      <c r="D1481" s="2" t="s">
        <v>460</v>
      </c>
      <c r="E1481" s="4" t="n">
        <v>0</v>
      </c>
      <c r="F1481" s="4" t="n">
        <v>0</v>
      </c>
      <c r="G1481" s="4" t="n">
        <v>0</v>
      </c>
      <c r="H1481" s="2" t="s">
        <v>1385</v>
      </c>
    </row>
    <row r="1482" customFormat="false" ht="15" hidden="false" customHeight="false" outlineLevel="0" collapsed="false">
      <c r="A1482" s="2" t="s">
        <v>30</v>
      </c>
      <c r="B1482" s="2" t="s">
        <v>1999</v>
      </c>
      <c r="C1482" s="2" t="s">
        <v>3079</v>
      </c>
      <c r="D1482" s="2" t="s">
        <v>2001</v>
      </c>
      <c r="E1482" s="4" t="n">
        <v>0</v>
      </c>
      <c r="F1482" s="4" t="n">
        <v>0</v>
      </c>
      <c r="G1482" s="4" t="n">
        <v>0</v>
      </c>
      <c r="H1482" s="2" t="s">
        <v>1385</v>
      </c>
    </row>
    <row r="1483" customFormat="false" ht="15" hidden="false" customHeight="false" outlineLevel="0" collapsed="false">
      <c r="A1483" s="2" t="s">
        <v>30</v>
      </c>
      <c r="B1483" s="2" t="s">
        <v>1520</v>
      </c>
      <c r="C1483" s="2" t="s">
        <v>3080</v>
      </c>
      <c r="D1483" s="2" t="s">
        <v>1522</v>
      </c>
      <c r="E1483" s="4" t="n">
        <v>109.63</v>
      </c>
      <c r="F1483" s="4" t="n">
        <v>9.96</v>
      </c>
      <c r="G1483" s="4" t="n">
        <v>99.67</v>
      </c>
      <c r="H1483" s="2" t="s">
        <v>1385</v>
      </c>
    </row>
    <row r="1484" customFormat="false" ht="15" hidden="false" customHeight="false" outlineLevel="0" collapsed="false">
      <c r="A1484" s="2" t="s">
        <v>30</v>
      </c>
      <c r="B1484" s="2" t="s">
        <v>451</v>
      </c>
      <c r="C1484" s="2" t="s">
        <v>3081</v>
      </c>
      <c r="D1484" s="2" t="s">
        <v>453</v>
      </c>
      <c r="E1484" s="4" t="n">
        <v>0</v>
      </c>
      <c r="F1484" s="4" t="n">
        <v>0</v>
      </c>
      <c r="G1484" s="4" t="n">
        <v>0</v>
      </c>
      <c r="H1484" s="2" t="s">
        <v>1385</v>
      </c>
    </row>
    <row r="1485" customFormat="false" ht="15" hidden="false" customHeight="false" outlineLevel="0" collapsed="false">
      <c r="A1485" s="2" t="s">
        <v>30</v>
      </c>
      <c r="B1485" s="2" t="s">
        <v>1826</v>
      </c>
      <c r="C1485" s="2" t="s">
        <v>3082</v>
      </c>
      <c r="D1485" s="2" t="s">
        <v>1828</v>
      </c>
      <c r="E1485" s="4" t="n">
        <v>1408.37</v>
      </c>
      <c r="F1485" s="4" t="n">
        <v>131.57</v>
      </c>
      <c r="G1485" s="4" t="n">
        <v>1276.8</v>
      </c>
      <c r="H1485" s="2" t="s">
        <v>1385</v>
      </c>
    </row>
    <row r="1486" customFormat="false" ht="15" hidden="false" customHeight="false" outlineLevel="0" collapsed="false">
      <c r="A1486" s="2" t="s">
        <v>30</v>
      </c>
      <c r="B1486" s="2" t="s">
        <v>1952</v>
      </c>
      <c r="C1486" s="2" t="s">
        <v>3083</v>
      </c>
      <c r="D1486" s="2" t="s">
        <v>1954</v>
      </c>
      <c r="E1486" s="4" t="n">
        <v>0</v>
      </c>
      <c r="F1486" s="4" t="n">
        <v>0</v>
      </c>
      <c r="G1486" s="4" t="n">
        <v>0</v>
      </c>
      <c r="H1486" s="2" t="s">
        <v>1385</v>
      </c>
    </row>
    <row r="1487" customFormat="false" ht="15" hidden="false" customHeight="false" outlineLevel="0" collapsed="false">
      <c r="A1487" s="2" t="s">
        <v>30</v>
      </c>
      <c r="B1487" s="2" t="s">
        <v>1691</v>
      </c>
      <c r="C1487" s="2" t="s">
        <v>3084</v>
      </c>
      <c r="D1487" s="2" t="s">
        <v>1693</v>
      </c>
      <c r="E1487" s="4" t="n">
        <v>1680.38</v>
      </c>
      <c r="F1487" s="4" t="n">
        <v>152.79</v>
      </c>
      <c r="G1487" s="4" t="n">
        <v>1527.59</v>
      </c>
      <c r="H1487" s="2" t="s">
        <v>1385</v>
      </c>
    </row>
    <row r="1488" customFormat="false" ht="15" hidden="false" customHeight="false" outlineLevel="0" collapsed="false">
      <c r="A1488" s="2" t="s">
        <v>30</v>
      </c>
      <c r="B1488" s="2" t="s">
        <v>1958</v>
      </c>
      <c r="C1488" s="2" t="s">
        <v>3085</v>
      </c>
      <c r="D1488" s="2" t="s">
        <v>1960</v>
      </c>
      <c r="E1488" s="4" t="n">
        <v>0</v>
      </c>
      <c r="F1488" s="4" t="n">
        <v>0</v>
      </c>
      <c r="G1488" s="4" t="n">
        <v>0</v>
      </c>
      <c r="H1488" s="2" t="s">
        <v>1385</v>
      </c>
    </row>
    <row r="1489" customFormat="false" ht="15" hidden="false" customHeight="false" outlineLevel="0" collapsed="false">
      <c r="A1489" s="2" t="s">
        <v>30</v>
      </c>
      <c r="B1489" s="2" t="s">
        <v>1670</v>
      </c>
      <c r="C1489" s="2" t="s">
        <v>3086</v>
      </c>
      <c r="D1489" s="2" t="s">
        <v>1672</v>
      </c>
      <c r="E1489" s="4" t="n">
        <v>995.98</v>
      </c>
      <c r="F1489" s="4" t="n">
        <v>90.55</v>
      </c>
      <c r="G1489" s="4" t="n">
        <v>905.43</v>
      </c>
      <c r="H1489" s="2" t="s">
        <v>1385</v>
      </c>
    </row>
    <row r="1490" customFormat="false" ht="15" hidden="false" customHeight="false" outlineLevel="0" collapsed="false">
      <c r="A1490" s="2" t="s">
        <v>30</v>
      </c>
      <c r="B1490" s="2" t="s">
        <v>1904</v>
      </c>
      <c r="C1490" s="2" t="s">
        <v>3087</v>
      </c>
      <c r="D1490" s="2" t="s">
        <v>1906</v>
      </c>
      <c r="E1490" s="4" t="n">
        <v>0</v>
      </c>
      <c r="F1490" s="4" t="n">
        <v>0</v>
      </c>
      <c r="G1490" s="4" t="n">
        <v>0</v>
      </c>
      <c r="H1490" s="2" t="s">
        <v>1385</v>
      </c>
    </row>
    <row r="1491" customFormat="false" ht="15" hidden="false" customHeight="false" outlineLevel="0" collapsed="false">
      <c r="A1491" s="2" t="s">
        <v>30</v>
      </c>
      <c r="B1491" s="2" t="s">
        <v>1243</v>
      </c>
      <c r="C1491" s="2" t="s">
        <v>1366</v>
      </c>
      <c r="D1491" s="2" t="s">
        <v>1245</v>
      </c>
      <c r="E1491" s="4" t="n">
        <v>27.79</v>
      </c>
      <c r="F1491" s="4" t="n">
        <v>2.53</v>
      </c>
      <c r="G1491" s="4" t="n">
        <v>25.26</v>
      </c>
      <c r="H1491" s="2" t="s">
        <v>1381</v>
      </c>
    </row>
    <row r="1492" customFormat="false" ht="15" hidden="false" customHeight="false" outlineLevel="0" collapsed="false">
      <c r="A1492" s="2" t="s">
        <v>30</v>
      </c>
      <c r="B1492" s="2" t="s">
        <v>1742</v>
      </c>
      <c r="C1492" s="2" t="s">
        <v>3088</v>
      </c>
      <c r="D1492" s="2" t="s">
        <v>1744</v>
      </c>
      <c r="E1492" s="4" t="n">
        <v>537.53</v>
      </c>
      <c r="F1492" s="4" t="n">
        <v>48.87</v>
      </c>
      <c r="G1492" s="4" t="n">
        <v>488.66</v>
      </c>
      <c r="H1492" s="2" t="s">
        <v>1385</v>
      </c>
    </row>
    <row r="1493" customFormat="false" ht="15" hidden="false" customHeight="false" outlineLevel="0" collapsed="false">
      <c r="A1493" s="2" t="s">
        <v>30</v>
      </c>
      <c r="B1493" s="2" t="s">
        <v>1811</v>
      </c>
      <c r="C1493" s="2" t="s">
        <v>3089</v>
      </c>
      <c r="D1493" s="2" t="s">
        <v>1813</v>
      </c>
      <c r="E1493" s="4" t="n">
        <v>46.81</v>
      </c>
      <c r="F1493" s="4" t="n">
        <v>4.26</v>
      </c>
      <c r="G1493" s="4" t="n">
        <v>42.55</v>
      </c>
      <c r="H1493" s="2" t="s">
        <v>1385</v>
      </c>
    </row>
    <row r="1494" customFormat="false" ht="15" hidden="false" customHeight="false" outlineLevel="0" collapsed="false">
      <c r="A1494" s="2" t="s">
        <v>30</v>
      </c>
      <c r="B1494" s="2" t="s">
        <v>1961</v>
      </c>
      <c r="C1494" s="2" t="s">
        <v>3090</v>
      </c>
      <c r="D1494" s="2" t="s">
        <v>1963</v>
      </c>
      <c r="E1494" s="4" t="n">
        <v>0</v>
      </c>
      <c r="F1494" s="4" t="n">
        <v>0</v>
      </c>
      <c r="G1494" s="4" t="n">
        <v>0</v>
      </c>
      <c r="H1494" s="2" t="s">
        <v>1385</v>
      </c>
    </row>
    <row r="1495" customFormat="false" ht="15" hidden="false" customHeight="false" outlineLevel="0" collapsed="false">
      <c r="A1495" s="2" t="s">
        <v>30</v>
      </c>
      <c r="B1495" s="2" t="s">
        <v>2002</v>
      </c>
      <c r="C1495" s="2" t="s">
        <v>3091</v>
      </c>
      <c r="D1495" s="2" t="s">
        <v>2004</v>
      </c>
      <c r="E1495" s="4" t="n">
        <v>0</v>
      </c>
      <c r="F1495" s="4" t="n">
        <v>0</v>
      </c>
      <c r="G1495" s="4" t="n">
        <v>0</v>
      </c>
      <c r="H1495" s="2" t="s">
        <v>1385</v>
      </c>
    </row>
    <row r="1496" customFormat="false" ht="15" hidden="false" customHeight="false" outlineLevel="0" collapsed="false">
      <c r="A1496" s="2" t="s">
        <v>30</v>
      </c>
      <c r="B1496" s="2" t="s">
        <v>1898</v>
      </c>
      <c r="C1496" s="2" t="s">
        <v>3092</v>
      </c>
      <c r="D1496" s="2" t="s">
        <v>1900</v>
      </c>
      <c r="E1496" s="4" t="n">
        <v>0</v>
      </c>
      <c r="F1496" s="4" t="n">
        <v>0</v>
      </c>
      <c r="G1496" s="4" t="n">
        <v>0</v>
      </c>
      <c r="H1496" s="2" t="s">
        <v>1385</v>
      </c>
    </row>
    <row r="1497" customFormat="false" ht="15" hidden="false" customHeight="false" outlineLevel="0" collapsed="false">
      <c r="A1497" s="2" t="s">
        <v>30</v>
      </c>
      <c r="B1497" s="2" t="s">
        <v>361</v>
      </c>
      <c r="C1497" s="2" t="s">
        <v>3093</v>
      </c>
      <c r="D1497" s="2" t="s">
        <v>363</v>
      </c>
      <c r="E1497" s="4" t="n">
        <v>0</v>
      </c>
      <c r="F1497" s="4" t="n">
        <v>0</v>
      </c>
      <c r="G1497" s="4" t="n">
        <v>0</v>
      </c>
      <c r="H1497" s="2" t="s">
        <v>1385</v>
      </c>
    </row>
    <row r="1498" customFormat="false" ht="15" hidden="false" customHeight="false" outlineLevel="0" collapsed="false">
      <c r="A1498" s="2" t="s">
        <v>30</v>
      </c>
      <c r="B1498" s="2" t="s">
        <v>1859</v>
      </c>
      <c r="C1498" s="2" t="s">
        <v>3094</v>
      </c>
      <c r="D1498" s="2" t="s">
        <v>1861</v>
      </c>
      <c r="E1498" s="4" t="n">
        <v>44.29</v>
      </c>
      <c r="F1498" s="4" t="n">
        <v>4.03</v>
      </c>
      <c r="G1498" s="4" t="n">
        <v>40.26</v>
      </c>
      <c r="H1498" s="2" t="s">
        <v>1385</v>
      </c>
    </row>
    <row r="1499" customFormat="false" ht="15" hidden="false" customHeight="false" outlineLevel="0" collapsed="false">
      <c r="A1499" s="2" t="s">
        <v>30</v>
      </c>
      <c r="B1499" s="2" t="s">
        <v>1601</v>
      </c>
      <c r="C1499" s="2" t="s">
        <v>3095</v>
      </c>
      <c r="D1499" s="2" t="s">
        <v>1603</v>
      </c>
      <c r="E1499" s="4" t="n">
        <v>27.79</v>
      </c>
      <c r="F1499" s="4" t="n">
        <v>2.53</v>
      </c>
      <c r="G1499" s="4" t="n">
        <v>25.26</v>
      </c>
      <c r="H1499" s="2" t="s">
        <v>1385</v>
      </c>
    </row>
    <row r="1500" customFormat="false" ht="15" hidden="false" customHeight="false" outlineLevel="0" collapsed="false">
      <c r="A1500" s="2" t="s">
        <v>30</v>
      </c>
      <c r="B1500" s="2" t="s">
        <v>1847</v>
      </c>
      <c r="C1500" s="2" t="s">
        <v>3096</v>
      </c>
      <c r="D1500" s="2" t="s">
        <v>1849</v>
      </c>
      <c r="E1500" s="4" t="n">
        <v>68.93</v>
      </c>
      <c r="F1500" s="4" t="n">
        <v>6.27</v>
      </c>
      <c r="G1500" s="4" t="n">
        <v>62.66</v>
      </c>
      <c r="H1500" s="2" t="s">
        <v>1385</v>
      </c>
    </row>
    <row r="1501" customFormat="false" ht="15" hidden="false" customHeight="false" outlineLevel="0" collapsed="false">
      <c r="A1501" s="2" t="s">
        <v>30</v>
      </c>
      <c r="B1501" s="2" t="s">
        <v>1613</v>
      </c>
      <c r="C1501" s="2" t="s">
        <v>3097</v>
      </c>
      <c r="D1501" s="2" t="s">
        <v>1615</v>
      </c>
      <c r="E1501" s="4" t="n">
        <v>120.81</v>
      </c>
      <c r="F1501" s="4" t="n">
        <v>11</v>
      </c>
      <c r="G1501" s="4" t="n">
        <v>109.81</v>
      </c>
      <c r="H1501" s="2" t="s">
        <v>1385</v>
      </c>
    </row>
    <row r="1502" customFormat="false" ht="15" hidden="false" customHeight="false" outlineLevel="0" collapsed="false">
      <c r="A1502" s="2" t="s">
        <v>30</v>
      </c>
      <c r="B1502" s="2" t="s">
        <v>420</v>
      </c>
      <c r="C1502" s="2" t="s">
        <v>3098</v>
      </c>
      <c r="D1502" s="2" t="s">
        <v>422</v>
      </c>
      <c r="E1502" s="4" t="n">
        <v>0</v>
      </c>
      <c r="F1502" s="4" t="n">
        <v>0</v>
      </c>
      <c r="G1502" s="4" t="n">
        <v>0</v>
      </c>
      <c r="H1502" s="2" t="s">
        <v>1385</v>
      </c>
    </row>
    <row r="1503" customFormat="false" ht="15" hidden="false" customHeight="false" outlineLevel="0" collapsed="false">
      <c r="A1503" s="2" t="s">
        <v>30</v>
      </c>
      <c r="B1503" s="2" t="s">
        <v>1993</v>
      </c>
      <c r="C1503" s="2" t="s">
        <v>3099</v>
      </c>
      <c r="D1503" s="2" t="s">
        <v>1995</v>
      </c>
      <c r="E1503" s="4" t="n">
        <v>0</v>
      </c>
      <c r="F1503" s="4" t="n">
        <v>0</v>
      </c>
      <c r="G1503" s="4" t="n">
        <v>0</v>
      </c>
      <c r="H1503" s="2" t="s">
        <v>1385</v>
      </c>
    </row>
    <row r="1504" customFormat="false" ht="15" hidden="false" customHeight="false" outlineLevel="0" collapsed="false">
      <c r="A1504" s="2" t="s">
        <v>30</v>
      </c>
      <c r="B1504" s="2" t="s">
        <v>1925</v>
      </c>
      <c r="C1504" s="2" t="s">
        <v>3100</v>
      </c>
      <c r="D1504" s="2" t="s">
        <v>1927</v>
      </c>
      <c r="E1504" s="4" t="n">
        <v>0</v>
      </c>
      <c r="F1504" s="4" t="n">
        <v>0</v>
      </c>
      <c r="G1504" s="4" t="n">
        <v>0</v>
      </c>
      <c r="H1504" s="2" t="s">
        <v>1385</v>
      </c>
    </row>
    <row r="1505" customFormat="false" ht="15" hidden="false" customHeight="false" outlineLevel="0" collapsed="false">
      <c r="A1505" s="2" t="s">
        <v>30</v>
      </c>
      <c r="B1505" s="2" t="s">
        <v>367</v>
      </c>
      <c r="C1505" s="2" t="s">
        <v>3101</v>
      </c>
      <c r="D1505" s="2" t="s">
        <v>369</v>
      </c>
      <c r="E1505" s="4" t="n">
        <v>0</v>
      </c>
      <c r="F1505" s="4" t="n">
        <v>0</v>
      </c>
      <c r="G1505" s="4" t="n">
        <v>0</v>
      </c>
      <c r="H1505" s="2" t="s">
        <v>1385</v>
      </c>
    </row>
    <row r="1506" customFormat="false" ht="15" hidden="false" customHeight="false" outlineLevel="0" collapsed="false">
      <c r="A1506" s="2" t="s">
        <v>30</v>
      </c>
      <c r="B1506" s="2" t="s">
        <v>1889</v>
      </c>
      <c r="C1506" s="2" t="s">
        <v>3102</v>
      </c>
      <c r="D1506" s="2" t="s">
        <v>1891</v>
      </c>
      <c r="E1506" s="4" t="n">
        <v>801.19</v>
      </c>
      <c r="F1506" s="4" t="n">
        <v>72.84</v>
      </c>
      <c r="G1506" s="4" t="n">
        <v>728.35</v>
      </c>
      <c r="H1506" s="2" t="s">
        <v>1385</v>
      </c>
    </row>
    <row r="1507" customFormat="false" ht="15" hidden="false" customHeight="false" outlineLevel="0" collapsed="false">
      <c r="A1507" s="2" t="s">
        <v>30</v>
      </c>
      <c r="B1507" s="2" t="s">
        <v>1574</v>
      </c>
      <c r="C1507" s="2" t="s">
        <v>3103</v>
      </c>
      <c r="D1507" s="2" t="s">
        <v>1576</v>
      </c>
      <c r="E1507" s="4" t="n">
        <v>1951.51</v>
      </c>
      <c r="F1507" s="4" t="n">
        <v>177.42</v>
      </c>
      <c r="G1507" s="4" t="n">
        <v>1774.09</v>
      </c>
      <c r="H1507" s="2" t="s">
        <v>1385</v>
      </c>
    </row>
    <row r="1508" customFormat="false" ht="15" hidden="false" customHeight="false" outlineLevel="0" collapsed="false">
      <c r="A1508" s="2" t="s">
        <v>30</v>
      </c>
      <c r="B1508" s="2" t="s">
        <v>1931</v>
      </c>
      <c r="C1508" s="2" t="s">
        <v>3104</v>
      </c>
      <c r="D1508" s="2" t="s">
        <v>1933</v>
      </c>
      <c r="E1508" s="4" t="n">
        <v>0</v>
      </c>
      <c r="F1508" s="4" t="n">
        <v>0</v>
      </c>
      <c r="G1508" s="4" t="n">
        <v>0</v>
      </c>
      <c r="H1508" s="2" t="s">
        <v>1385</v>
      </c>
    </row>
    <row r="1509" customFormat="false" ht="15" hidden="false" customHeight="false" outlineLevel="0" collapsed="false">
      <c r="A1509" s="2" t="s">
        <v>30</v>
      </c>
      <c r="B1509" s="2" t="s">
        <v>393</v>
      </c>
      <c r="C1509" s="2" t="s">
        <v>3105</v>
      </c>
      <c r="D1509" s="2" t="s">
        <v>395</v>
      </c>
      <c r="E1509" s="4" t="n">
        <v>0</v>
      </c>
      <c r="F1509" s="4" t="n">
        <v>0</v>
      </c>
      <c r="G1509" s="4" t="n">
        <v>0</v>
      </c>
      <c r="H1509" s="2" t="s">
        <v>1385</v>
      </c>
    </row>
    <row r="1510" customFormat="false" ht="15" hidden="false" customHeight="false" outlineLevel="0" collapsed="false">
      <c r="A1510" s="2" t="s">
        <v>30</v>
      </c>
      <c r="B1510" s="2" t="s">
        <v>1996</v>
      </c>
      <c r="C1510" s="2" t="s">
        <v>3106</v>
      </c>
      <c r="D1510" s="2" t="s">
        <v>1998</v>
      </c>
      <c r="E1510" s="4" t="n">
        <v>0</v>
      </c>
      <c r="F1510" s="4" t="n">
        <v>0</v>
      </c>
      <c r="G1510" s="4" t="n">
        <v>0</v>
      </c>
      <c r="H1510" s="2" t="s">
        <v>1385</v>
      </c>
    </row>
    <row r="1511" customFormat="false" ht="15" hidden="false" customHeight="false" outlineLevel="0" collapsed="false">
      <c r="A1511" s="2" t="s">
        <v>30</v>
      </c>
      <c r="B1511" s="2" t="s">
        <v>1580</v>
      </c>
      <c r="C1511" s="2" t="s">
        <v>3107</v>
      </c>
      <c r="D1511" s="2" t="s">
        <v>1582</v>
      </c>
      <c r="E1511" s="4" t="n">
        <v>974.39</v>
      </c>
      <c r="F1511" s="4" t="n">
        <v>88.58</v>
      </c>
      <c r="G1511" s="4" t="n">
        <v>885.81</v>
      </c>
      <c r="H1511" s="2" t="s">
        <v>1385</v>
      </c>
    </row>
    <row r="1512" customFormat="false" ht="15" hidden="false" customHeight="false" outlineLevel="0" collapsed="false">
      <c r="A1512" s="2" t="s">
        <v>30</v>
      </c>
      <c r="B1512" s="2" t="s">
        <v>1526</v>
      </c>
      <c r="C1512" s="2" t="s">
        <v>3108</v>
      </c>
      <c r="D1512" s="2" t="s">
        <v>1528</v>
      </c>
      <c r="E1512" s="4" t="n">
        <v>44.66</v>
      </c>
      <c r="F1512" s="4" t="n">
        <v>4.07</v>
      </c>
      <c r="G1512" s="4" t="n">
        <v>40.59</v>
      </c>
      <c r="H1512" s="2" t="s">
        <v>1385</v>
      </c>
    </row>
    <row r="1513" customFormat="false" ht="15" hidden="false" customHeight="false" outlineLevel="0" collapsed="false">
      <c r="A1513" s="2" t="s">
        <v>30</v>
      </c>
      <c r="B1513" s="2" t="s">
        <v>1814</v>
      </c>
      <c r="C1513" s="2" t="s">
        <v>3109</v>
      </c>
      <c r="D1513" s="2" t="s">
        <v>1816</v>
      </c>
      <c r="E1513" s="4" t="n">
        <v>44.62</v>
      </c>
      <c r="F1513" s="4" t="n">
        <v>4.06</v>
      </c>
      <c r="G1513" s="4" t="n">
        <v>40.56</v>
      </c>
      <c r="H1513" s="2" t="s">
        <v>1385</v>
      </c>
    </row>
    <row r="1514" customFormat="false" ht="15" hidden="false" customHeight="false" outlineLevel="0" collapsed="false">
      <c r="A1514" s="2" t="s">
        <v>30</v>
      </c>
      <c r="B1514" s="2" t="s">
        <v>1643</v>
      </c>
      <c r="C1514" s="2" t="s">
        <v>3110</v>
      </c>
      <c r="D1514" s="2" t="s">
        <v>1645</v>
      </c>
      <c r="E1514" s="4" t="n">
        <v>45.81</v>
      </c>
      <c r="F1514" s="4" t="n">
        <v>4.17</v>
      </c>
      <c r="G1514" s="4" t="n">
        <v>41.64</v>
      </c>
      <c r="H1514" s="2" t="s">
        <v>1385</v>
      </c>
    </row>
    <row r="1515" customFormat="false" ht="15" hidden="false" customHeight="false" outlineLevel="0" collapsed="false">
      <c r="A1515" s="2" t="s">
        <v>30</v>
      </c>
      <c r="B1515" s="2" t="s">
        <v>1874</v>
      </c>
      <c r="C1515" s="2" t="s">
        <v>3111</v>
      </c>
      <c r="D1515" s="2" t="s">
        <v>1876</v>
      </c>
      <c r="E1515" s="4" t="n">
        <v>44.11</v>
      </c>
      <c r="F1515" s="4" t="n">
        <v>4.01</v>
      </c>
      <c r="G1515" s="4" t="n">
        <v>40.1</v>
      </c>
      <c r="H1515" s="2" t="s">
        <v>1385</v>
      </c>
    </row>
    <row r="1516" customFormat="false" ht="15" hidden="false" customHeight="false" outlineLevel="0" collapsed="false">
      <c r="A1516" s="2" t="s">
        <v>30</v>
      </c>
      <c r="B1516" s="2" t="s">
        <v>277</v>
      </c>
      <c r="C1516" s="2" t="s">
        <v>3112</v>
      </c>
      <c r="D1516" s="2" t="s">
        <v>279</v>
      </c>
      <c r="E1516" s="4" t="n">
        <v>0</v>
      </c>
      <c r="F1516" s="4" t="n">
        <v>0</v>
      </c>
      <c r="G1516" s="4" t="n">
        <v>0</v>
      </c>
      <c r="H1516" s="2" t="s">
        <v>1385</v>
      </c>
    </row>
    <row r="1517" customFormat="false" ht="15" hidden="false" customHeight="false" outlineLevel="0" collapsed="false">
      <c r="A1517" s="2" t="s">
        <v>30</v>
      </c>
      <c r="B1517" s="2" t="s">
        <v>1984</v>
      </c>
      <c r="C1517" s="2" t="s">
        <v>3113</v>
      </c>
      <c r="D1517" s="2" t="s">
        <v>1986</v>
      </c>
      <c r="E1517" s="4" t="n">
        <v>0</v>
      </c>
      <c r="F1517" s="4" t="n">
        <v>0</v>
      </c>
      <c r="G1517" s="4" t="n">
        <v>0</v>
      </c>
      <c r="H1517" s="2" t="s">
        <v>1385</v>
      </c>
    </row>
    <row r="1518" customFormat="false" ht="15" hidden="false" customHeight="false" outlineLevel="0" collapsed="false">
      <c r="A1518" s="2" t="s">
        <v>30</v>
      </c>
      <c r="B1518" s="2" t="s">
        <v>1940</v>
      </c>
      <c r="C1518" s="2" t="s">
        <v>3114</v>
      </c>
      <c r="D1518" s="2" t="s">
        <v>1942</v>
      </c>
      <c r="E1518" s="4" t="n">
        <v>0</v>
      </c>
      <c r="F1518" s="4" t="n">
        <v>0</v>
      </c>
      <c r="G1518" s="4" t="n">
        <v>0</v>
      </c>
      <c r="H1518" s="2" t="s">
        <v>1385</v>
      </c>
    </row>
    <row r="1519" customFormat="false" ht="15" hidden="false" customHeight="false" outlineLevel="0" collapsed="false">
      <c r="A1519" s="2" t="s">
        <v>30</v>
      </c>
      <c r="B1519" s="2" t="s">
        <v>292</v>
      </c>
      <c r="C1519" s="2" t="s">
        <v>3115</v>
      </c>
      <c r="D1519" s="2" t="s">
        <v>294</v>
      </c>
      <c r="E1519" s="4" t="n">
        <v>0</v>
      </c>
      <c r="F1519" s="4" t="n">
        <v>0</v>
      </c>
      <c r="G1519" s="4" t="n">
        <v>0</v>
      </c>
      <c r="H1519" s="2" t="s">
        <v>1385</v>
      </c>
    </row>
    <row r="1520" customFormat="false" ht="15" hidden="false" customHeight="false" outlineLevel="0" collapsed="false">
      <c r="A1520" s="2" t="s">
        <v>30</v>
      </c>
      <c r="B1520" s="2" t="s">
        <v>1568</v>
      </c>
      <c r="C1520" s="2" t="s">
        <v>3116</v>
      </c>
      <c r="D1520" s="2" t="s">
        <v>1570</v>
      </c>
      <c r="E1520" s="4" t="n">
        <v>195.29</v>
      </c>
      <c r="F1520" s="4" t="n">
        <v>17.75</v>
      </c>
      <c r="G1520" s="4" t="n">
        <v>177.54</v>
      </c>
      <c r="H1520" s="2" t="s">
        <v>1385</v>
      </c>
    </row>
    <row r="1521" customFormat="false" ht="15" hidden="false" customHeight="false" outlineLevel="0" collapsed="false">
      <c r="A1521" s="2" t="s">
        <v>30</v>
      </c>
      <c r="B1521" s="2" t="s">
        <v>336</v>
      </c>
      <c r="C1521" s="2" t="s">
        <v>3117</v>
      </c>
      <c r="D1521" s="2" t="s">
        <v>338</v>
      </c>
      <c r="E1521" s="4" t="n">
        <v>0</v>
      </c>
      <c r="F1521" s="4" t="n">
        <v>0</v>
      </c>
      <c r="G1521" s="4" t="n">
        <v>0</v>
      </c>
      <c r="H1521" s="2" t="s">
        <v>1385</v>
      </c>
    </row>
    <row r="1522" customFormat="false" ht="15" hidden="false" customHeight="false" outlineLevel="0" collapsed="false">
      <c r="A1522" s="2" t="s">
        <v>30</v>
      </c>
      <c r="B1522" s="2" t="s">
        <v>1586</v>
      </c>
      <c r="C1522" s="2" t="s">
        <v>3118</v>
      </c>
      <c r="D1522" s="2" t="s">
        <v>1588</v>
      </c>
      <c r="E1522" s="4" t="n">
        <v>1193.01</v>
      </c>
      <c r="F1522" s="4" t="n">
        <v>108.46</v>
      </c>
      <c r="G1522" s="4" t="n">
        <v>1084.55</v>
      </c>
      <c r="H1522" s="2" t="s">
        <v>1385</v>
      </c>
    </row>
    <row r="1523" customFormat="false" ht="15" hidden="false" customHeight="false" outlineLevel="0" collapsed="false">
      <c r="A1523" s="2" t="s">
        <v>30</v>
      </c>
      <c r="B1523" s="2" t="s">
        <v>1955</v>
      </c>
      <c r="C1523" s="2" t="s">
        <v>3119</v>
      </c>
      <c r="D1523" s="2" t="s">
        <v>1957</v>
      </c>
      <c r="E1523" s="4" t="n">
        <v>0</v>
      </c>
      <c r="F1523" s="4" t="n">
        <v>0</v>
      </c>
      <c r="G1523" s="4" t="n">
        <v>0</v>
      </c>
      <c r="H1523" s="2" t="s">
        <v>1385</v>
      </c>
    </row>
    <row r="1524" customFormat="false" ht="15" hidden="false" customHeight="false" outlineLevel="0" collapsed="false">
      <c r="A1524" s="2" t="s">
        <v>30</v>
      </c>
      <c r="B1524" s="2" t="s">
        <v>1934</v>
      </c>
      <c r="C1524" s="2" t="s">
        <v>3120</v>
      </c>
      <c r="D1524" s="2" t="s">
        <v>1936</v>
      </c>
      <c r="E1524" s="4" t="n">
        <v>0</v>
      </c>
      <c r="F1524" s="4" t="n">
        <v>0</v>
      </c>
      <c r="G1524" s="4" t="n">
        <v>0</v>
      </c>
      <c r="H1524" s="2" t="s">
        <v>1385</v>
      </c>
    </row>
    <row r="1525" customFormat="false" ht="15" hidden="false" customHeight="false" outlineLevel="0" collapsed="false">
      <c r="A1525" s="2" t="s">
        <v>30</v>
      </c>
      <c r="B1525" s="2" t="s">
        <v>1616</v>
      </c>
      <c r="C1525" s="2" t="s">
        <v>3121</v>
      </c>
      <c r="D1525" s="2" t="s">
        <v>1618</v>
      </c>
      <c r="E1525" s="4" t="n">
        <v>184.24</v>
      </c>
      <c r="F1525" s="4" t="n">
        <v>16.75</v>
      </c>
      <c r="G1525" s="4" t="n">
        <v>167.49</v>
      </c>
      <c r="H1525" s="2" t="s">
        <v>1385</v>
      </c>
    </row>
    <row r="1526" customFormat="false" ht="15" hidden="false" customHeight="false" outlineLevel="0" collapsed="false">
      <c r="A1526" s="2" t="s">
        <v>30</v>
      </c>
      <c r="B1526" s="2" t="s">
        <v>1619</v>
      </c>
      <c r="C1526" s="2" t="s">
        <v>3122</v>
      </c>
      <c r="D1526" s="2" t="s">
        <v>1621</v>
      </c>
      <c r="E1526" s="4" t="n">
        <v>64.5</v>
      </c>
      <c r="F1526" s="4" t="n">
        <v>5.87</v>
      </c>
      <c r="G1526" s="4" t="n">
        <v>58.63</v>
      </c>
      <c r="H1526" s="2" t="s">
        <v>1385</v>
      </c>
    </row>
    <row r="1527" customFormat="false" ht="15" hidden="false" customHeight="false" outlineLevel="0" collapsed="false">
      <c r="A1527" s="2" t="s">
        <v>30</v>
      </c>
      <c r="B1527" s="2" t="s">
        <v>1688</v>
      </c>
      <c r="C1527" s="2" t="s">
        <v>3123</v>
      </c>
      <c r="D1527" s="2" t="s">
        <v>1690</v>
      </c>
      <c r="E1527" s="4" t="n">
        <v>297.88</v>
      </c>
      <c r="F1527" s="4" t="n">
        <v>27.08</v>
      </c>
      <c r="G1527" s="4" t="n">
        <v>270.8</v>
      </c>
      <c r="H1527" s="2" t="s">
        <v>1385</v>
      </c>
    </row>
    <row r="1528" customFormat="false" ht="15" hidden="false" customHeight="false" outlineLevel="0" collapsed="false">
      <c r="A1528" s="2" t="s">
        <v>30</v>
      </c>
      <c r="B1528" s="2" t="s">
        <v>1772</v>
      </c>
      <c r="C1528" s="2" t="s">
        <v>3124</v>
      </c>
      <c r="D1528" s="2" t="s">
        <v>1774</v>
      </c>
      <c r="E1528" s="4" t="n">
        <v>98.17</v>
      </c>
      <c r="F1528" s="4" t="n">
        <v>8.93</v>
      </c>
      <c r="G1528" s="4" t="n">
        <v>89.24</v>
      </c>
      <c r="H1528" s="2" t="s">
        <v>1385</v>
      </c>
    </row>
    <row r="1529" customFormat="false" ht="15" hidden="false" customHeight="false" outlineLevel="0" collapsed="false">
      <c r="A1529" s="2" t="s">
        <v>30</v>
      </c>
      <c r="B1529" s="2" t="s">
        <v>1547</v>
      </c>
      <c r="C1529" s="2" t="s">
        <v>3125</v>
      </c>
      <c r="D1529" s="2" t="s">
        <v>1549</v>
      </c>
      <c r="E1529" s="4" t="n">
        <v>76.82</v>
      </c>
      <c r="F1529" s="4" t="n">
        <v>6.99</v>
      </c>
      <c r="G1529" s="4" t="n">
        <v>69.83</v>
      </c>
      <c r="H1529" s="2" t="s">
        <v>1385</v>
      </c>
    </row>
    <row r="1530" customFormat="false" ht="15" hidden="false" customHeight="false" outlineLevel="0" collapsed="false">
      <c r="A1530" s="2" t="s">
        <v>30</v>
      </c>
      <c r="B1530" s="2" t="s">
        <v>1026</v>
      </c>
      <c r="C1530" s="2" t="s">
        <v>1198</v>
      </c>
      <c r="D1530" s="2" t="s">
        <v>1028</v>
      </c>
      <c r="E1530" s="4" t="n">
        <v>58.62</v>
      </c>
      <c r="F1530" s="4" t="n">
        <v>5.33</v>
      </c>
      <c r="G1530" s="4" t="n">
        <v>53.29</v>
      </c>
      <c r="H1530" s="2" t="s">
        <v>1381</v>
      </c>
    </row>
    <row r="1531" customFormat="false" ht="15" hidden="false" customHeight="false" outlineLevel="0" collapsed="false">
      <c r="A1531" s="2" t="s">
        <v>30</v>
      </c>
      <c r="B1531" s="2" t="s">
        <v>1712</v>
      </c>
      <c r="C1531" s="2" t="s">
        <v>3126</v>
      </c>
      <c r="D1531" s="2" t="s">
        <v>1714</v>
      </c>
      <c r="E1531" s="4" t="n">
        <v>1306.49</v>
      </c>
      <c r="F1531" s="4" t="n">
        <v>118.78</v>
      </c>
      <c r="G1531" s="4" t="n">
        <v>1187.71</v>
      </c>
      <c r="H1531" s="2" t="s">
        <v>1385</v>
      </c>
    </row>
    <row r="1532" customFormat="false" ht="15" hidden="false" customHeight="false" outlineLevel="0" collapsed="false">
      <c r="A1532" s="2" t="s">
        <v>30</v>
      </c>
      <c r="B1532" s="2" t="s">
        <v>1778</v>
      </c>
      <c r="C1532" s="2" t="s">
        <v>3127</v>
      </c>
      <c r="D1532" s="2" t="s">
        <v>2445</v>
      </c>
      <c r="E1532" s="4" t="n">
        <v>66.52</v>
      </c>
      <c r="F1532" s="4" t="n">
        <v>6.05</v>
      </c>
      <c r="G1532" s="4" t="n">
        <v>60.47</v>
      </c>
      <c r="H1532" s="2" t="s">
        <v>1385</v>
      </c>
    </row>
    <row r="1533" customFormat="false" ht="15" hidden="false" customHeight="false" outlineLevel="0" collapsed="false">
      <c r="A1533" s="2" t="s">
        <v>30</v>
      </c>
      <c r="B1533" s="2" t="s">
        <v>1733</v>
      </c>
      <c r="C1533" s="2" t="s">
        <v>3128</v>
      </c>
      <c r="D1533" s="2" t="s">
        <v>1735</v>
      </c>
      <c r="E1533" s="4" t="n">
        <v>5195.44</v>
      </c>
      <c r="F1533" s="4" t="n">
        <v>472.32</v>
      </c>
      <c r="G1533" s="4" t="n">
        <v>4723.12</v>
      </c>
      <c r="H1533" s="2" t="s">
        <v>1385</v>
      </c>
    </row>
    <row r="1534" customFormat="false" ht="15" hidden="false" customHeight="false" outlineLevel="0" collapsed="false">
      <c r="A1534" s="2" t="s">
        <v>30</v>
      </c>
      <c r="B1534" s="2" t="s">
        <v>1751</v>
      </c>
      <c r="C1534" s="2" t="s">
        <v>3129</v>
      </c>
      <c r="D1534" s="2" t="s">
        <v>1753</v>
      </c>
      <c r="E1534" s="4" t="n">
        <v>31.19</v>
      </c>
      <c r="F1534" s="4" t="n">
        <v>2.84</v>
      </c>
      <c r="G1534" s="4" t="n">
        <v>28.35</v>
      </c>
      <c r="H1534" s="2" t="s">
        <v>1385</v>
      </c>
    </row>
    <row r="1535" customFormat="false" ht="15" hidden="false" customHeight="false" outlineLevel="0" collapsed="false">
      <c r="A1535" s="2" t="s">
        <v>30</v>
      </c>
      <c r="B1535" s="2" t="s">
        <v>1622</v>
      </c>
      <c r="C1535" s="2" t="s">
        <v>3130</v>
      </c>
      <c r="D1535" s="2" t="s">
        <v>1624</v>
      </c>
      <c r="E1535" s="4" t="n">
        <v>67.86</v>
      </c>
      <c r="F1535" s="4" t="n">
        <v>6.17</v>
      </c>
      <c r="G1535" s="4" t="n">
        <v>61.69</v>
      </c>
      <c r="H1535" s="2" t="s">
        <v>1385</v>
      </c>
    </row>
    <row r="1536" customFormat="false" ht="15" hidden="false" customHeight="false" outlineLevel="0" collapsed="false">
      <c r="A1536" s="2" t="s">
        <v>30</v>
      </c>
      <c r="B1536" s="2" t="s">
        <v>1019</v>
      </c>
      <c r="C1536" s="2" t="s">
        <v>1196</v>
      </c>
      <c r="D1536" s="2" t="s">
        <v>1021</v>
      </c>
      <c r="E1536" s="4" t="n">
        <v>56.07</v>
      </c>
      <c r="F1536" s="4" t="n">
        <v>5.1</v>
      </c>
      <c r="G1536" s="4" t="n">
        <v>50.97</v>
      </c>
      <c r="H1536" s="2" t="s">
        <v>1381</v>
      </c>
    </row>
    <row r="1537" customFormat="false" ht="15" hidden="false" customHeight="false" outlineLevel="0" collapsed="false">
      <c r="A1537" s="2" t="s">
        <v>30</v>
      </c>
      <c r="B1537" s="2" t="s">
        <v>1634</v>
      </c>
      <c r="C1537" s="2" t="s">
        <v>3131</v>
      </c>
      <c r="D1537" s="2" t="s">
        <v>1636</v>
      </c>
      <c r="E1537" s="4" t="n">
        <v>27.18</v>
      </c>
      <c r="F1537" s="4" t="n">
        <v>2.47</v>
      </c>
      <c r="G1537" s="4" t="n">
        <v>24.71</v>
      </c>
      <c r="H1537" s="2" t="s">
        <v>1385</v>
      </c>
    </row>
    <row r="1538" customFormat="false" ht="15" hidden="false" customHeight="false" outlineLevel="0" collapsed="false">
      <c r="A1538" s="2" t="s">
        <v>30</v>
      </c>
      <c r="B1538" s="2" t="s">
        <v>1760</v>
      </c>
      <c r="C1538" s="2" t="s">
        <v>3132</v>
      </c>
      <c r="D1538" s="2" t="s">
        <v>1762</v>
      </c>
      <c r="E1538" s="4" t="n">
        <v>93.48</v>
      </c>
      <c r="F1538" s="4" t="n">
        <v>8.5</v>
      </c>
      <c r="G1538" s="4" t="n">
        <v>84.98</v>
      </c>
      <c r="H1538" s="2" t="s">
        <v>1385</v>
      </c>
    </row>
    <row r="1539" customFormat="false" ht="15" hidden="false" customHeight="false" outlineLevel="0" collapsed="false">
      <c r="A1539" s="2" t="s">
        <v>30</v>
      </c>
      <c r="B1539" s="2" t="s">
        <v>1598</v>
      </c>
      <c r="C1539" s="2" t="s">
        <v>3133</v>
      </c>
      <c r="D1539" s="2" t="s">
        <v>1600</v>
      </c>
      <c r="E1539" s="4" t="n">
        <v>51.13</v>
      </c>
      <c r="F1539" s="4" t="n">
        <v>4.65</v>
      </c>
      <c r="G1539" s="4" t="n">
        <v>46.48</v>
      </c>
      <c r="H1539" s="2" t="s">
        <v>1385</v>
      </c>
    </row>
    <row r="1540" customFormat="false" ht="15" hidden="false" customHeight="false" outlineLevel="0" collapsed="false">
      <c r="A1540" s="2" t="s">
        <v>30</v>
      </c>
      <c r="B1540" s="2" t="s">
        <v>1790</v>
      </c>
      <c r="C1540" s="2" t="s">
        <v>3134</v>
      </c>
      <c r="D1540" s="2" t="s">
        <v>1792</v>
      </c>
      <c r="E1540" s="4" t="n">
        <v>60.99</v>
      </c>
      <c r="F1540" s="4" t="n">
        <v>5.55</v>
      </c>
      <c r="G1540" s="4" t="n">
        <v>55.44</v>
      </c>
      <c r="H1540" s="2" t="s">
        <v>1385</v>
      </c>
    </row>
    <row r="1541" customFormat="false" ht="15" hidden="false" customHeight="false" outlineLevel="0" collapsed="false">
      <c r="A1541" s="2" t="s">
        <v>30</v>
      </c>
      <c r="B1541" s="2" t="s">
        <v>1658</v>
      </c>
      <c r="C1541" s="2" t="s">
        <v>3135</v>
      </c>
      <c r="D1541" s="2" t="s">
        <v>1660</v>
      </c>
      <c r="E1541" s="4" t="n">
        <v>60.72</v>
      </c>
      <c r="F1541" s="4" t="n">
        <v>5.52</v>
      </c>
      <c r="G1541" s="4" t="n">
        <v>55.2</v>
      </c>
      <c r="H1541" s="2" t="s">
        <v>1385</v>
      </c>
    </row>
    <row r="1542" customFormat="false" ht="15" hidden="false" customHeight="false" outlineLevel="0" collapsed="false">
      <c r="A1542" s="2" t="s">
        <v>30</v>
      </c>
      <c r="B1542" s="2" t="s">
        <v>1571</v>
      </c>
      <c r="C1542" s="2" t="s">
        <v>3136</v>
      </c>
      <c r="D1542" s="2" t="s">
        <v>1573</v>
      </c>
      <c r="E1542" s="4" t="n">
        <v>112.72</v>
      </c>
      <c r="F1542" s="4" t="n">
        <v>10.25</v>
      </c>
      <c r="G1542" s="4" t="n">
        <v>102.47</v>
      </c>
      <c r="H1542" s="2" t="s">
        <v>1385</v>
      </c>
    </row>
    <row r="1543" customFormat="false" ht="15" hidden="false" customHeight="false" outlineLevel="0" collapsed="false">
      <c r="A1543" s="2" t="s">
        <v>30</v>
      </c>
      <c r="B1543" s="2" t="s">
        <v>1787</v>
      </c>
      <c r="C1543" s="2" t="s">
        <v>3137</v>
      </c>
      <c r="D1543" s="2" t="s">
        <v>1789</v>
      </c>
      <c r="E1543" s="4" t="n">
        <v>60.05</v>
      </c>
      <c r="F1543" s="4" t="n">
        <v>5.46</v>
      </c>
      <c r="G1543" s="4" t="n">
        <v>54.59</v>
      </c>
      <c r="H1543" s="2" t="s">
        <v>1385</v>
      </c>
    </row>
    <row r="1544" customFormat="false" ht="15" hidden="false" customHeight="false" outlineLevel="0" collapsed="false">
      <c r="A1544" s="2" t="s">
        <v>30</v>
      </c>
      <c r="B1544" s="2" t="s">
        <v>1841</v>
      </c>
      <c r="C1544" s="2" t="s">
        <v>3138</v>
      </c>
      <c r="D1544" s="2" t="s">
        <v>1843</v>
      </c>
      <c r="E1544" s="4" t="n">
        <v>31.73</v>
      </c>
      <c r="F1544" s="4" t="n">
        <v>2.89</v>
      </c>
      <c r="G1544" s="4" t="n">
        <v>28.84</v>
      </c>
      <c r="H1544" s="2" t="s">
        <v>1385</v>
      </c>
    </row>
    <row r="1545" customFormat="false" ht="15" hidden="false" customHeight="false" outlineLevel="0" collapsed="false">
      <c r="A1545" s="2" t="s">
        <v>30</v>
      </c>
      <c r="B1545" s="2" t="s">
        <v>1005</v>
      </c>
      <c r="C1545" s="2" t="s">
        <v>1192</v>
      </c>
      <c r="D1545" s="2" t="s">
        <v>1007</v>
      </c>
      <c r="E1545" s="4" t="n">
        <v>47.15</v>
      </c>
      <c r="F1545" s="4" t="n">
        <v>4.29</v>
      </c>
      <c r="G1545" s="4" t="n">
        <v>42.86</v>
      </c>
      <c r="H1545" s="2" t="s">
        <v>1381</v>
      </c>
    </row>
    <row r="1546" customFormat="false" ht="15" hidden="false" customHeight="false" outlineLevel="0" collapsed="false">
      <c r="A1546" s="2" t="s">
        <v>30</v>
      </c>
      <c r="B1546" s="2" t="s">
        <v>1012</v>
      </c>
      <c r="C1546" s="2" t="s">
        <v>1194</v>
      </c>
      <c r="D1546" s="2" t="s">
        <v>1014</v>
      </c>
      <c r="E1546" s="4" t="n">
        <v>31.19</v>
      </c>
      <c r="F1546" s="4" t="n">
        <v>2.84</v>
      </c>
      <c r="G1546" s="4" t="n">
        <v>28.35</v>
      </c>
      <c r="H1546" s="2" t="s">
        <v>1381</v>
      </c>
    </row>
    <row r="1547" customFormat="false" ht="15" hidden="false" customHeight="false" outlineLevel="0" collapsed="false">
      <c r="A1547" s="2" t="s">
        <v>30</v>
      </c>
      <c r="B1547" s="2" t="s">
        <v>999</v>
      </c>
      <c r="C1547" s="2" t="s">
        <v>1190</v>
      </c>
      <c r="D1547" s="2" t="s">
        <v>1001</v>
      </c>
      <c r="E1547" s="4" t="n">
        <v>31.19</v>
      </c>
      <c r="F1547" s="4" t="n">
        <v>2.84</v>
      </c>
      <c r="G1547" s="4" t="n">
        <v>28.35</v>
      </c>
      <c r="H1547" s="2" t="s">
        <v>1381</v>
      </c>
    </row>
    <row r="1548" customFormat="false" ht="15" hidden="false" customHeight="false" outlineLevel="0" collapsed="false">
      <c r="A1548" s="2" t="s">
        <v>30</v>
      </c>
      <c r="B1548" s="2" t="s">
        <v>1544</v>
      </c>
      <c r="C1548" s="2" t="s">
        <v>3139</v>
      </c>
      <c r="D1548" s="2" t="s">
        <v>1546</v>
      </c>
      <c r="E1548" s="4" t="n">
        <v>44.42</v>
      </c>
      <c r="F1548" s="4" t="n">
        <v>4.04</v>
      </c>
      <c r="G1548" s="4" t="n">
        <v>40.38</v>
      </c>
      <c r="H1548" s="2" t="s">
        <v>1385</v>
      </c>
    </row>
    <row r="1549" customFormat="false" ht="15" hidden="false" customHeight="false" outlineLevel="0" collapsed="false">
      <c r="A1549" s="2" t="s">
        <v>30</v>
      </c>
      <c r="B1549" s="2" t="s">
        <v>1823</v>
      </c>
      <c r="C1549" s="2" t="s">
        <v>3140</v>
      </c>
      <c r="D1549" s="2" t="s">
        <v>1825</v>
      </c>
      <c r="E1549" s="4" t="n">
        <v>90.43</v>
      </c>
      <c r="F1549" s="4" t="n">
        <v>8.23</v>
      </c>
      <c r="G1549" s="4" t="n">
        <v>82.2</v>
      </c>
      <c r="H1549" s="2" t="s">
        <v>1385</v>
      </c>
    </row>
    <row r="1550" customFormat="false" ht="15" hidden="false" customHeight="false" outlineLevel="0" collapsed="false">
      <c r="A1550" s="2" t="s">
        <v>30</v>
      </c>
      <c r="B1550" s="2" t="s">
        <v>945</v>
      </c>
      <c r="C1550" s="2" t="s">
        <v>1176</v>
      </c>
      <c r="D1550" s="2" t="s">
        <v>947</v>
      </c>
      <c r="E1550" s="4" t="n">
        <v>32.11</v>
      </c>
      <c r="F1550" s="4" t="n">
        <v>2.92</v>
      </c>
      <c r="G1550" s="4" t="n">
        <v>29.19</v>
      </c>
      <c r="H1550" s="2" t="s">
        <v>1381</v>
      </c>
    </row>
    <row r="1551" customFormat="false" ht="15" hidden="false" customHeight="false" outlineLevel="0" collapsed="false">
      <c r="A1551" s="2" t="s">
        <v>30</v>
      </c>
      <c r="B1551" s="2" t="s">
        <v>1604</v>
      </c>
      <c r="C1551" s="2" t="s">
        <v>3141</v>
      </c>
      <c r="D1551" s="2" t="s">
        <v>1606</v>
      </c>
      <c r="E1551" s="4" t="n">
        <v>1079.35</v>
      </c>
      <c r="F1551" s="4" t="n">
        <v>98.13</v>
      </c>
      <c r="G1551" s="4" t="n">
        <v>981.22</v>
      </c>
      <c r="H1551" s="2" t="s">
        <v>1385</v>
      </c>
    </row>
    <row r="1552" customFormat="false" ht="15" hidden="false" customHeight="false" outlineLevel="0" collapsed="false">
      <c r="A1552" s="2" t="s">
        <v>30</v>
      </c>
      <c r="B1552" s="2" t="s">
        <v>1862</v>
      </c>
      <c r="C1552" s="2" t="s">
        <v>3142</v>
      </c>
      <c r="D1552" s="2" t="s">
        <v>1864</v>
      </c>
      <c r="E1552" s="4" t="n">
        <v>3220.59</v>
      </c>
      <c r="F1552" s="4" t="n">
        <v>292.79</v>
      </c>
      <c r="G1552" s="4" t="n">
        <v>2927.8</v>
      </c>
      <c r="H1552" s="2" t="s">
        <v>1385</v>
      </c>
    </row>
    <row r="1553" customFormat="false" ht="15" hidden="false" customHeight="false" outlineLevel="0" collapsed="false">
      <c r="A1553" s="2" t="s">
        <v>30</v>
      </c>
      <c r="B1553" s="2" t="s">
        <v>1868</v>
      </c>
      <c r="C1553" s="2" t="s">
        <v>3143</v>
      </c>
      <c r="D1553" s="2" t="s">
        <v>1870</v>
      </c>
      <c r="E1553" s="4" t="n">
        <v>243.49</v>
      </c>
      <c r="F1553" s="4" t="n">
        <v>22.14</v>
      </c>
      <c r="G1553" s="4" t="n">
        <v>221.35</v>
      </c>
      <c r="H1553" s="2" t="s">
        <v>1385</v>
      </c>
    </row>
    <row r="1554" customFormat="false" ht="15" hidden="false" customHeight="false" outlineLevel="0" collapsed="false">
      <c r="A1554" s="2" t="s">
        <v>30</v>
      </c>
      <c r="B1554" s="2" t="s">
        <v>1673</v>
      </c>
      <c r="C1554" s="2" t="s">
        <v>3144</v>
      </c>
      <c r="D1554" s="2" t="s">
        <v>1675</v>
      </c>
      <c r="E1554" s="4" t="n">
        <v>285.6</v>
      </c>
      <c r="F1554" s="4" t="n">
        <v>25.97</v>
      </c>
      <c r="G1554" s="4" t="n">
        <v>259.63</v>
      </c>
      <c r="H1554" s="2" t="s">
        <v>1385</v>
      </c>
    </row>
    <row r="1555" customFormat="false" ht="15" hidden="false" customHeight="false" outlineLevel="0" collapsed="false">
      <c r="A1555" s="2" t="s">
        <v>30</v>
      </c>
      <c r="B1555" s="2" t="s">
        <v>1607</v>
      </c>
      <c r="C1555" s="2" t="s">
        <v>3145</v>
      </c>
      <c r="D1555" s="2" t="s">
        <v>1609</v>
      </c>
      <c r="E1555" s="4" t="n">
        <v>46.06</v>
      </c>
      <c r="F1555" s="4" t="n">
        <v>4.19</v>
      </c>
      <c r="G1555" s="4" t="n">
        <v>41.87</v>
      </c>
      <c r="H1555" s="2" t="s">
        <v>1385</v>
      </c>
    </row>
    <row r="1556" customFormat="false" ht="15" hidden="false" customHeight="false" outlineLevel="0" collapsed="false">
      <c r="A1556" s="2" t="s">
        <v>30</v>
      </c>
      <c r="B1556" s="2" t="s">
        <v>1703</v>
      </c>
      <c r="C1556" s="2" t="s">
        <v>3146</v>
      </c>
      <c r="D1556" s="2" t="s">
        <v>1705</v>
      </c>
      <c r="E1556" s="4" t="n">
        <v>98.37</v>
      </c>
      <c r="F1556" s="4" t="n">
        <v>8.95</v>
      </c>
      <c r="G1556" s="4" t="n">
        <v>89.42</v>
      </c>
      <c r="H1556" s="2" t="s">
        <v>1385</v>
      </c>
    </row>
    <row r="1557" customFormat="false" ht="15" hidden="false" customHeight="false" outlineLevel="0" collapsed="false">
      <c r="A1557" s="2" t="s">
        <v>30</v>
      </c>
      <c r="B1557" s="2" t="s">
        <v>1871</v>
      </c>
      <c r="C1557" s="2" t="s">
        <v>3147</v>
      </c>
      <c r="D1557" s="2" t="s">
        <v>1873</v>
      </c>
      <c r="E1557" s="4" t="n">
        <v>83.5</v>
      </c>
      <c r="F1557" s="4" t="n">
        <v>7.6</v>
      </c>
      <c r="G1557" s="4" t="n">
        <v>75.9</v>
      </c>
      <c r="H1557" s="2" t="s">
        <v>1385</v>
      </c>
    </row>
    <row r="1558" customFormat="false" ht="15" hidden="false" customHeight="false" outlineLevel="0" collapsed="false">
      <c r="A1558" s="2" t="s">
        <v>30</v>
      </c>
      <c r="B1558" s="2" t="s">
        <v>533</v>
      </c>
      <c r="C1558" s="2" t="s">
        <v>1180</v>
      </c>
      <c r="D1558" s="2" t="s">
        <v>535</v>
      </c>
      <c r="E1558" s="4" t="n">
        <v>49.4</v>
      </c>
      <c r="F1558" s="4" t="n">
        <v>4.5</v>
      </c>
      <c r="G1558" s="4" t="n">
        <v>44.9</v>
      </c>
      <c r="H1558" s="2" t="s">
        <v>1381</v>
      </c>
    </row>
    <row r="1559" customFormat="false" ht="15" hidden="false" customHeight="false" outlineLevel="0" collapsed="false">
      <c r="A1559" s="2" t="s">
        <v>30</v>
      </c>
      <c r="B1559" s="2" t="s">
        <v>816</v>
      </c>
      <c r="C1559" s="2" t="s">
        <v>1168</v>
      </c>
      <c r="D1559" s="2" t="s">
        <v>818</v>
      </c>
      <c r="E1559" s="4" t="n">
        <v>63.27</v>
      </c>
      <c r="F1559" s="4" t="n">
        <v>5.76</v>
      </c>
      <c r="G1559" s="4" t="n">
        <v>57.51</v>
      </c>
      <c r="H1559" s="2" t="s">
        <v>1381</v>
      </c>
    </row>
    <row r="1560" customFormat="false" ht="15" hidden="false" customHeight="false" outlineLevel="0" collapsed="false">
      <c r="A1560" s="2" t="s">
        <v>30</v>
      </c>
      <c r="B1560" s="2" t="s">
        <v>965</v>
      </c>
      <c r="C1560" s="2" t="s">
        <v>1184</v>
      </c>
      <c r="D1560" s="2" t="s">
        <v>967</v>
      </c>
      <c r="E1560" s="4" t="n">
        <v>31.19</v>
      </c>
      <c r="F1560" s="4" t="n">
        <v>2.84</v>
      </c>
      <c r="G1560" s="4" t="n">
        <v>28.35</v>
      </c>
      <c r="H1560" s="2" t="s">
        <v>1381</v>
      </c>
    </row>
    <row r="1561" customFormat="false" ht="15" hidden="false" customHeight="false" outlineLevel="0" collapsed="false">
      <c r="A1561" s="2" t="s">
        <v>30</v>
      </c>
      <c r="B1561" s="2" t="s">
        <v>1829</v>
      </c>
      <c r="C1561" s="2" t="s">
        <v>3148</v>
      </c>
      <c r="D1561" s="2" t="s">
        <v>1831</v>
      </c>
      <c r="E1561" s="4" t="n">
        <v>49.02</v>
      </c>
      <c r="F1561" s="4" t="n">
        <v>4.46</v>
      </c>
      <c r="G1561" s="4" t="n">
        <v>44.56</v>
      </c>
      <c r="H1561" s="2" t="s">
        <v>1385</v>
      </c>
    </row>
    <row r="1562" customFormat="false" ht="15" hidden="false" customHeight="false" outlineLevel="0" collapsed="false">
      <c r="A1562" s="2" t="s">
        <v>30</v>
      </c>
      <c r="B1562" s="2" t="s">
        <v>1679</v>
      </c>
      <c r="C1562" s="2" t="s">
        <v>3149</v>
      </c>
      <c r="D1562" s="2" t="s">
        <v>1681</v>
      </c>
      <c r="E1562" s="4" t="n">
        <v>150.18</v>
      </c>
      <c r="F1562" s="4" t="n">
        <v>13.66</v>
      </c>
      <c r="G1562" s="4" t="n">
        <v>136.52</v>
      </c>
      <c r="H1562" s="2" t="s">
        <v>1385</v>
      </c>
    </row>
    <row r="1563" customFormat="false" ht="15" hidden="false" customHeight="false" outlineLevel="0" collapsed="false">
      <c r="A1563" s="2" t="s">
        <v>30</v>
      </c>
      <c r="B1563" s="2" t="s">
        <v>661</v>
      </c>
      <c r="C1563" s="2" t="s">
        <v>802</v>
      </c>
      <c r="D1563" s="2" t="s">
        <v>663</v>
      </c>
      <c r="E1563" s="4" t="n">
        <v>86.83</v>
      </c>
      <c r="F1563" s="4" t="n">
        <v>7.9</v>
      </c>
      <c r="G1563" s="4" t="n">
        <v>78.93</v>
      </c>
      <c r="H1563" s="2" t="s">
        <v>1381</v>
      </c>
    </row>
    <row r="1564" customFormat="false" ht="15" hidden="false" customHeight="false" outlineLevel="0" collapsed="false">
      <c r="A1564" s="2" t="s">
        <v>30</v>
      </c>
      <c r="B1564" s="2" t="s">
        <v>1250</v>
      </c>
      <c r="C1564" s="2" t="s">
        <v>1336</v>
      </c>
      <c r="D1564" s="2" t="s">
        <v>1252</v>
      </c>
      <c r="E1564" s="4" t="n">
        <v>33.98</v>
      </c>
      <c r="F1564" s="4" t="n">
        <v>3.09</v>
      </c>
      <c r="G1564" s="4" t="n">
        <v>30.89</v>
      </c>
      <c r="H1564" s="2" t="s">
        <v>1381</v>
      </c>
    </row>
    <row r="1565" customFormat="false" ht="15" hidden="false" customHeight="false" outlineLevel="0" collapsed="false">
      <c r="A1565" s="2" t="s">
        <v>30</v>
      </c>
      <c r="B1565" s="2" t="s">
        <v>822</v>
      </c>
      <c r="C1565" s="2" t="s">
        <v>1174</v>
      </c>
      <c r="D1565" s="2" t="s">
        <v>824</v>
      </c>
      <c r="E1565" s="4" t="n">
        <v>54.35</v>
      </c>
      <c r="F1565" s="4" t="n">
        <v>4.95</v>
      </c>
      <c r="G1565" s="4" t="n">
        <v>49.4</v>
      </c>
      <c r="H1565" s="2" t="s">
        <v>1381</v>
      </c>
    </row>
    <row r="1566" customFormat="false" ht="15" hidden="false" customHeight="false" outlineLevel="0" collapsed="false">
      <c r="A1566" s="2" t="s">
        <v>30</v>
      </c>
      <c r="B1566" s="2" t="s">
        <v>1640</v>
      </c>
      <c r="C1566" s="2" t="s">
        <v>3150</v>
      </c>
      <c r="D1566" s="2" t="s">
        <v>1642</v>
      </c>
      <c r="E1566" s="4" t="n">
        <v>1871.44</v>
      </c>
      <c r="F1566" s="4" t="n">
        <v>170.14</v>
      </c>
      <c r="G1566" s="4" t="n">
        <v>1701.3</v>
      </c>
      <c r="H1566" s="2" t="s">
        <v>1385</v>
      </c>
    </row>
    <row r="1567" customFormat="false" ht="15" hidden="false" customHeight="false" outlineLevel="0" collapsed="false">
      <c r="A1567" s="2" t="s">
        <v>30</v>
      </c>
      <c r="B1567" s="2" t="s">
        <v>1724</v>
      </c>
      <c r="C1567" s="2" t="s">
        <v>3151</v>
      </c>
      <c r="D1567" s="2" t="s">
        <v>1726</v>
      </c>
      <c r="E1567" s="4" t="n">
        <v>52.03</v>
      </c>
      <c r="F1567" s="4" t="n">
        <v>4.73</v>
      </c>
      <c r="G1567" s="4" t="n">
        <v>47.3</v>
      </c>
      <c r="H1567" s="2" t="s">
        <v>1385</v>
      </c>
    </row>
    <row r="1568" customFormat="false" ht="15" hidden="false" customHeight="false" outlineLevel="0" collapsed="false">
      <c r="A1568" s="2" t="s">
        <v>30</v>
      </c>
      <c r="B1568" s="2" t="s">
        <v>896</v>
      </c>
      <c r="C1568" s="2" t="s">
        <v>1334</v>
      </c>
      <c r="D1568" s="2" t="s">
        <v>898</v>
      </c>
      <c r="E1568" s="4" t="n">
        <v>48.43</v>
      </c>
      <c r="F1568" s="4" t="n">
        <v>4.4</v>
      </c>
      <c r="G1568" s="4" t="n">
        <v>44.03</v>
      </c>
      <c r="H1568" s="2" t="s">
        <v>1381</v>
      </c>
    </row>
    <row r="1569" customFormat="false" ht="15" hidden="false" customHeight="false" outlineLevel="0" collapsed="false">
      <c r="A1569" s="2" t="s">
        <v>30</v>
      </c>
      <c r="B1569" s="2" t="s">
        <v>1685</v>
      </c>
      <c r="C1569" s="2" t="s">
        <v>3152</v>
      </c>
      <c r="D1569" s="2" t="s">
        <v>1687</v>
      </c>
      <c r="E1569" s="4" t="n">
        <v>79.2</v>
      </c>
      <c r="F1569" s="4" t="n">
        <v>7.2</v>
      </c>
      <c r="G1569" s="4" t="n">
        <v>72</v>
      </c>
      <c r="H1569" s="2" t="s">
        <v>1385</v>
      </c>
    </row>
    <row r="1570" customFormat="false" ht="15" hidden="false" customHeight="false" outlineLevel="0" collapsed="false">
      <c r="A1570" s="2" t="s">
        <v>30</v>
      </c>
      <c r="B1570" s="2" t="s">
        <v>1805</v>
      </c>
      <c r="C1570" s="2" t="s">
        <v>3153</v>
      </c>
      <c r="D1570" s="2" t="s">
        <v>1807</v>
      </c>
      <c r="E1570" s="4" t="n">
        <v>119.13</v>
      </c>
      <c r="F1570" s="4" t="n">
        <v>10.83</v>
      </c>
      <c r="G1570" s="4" t="n">
        <v>108.3</v>
      </c>
      <c r="H1570" s="2" t="s">
        <v>1385</v>
      </c>
    </row>
    <row r="1571" customFormat="false" ht="15" hidden="false" customHeight="false" outlineLevel="0" collapsed="false">
      <c r="A1571" s="2" t="s">
        <v>30</v>
      </c>
      <c r="B1571" s="2" t="s">
        <v>1682</v>
      </c>
      <c r="C1571" s="2" t="s">
        <v>3154</v>
      </c>
      <c r="D1571" s="2" t="s">
        <v>1684</v>
      </c>
      <c r="E1571" s="4" t="n">
        <v>117.24</v>
      </c>
      <c r="F1571" s="4" t="n">
        <v>10.66</v>
      </c>
      <c r="G1571" s="4" t="n">
        <v>106.58</v>
      </c>
      <c r="H1571" s="2" t="s">
        <v>1385</v>
      </c>
    </row>
    <row r="1572" customFormat="false" ht="15" hidden="false" customHeight="false" outlineLevel="0" collapsed="false">
      <c r="A1572" s="2" t="s">
        <v>30</v>
      </c>
      <c r="B1572" s="2" t="s">
        <v>875</v>
      </c>
      <c r="C1572" s="2" t="s">
        <v>1332</v>
      </c>
      <c r="D1572" s="2" t="s">
        <v>877</v>
      </c>
      <c r="E1572" s="4" t="n">
        <v>49.28</v>
      </c>
      <c r="F1572" s="4" t="n">
        <v>4.48</v>
      </c>
      <c r="G1572" s="4" t="n">
        <v>44.8</v>
      </c>
      <c r="H1572" s="2" t="s">
        <v>1381</v>
      </c>
    </row>
    <row r="1573" customFormat="false" ht="15" hidden="false" customHeight="false" outlineLevel="0" collapsed="false">
      <c r="A1573" s="2" t="s">
        <v>30</v>
      </c>
      <c r="B1573" s="2" t="s">
        <v>1664</v>
      </c>
      <c r="C1573" s="2" t="s">
        <v>3155</v>
      </c>
      <c r="D1573" s="2" t="s">
        <v>1666</v>
      </c>
      <c r="E1573" s="4" t="n">
        <v>31.19</v>
      </c>
      <c r="F1573" s="4" t="n">
        <v>2.84</v>
      </c>
      <c r="G1573" s="4" t="n">
        <v>28.35</v>
      </c>
      <c r="H1573" s="2" t="s">
        <v>1385</v>
      </c>
    </row>
    <row r="1574" customFormat="false" ht="15" hidden="false" customHeight="false" outlineLevel="0" collapsed="false">
      <c r="A1574" s="2" t="s">
        <v>30</v>
      </c>
      <c r="B1574" s="2" t="s">
        <v>1856</v>
      </c>
      <c r="C1574" s="2" t="s">
        <v>3156</v>
      </c>
      <c r="D1574" s="2" t="s">
        <v>1858</v>
      </c>
      <c r="E1574" s="4" t="n">
        <v>82.21</v>
      </c>
      <c r="F1574" s="4" t="n">
        <v>7.48</v>
      </c>
      <c r="G1574" s="4" t="n">
        <v>74.73</v>
      </c>
      <c r="H1574" s="2" t="s">
        <v>1385</v>
      </c>
    </row>
    <row r="1575" customFormat="false" ht="15" hidden="false" customHeight="false" outlineLevel="0" collapsed="false">
      <c r="A1575" s="2" t="s">
        <v>30</v>
      </c>
      <c r="B1575" s="2" t="s">
        <v>1637</v>
      </c>
      <c r="C1575" s="2" t="s">
        <v>3157</v>
      </c>
      <c r="D1575" s="2" t="s">
        <v>1639</v>
      </c>
      <c r="E1575" s="4" t="n">
        <v>79.02</v>
      </c>
      <c r="F1575" s="4" t="n">
        <v>7.19</v>
      </c>
      <c r="G1575" s="4" t="n">
        <v>71.83</v>
      </c>
      <c r="H1575" s="2" t="s">
        <v>1385</v>
      </c>
    </row>
    <row r="1576" customFormat="false" ht="15" hidden="false" customHeight="false" outlineLevel="0" collapsed="false">
      <c r="A1576" s="2" t="s">
        <v>30</v>
      </c>
      <c r="B1576" s="2" t="s">
        <v>1799</v>
      </c>
      <c r="C1576" s="2" t="s">
        <v>3158</v>
      </c>
      <c r="D1576" s="2" t="s">
        <v>1801</v>
      </c>
      <c r="E1576" s="4" t="n">
        <v>31.19</v>
      </c>
      <c r="F1576" s="4" t="n">
        <v>2.84</v>
      </c>
      <c r="G1576" s="4" t="n">
        <v>28.35</v>
      </c>
      <c r="H1576" s="2" t="s">
        <v>1385</v>
      </c>
    </row>
    <row r="1577" customFormat="false" ht="15" hidden="false" customHeight="false" outlineLevel="0" collapsed="false">
      <c r="A1577" s="2" t="s">
        <v>30</v>
      </c>
      <c r="B1577" s="2" t="s">
        <v>978</v>
      </c>
      <c r="C1577" s="2" t="s">
        <v>1188</v>
      </c>
      <c r="D1577" s="2" t="s">
        <v>980</v>
      </c>
      <c r="E1577" s="4" t="n">
        <v>31.19</v>
      </c>
      <c r="F1577" s="4" t="n">
        <v>2.84</v>
      </c>
      <c r="G1577" s="4" t="n">
        <v>28.35</v>
      </c>
      <c r="H1577" s="2" t="s">
        <v>1381</v>
      </c>
    </row>
    <row r="1578" customFormat="false" ht="15" hidden="false" customHeight="false" outlineLevel="0" collapsed="false">
      <c r="A1578" s="2" t="s">
        <v>30</v>
      </c>
      <c r="B1578" s="2" t="s">
        <v>1595</v>
      </c>
      <c r="C1578" s="2" t="s">
        <v>3159</v>
      </c>
      <c r="D1578" s="2" t="s">
        <v>1597</v>
      </c>
      <c r="E1578" s="4" t="n">
        <v>42.24</v>
      </c>
      <c r="F1578" s="4" t="n">
        <v>3.84</v>
      </c>
      <c r="G1578" s="4" t="n">
        <v>38.4</v>
      </c>
      <c r="H1578" s="2" t="s">
        <v>1385</v>
      </c>
    </row>
    <row r="1579" customFormat="false" ht="15" hidden="false" customHeight="false" outlineLevel="0" collapsed="false">
      <c r="A1579" s="2" t="s">
        <v>30</v>
      </c>
      <c r="B1579" s="2" t="s">
        <v>1529</v>
      </c>
      <c r="C1579" s="2" t="s">
        <v>3160</v>
      </c>
      <c r="D1579" s="2" t="s">
        <v>1531</v>
      </c>
      <c r="E1579" s="4" t="n">
        <v>64.29</v>
      </c>
      <c r="F1579" s="4" t="n">
        <v>18.55</v>
      </c>
      <c r="G1579" s="4" t="n">
        <v>45.74</v>
      </c>
      <c r="H1579" s="2" t="s">
        <v>1385</v>
      </c>
    </row>
    <row r="1580" customFormat="false" ht="15" hidden="false" customHeight="false" outlineLevel="0" collapsed="false">
      <c r="A1580" s="2" t="s">
        <v>30</v>
      </c>
      <c r="B1580" s="2" t="s">
        <v>1802</v>
      </c>
      <c r="C1580" s="2" t="s">
        <v>3161</v>
      </c>
      <c r="D1580" s="2" t="s">
        <v>1804</v>
      </c>
      <c r="E1580" s="4" t="n">
        <v>217.99</v>
      </c>
      <c r="F1580" s="4" t="n">
        <v>21.08</v>
      </c>
      <c r="G1580" s="4" t="n">
        <v>196.91</v>
      </c>
      <c r="H1580" s="2" t="s">
        <v>1385</v>
      </c>
    </row>
    <row r="1581" customFormat="false" ht="15" hidden="false" customHeight="false" outlineLevel="0" collapsed="false">
      <c r="A1581" s="2" t="s">
        <v>30</v>
      </c>
      <c r="B1581" s="2" t="s">
        <v>1832</v>
      </c>
      <c r="C1581" s="2" t="s">
        <v>3162</v>
      </c>
      <c r="D1581" s="2" t="s">
        <v>1834</v>
      </c>
      <c r="E1581" s="4" t="n">
        <v>470.09</v>
      </c>
      <c r="F1581" s="4" t="n">
        <v>42.74</v>
      </c>
      <c r="G1581" s="4" t="n">
        <v>427.35</v>
      </c>
      <c r="H1581" s="2" t="s">
        <v>1385</v>
      </c>
    </row>
    <row r="1582" customFormat="false" ht="15" hidden="false" customHeight="false" outlineLevel="0" collapsed="false">
      <c r="A1582" s="2" t="s">
        <v>30</v>
      </c>
      <c r="B1582" s="2" t="s">
        <v>1649</v>
      </c>
      <c r="C1582" s="2" t="s">
        <v>3163</v>
      </c>
      <c r="D1582" s="2" t="s">
        <v>1651</v>
      </c>
      <c r="E1582" s="4" t="n">
        <v>24.21</v>
      </c>
      <c r="F1582" s="4" t="n">
        <v>2.2</v>
      </c>
      <c r="G1582" s="4" t="n">
        <v>22.01</v>
      </c>
      <c r="H1582" s="2" t="s">
        <v>1385</v>
      </c>
    </row>
    <row r="1583" customFormat="false" ht="15" hidden="false" customHeight="false" outlineLevel="0" collapsed="false">
      <c r="A1583" s="2" t="s">
        <v>30</v>
      </c>
      <c r="B1583" s="2" t="s">
        <v>958</v>
      </c>
      <c r="C1583" s="2" t="s">
        <v>1182</v>
      </c>
      <c r="D1583" s="2" t="s">
        <v>960</v>
      </c>
      <c r="E1583" s="4" t="n">
        <v>31.36</v>
      </c>
      <c r="F1583" s="4" t="n">
        <v>2.86</v>
      </c>
      <c r="G1583" s="4" t="n">
        <v>28.5</v>
      </c>
      <c r="H1583" s="2" t="s">
        <v>1381</v>
      </c>
    </row>
    <row r="1584" customFormat="false" ht="15" hidden="false" customHeight="false" outlineLevel="0" collapsed="false">
      <c r="A1584" s="2" t="s">
        <v>30</v>
      </c>
      <c r="B1584" s="2" t="s">
        <v>1754</v>
      </c>
      <c r="C1584" s="2" t="s">
        <v>3164</v>
      </c>
      <c r="D1584" s="2" t="s">
        <v>1756</v>
      </c>
      <c r="E1584" s="4" t="n">
        <v>79.62</v>
      </c>
      <c r="F1584" s="4" t="n">
        <v>7.24</v>
      </c>
      <c r="G1584" s="4" t="n">
        <v>72.38</v>
      </c>
      <c r="H1584" s="2" t="s">
        <v>1385</v>
      </c>
    </row>
    <row r="1585" customFormat="false" ht="15" hidden="false" customHeight="false" outlineLevel="0" collapsed="false">
      <c r="A1585" s="2" t="s">
        <v>30</v>
      </c>
      <c r="B1585" s="2" t="s">
        <v>1559</v>
      </c>
      <c r="C1585" s="2" t="s">
        <v>3165</v>
      </c>
      <c r="D1585" s="2" t="s">
        <v>1561</v>
      </c>
      <c r="E1585" s="4" t="n">
        <v>46.37</v>
      </c>
      <c r="F1585" s="4" t="n">
        <v>4.22</v>
      </c>
      <c r="G1585" s="4" t="n">
        <v>42.15</v>
      </c>
      <c r="H1585" s="2" t="s">
        <v>1385</v>
      </c>
    </row>
    <row r="1586" customFormat="false" ht="15" hidden="false" customHeight="false" outlineLevel="0" collapsed="false">
      <c r="A1586" s="2" t="s">
        <v>30</v>
      </c>
      <c r="B1586" s="2" t="s">
        <v>1532</v>
      </c>
      <c r="C1586" s="2" t="s">
        <v>3166</v>
      </c>
      <c r="D1586" s="2" t="s">
        <v>1534</v>
      </c>
      <c r="E1586" s="4" t="n">
        <v>371.75</v>
      </c>
      <c r="F1586" s="4" t="n">
        <v>33.8</v>
      </c>
      <c r="G1586" s="4" t="n">
        <v>337.95</v>
      </c>
      <c r="H1586" s="2" t="s">
        <v>1385</v>
      </c>
    </row>
    <row r="1587" customFormat="false" ht="15" hidden="false" customHeight="false" outlineLevel="0" collapsed="false">
      <c r="A1587" s="2" t="s">
        <v>30</v>
      </c>
      <c r="B1587" s="2" t="s">
        <v>1784</v>
      </c>
      <c r="C1587" s="2" t="s">
        <v>3167</v>
      </c>
      <c r="D1587" s="2" t="s">
        <v>1786</v>
      </c>
      <c r="E1587" s="4" t="n">
        <v>47.19</v>
      </c>
      <c r="F1587" s="4" t="n">
        <v>4.29</v>
      </c>
      <c r="G1587" s="4" t="n">
        <v>42.9</v>
      </c>
      <c r="H1587" s="2" t="s">
        <v>1385</v>
      </c>
    </row>
    <row r="1588" customFormat="false" ht="15" hidden="false" customHeight="false" outlineLevel="0" collapsed="false">
      <c r="A1588" s="2" t="s">
        <v>30</v>
      </c>
      <c r="B1588" s="2" t="s">
        <v>1256</v>
      </c>
      <c r="C1588" s="2" t="s">
        <v>1338</v>
      </c>
      <c r="D1588" s="2" t="s">
        <v>1258</v>
      </c>
      <c r="E1588" s="4" t="n">
        <v>26.18</v>
      </c>
      <c r="F1588" s="4" t="n">
        <v>2.38</v>
      </c>
      <c r="G1588" s="4" t="n">
        <v>23.8</v>
      </c>
      <c r="H1588" s="2" t="s">
        <v>1381</v>
      </c>
    </row>
    <row r="1589" customFormat="false" ht="15" hidden="false" customHeight="false" outlineLevel="0" collapsed="false">
      <c r="A1589" s="2" t="s">
        <v>30</v>
      </c>
      <c r="B1589" s="2" t="s">
        <v>1877</v>
      </c>
      <c r="C1589" s="2" t="s">
        <v>3168</v>
      </c>
      <c r="D1589" s="2" t="s">
        <v>1879</v>
      </c>
      <c r="E1589" s="4" t="n">
        <v>294.81</v>
      </c>
      <c r="F1589" s="4" t="n">
        <v>26.81</v>
      </c>
      <c r="G1589" s="4" t="n">
        <v>268</v>
      </c>
      <c r="H1589" s="2" t="s">
        <v>1385</v>
      </c>
    </row>
    <row r="1590" customFormat="false" ht="15" hidden="false" customHeight="false" outlineLevel="0" collapsed="false">
      <c r="A1590" s="2" t="s">
        <v>30</v>
      </c>
      <c r="B1590" s="2" t="s">
        <v>1745</v>
      </c>
      <c r="C1590" s="2" t="s">
        <v>3169</v>
      </c>
      <c r="D1590" s="2" t="s">
        <v>1747</v>
      </c>
      <c r="E1590" s="4" t="n">
        <v>33.18</v>
      </c>
      <c r="F1590" s="4" t="n">
        <v>3.02</v>
      </c>
      <c r="G1590" s="4" t="n">
        <v>30.16</v>
      </c>
      <c r="H1590" s="2" t="s">
        <v>1385</v>
      </c>
    </row>
    <row r="1591" customFormat="false" ht="15" hidden="false" customHeight="false" outlineLevel="0" collapsed="false">
      <c r="A1591" s="2" t="s">
        <v>30</v>
      </c>
      <c r="B1591" s="2" t="s">
        <v>1205</v>
      </c>
      <c r="C1591" s="2" t="s">
        <v>1340</v>
      </c>
      <c r="D1591" s="2" t="s">
        <v>1207</v>
      </c>
      <c r="E1591" s="4" t="n">
        <v>44.86</v>
      </c>
      <c r="F1591" s="4" t="n">
        <v>4.08</v>
      </c>
      <c r="G1591" s="4" t="n">
        <v>40.78</v>
      </c>
      <c r="H1591" s="2" t="s">
        <v>1381</v>
      </c>
    </row>
    <row r="1592" customFormat="false" ht="15" hidden="false" customHeight="false" outlineLevel="0" collapsed="false">
      <c r="A1592" s="2" t="s">
        <v>30</v>
      </c>
      <c r="B1592" s="2" t="s">
        <v>1766</v>
      </c>
      <c r="C1592" s="2" t="s">
        <v>3170</v>
      </c>
      <c r="D1592" s="2" t="s">
        <v>1768</v>
      </c>
      <c r="E1592" s="4" t="n">
        <v>413.78</v>
      </c>
      <c r="F1592" s="4" t="n">
        <v>37.62</v>
      </c>
      <c r="G1592" s="4" t="n">
        <v>376.16</v>
      </c>
      <c r="H1592" s="2" t="s">
        <v>1385</v>
      </c>
    </row>
    <row r="1593" customFormat="false" ht="15" hidden="false" customHeight="false" outlineLevel="0" collapsed="false">
      <c r="A1593" s="2" t="s">
        <v>30</v>
      </c>
      <c r="B1593" s="2" t="s">
        <v>1538</v>
      </c>
      <c r="C1593" s="2" t="s">
        <v>3171</v>
      </c>
      <c r="D1593" s="2" t="s">
        <v>1540</v>
      </c>
      <c r="E1593" s="4" t="n">
        <v>187.03</v>
      </c>
      <c r="F1593" s="4" t="n">
        <v>17.01</v>
      </c>
      <c r="G1593" s="4" t="n">
        <v>170.02</v>
      </c>
      <c r="H1593" s="2" t="s">
        <v>1385</v>
      </c>
    </row>
    <row r="1594" customFormat="false" ht="15" hidden="false" customHeight="false" outlineLevel="0" collapsed="false">
      <c r="A1594" s="2" t="s">
        <v>30</v>
      </c>
      <c r="B1594" s="2" t="s">
        <v>185</v>
      </c>
      <c r="C1594" s="2" t="s">
        <v>1344</v>
      </c>
      <c r="D1594" s="2" t="s">
        <v>187</v>
      </c>
      <c r="E1594" s="4" t="n">
        <v>24.21</v>
      </c>
      <c r="F1594" s="4" t="n">
        <v>2.2</v>
      </c>
      <c r="G1594" s="4" t="n">
        <v>22.01</v>
      </c>
      <c r="H1594" s="2" t="s">
        <v>1381</v>
      </c>
    </row>
    <row r="1595" customFormat="false" ht="15" hidden="false" customHeight="false" outlineLevel="0" collapsed="false">
      <c r="A1595" s="2" t="s">
        <v>30</v>
      </c>
      <c r="B1595" s="2" t="s">
        <v>1265</v>
      </c>
      <c r="C1595" s="2" t="s">
        <v>1342</v>
      </c>
      <c r="D1595" s="2" t="s">
        <v>1267</v>
      </c>
      <c r="E1595" s="4" t="n">
        <v>27.14</v>
      </c>
      <c r="F1595" s="4" t="n">
        <v>2.47</v>
      </c>
      <c r="G1595" s="4" t="n">
        <v>24.67</v>
      </c>
      <c r="H1595" s="2" t="s">
        <v>1381</v>
      </c>
    </row>
    <row r="1596" customFormat="false" ht="15" hidden="false" customHeight="false" outlineLevel="0" collapsed="false">
      <c r="A1596" s="2" t="s">
        <v>30</v>
      </c>
      <c r="B1596" s="2" t="s">
        <v>1757</v>
      </c>
      <c r="C1596" s="2" t="s">
        <v>3172</v>
      </c>
      <c r="D1596" s="2" t="s">
        <v>1759</v>
      </c>
      <c r="E1596" s="4" t="n">
        <v>140.85</v>
      </c>
      <c r="F1596" s="4" t="n">
        <v>12.81</v>
      </c>
      <c r="G1596" s="4" t="n">
        <v>128.04</v>
      </c>
      <c r="H1596" s="2" t="s">
        <v>1385</v>
      </c>
    </row>
    <row r="1597" customFormat="false" ht="15" hidden="false" customHeight="false" outlineLevel="0" collapsed="false">
      <c r="A1597" s="2" t="s">
        <v>30</v>
      </c>
      <c r="B1597" s="2" t="s">
        <v>1769</v>
      </c>
      <c r="C1597" s="2" t="s">
        <v>3173</v>
      </c>
      <c r="D1597" s="2" t="s">
        <v>1771</v>
      </c>
      <c r="E1597" s="4" t="n">
        <v>180.21</v>
      </c>
      <c r="F1597" s="4" t="n">
        <v>16.39</v>
      </c>
      <c r="G1597" s="4" t="n">
        <v>163.82</v>
      </c>
      <c r="H1597" s="2" t="s">
        <v>1385</v>
      </c>
    </row>
    <row r="1598" customFormat="false" ht="15" hidden="false" customHeight="false" outlineLevel="0" collapsed="false">
      <c r="A1598" s="2" t="s">
        <v>30</v>
      </c>
      <c r="B1598" s="2" t="s">
        <v>1652</v>
      </c>
      <c r="C1598" s="2" t="s">
        <v>3174</v>
      </c>
      <c r="D1598" s="2" t="s">
        <v>1654</v>
      </c>
      <c r="E1598" s="4" t="n">
        <v>62.35</v>
      </c>
      <c r="F1598" s="4" t="n">
        <v>5.67</v>
      </c>
      <c r="G1598" s="4" t="n">
        <v>56.68</v>
      </c>
      <c r="H1598" s="2" t="s">
        <v>1385</v>
      </c>
    </row>
    <row r="1599" customFormat="false" ht="15" hidden="false" customHeight="false" outlineLevel="0" collapsed="false">
      <c r="A1599" s="2" t="s">
        <v>30</v>
      </c>
      <c r="B1599" s="2" t="s">
        <v>1808</v>
      </c>
      <c r="C1599" s="2" t="s">
        <v>3175</v>
      </c>
      <c r="D1599" s="2" t="s">
        <v>1810</v>
      </c>
      <c r="E1599" s="4" t="n">
        <v>53.55</v>
      </c>
      <c r="F1599" s="4" t="n">
        <v>4.87</v>
      </c>
      <c r="G1599" s="4" t="n">
        <v>48.68</v>
      </c>
      <c r="H1599" s="2" t="s">
        <v>1385</v>
      </c>
    </row>
    <row r="1600" customFormat="false" ht="15" hidden="false" customHeight="false" outlineLevel="0" collapsed="false">
      <c r="A1600" s="2" t="s">
        <v>30</v>
      </c>
      <c r="B1600" s="2" t="s">
        <v>1850</v>
      </c>
      <c r="C1600" s="2" t="s">
        <v>3176</v>
      </c>
      <c r="D1600" s="2" t="s">
        <v>1852</v>
      </c>
      <c r="E1600" s="4" t="n">
        <v>60.13</v>
      </c>
      <c r="F1600" s="4" t="n">
        <v>5.47</v>
      </c>
      <c r="G1600" s="4" t="n">
        <v>54.66</v>
      </c>
      <c r="H1600" s="2" t="s">
        <v>1385</v>
      </c>
    </row>
    <row r="1601" customFormat="false" ht="15" hidden="false" customHeight="false" outlineLevel="0" collapsed="false">
      <c r="A1601" s="2" t="s">
        <v>30</v>
      </c>
      <c r="B1601" s="2" t="s">
        <v>971</v>
      </c>
      <c r="C1601" s="2" t="s">
        <v>1186</v>
      </c>
      <c r="D1601" s="2" t="s">
        <v>973</v>
      </c>
      <c r="E1601" s="4" t="n">
        <v>31.89</v>
      </c>
      <c r="F1601" s="4" t="n">
        <v>2.9</v>
      </c>
      <c r="G1601" s="4" t="n">
        <v>28.99</v>
      </c>
      <c r="H1601" s="2" t="s">
        <v>1381</v>
      </c>
    </row>
    <row r="1602" customFormat="false" ht="15" hidden="false" customHeight="false" outlineLevel="0" collapsed="false">
      <c r="A1602" s="2" t="s">
        <v>30</v>
      </c>
      <c r="B1602" s="2" t="s">
        <v>1721</v>
      </c>
      <c r="C1602" s="2" t="s">
        <v>3177</v>
      </c>
      <c r="D1602" s="2" t="s">
        <v>1723</v>
      </c>
      <c r="E1602" s="4" t="n">
        <v>31.44</v>
      </c>
      <c r="F1602" s="4" t="n">
        <v>2.86</v>
      </c>
      <c r="G1602" s="4" t="n">
        <v>28.58</v>
      </c>
      <c r="H1602" s="2" t="s">
        <v>1385</v>
      </c>
    </row>
    <row r="1603" customFormat="false" ht="15" hidden="false" customHeight="false" outlineLevel="0" collapsed="false">
      <c r="A1603" s="2" t="s">
        <v>30</v>
      </c>
      <c r="B1603" s="2" t="s">
        <v>1835</v>
      </c>
      <c r="C1603" s="2" t="s">
        <v>3178</v>
      </c>
      <c r="D1603" s="2" t="s">
        <v>1837</v>
      </c>
      <c r="E1603" s="4" t="n">
        <v>72.36</v>
      </c>
      <c r="F1603" s="4" t="n">
        <v>6.58</v>
      </c>
      <c r="G1603" s="4" t="n">
        <v>65.78</v>
      </c>
      <c r="H1603" s="2" t="s">
        <v>1385</v>
      </c>
    </row>
    <row r="1604" customFormat="false" ht="15" hidden="false" customHeight="false" outlineLevel="0" collapsed="false">
      <c r="A1604" s="2" t="s">
        <v>30</v>
      </c>
      <c r="B1604" s="2" t="s">
        <v>1796</v>
      </c>
      <c r="C1604" s="2" t="s">
        <v>3179</v>
      </c>
      <c r="D1604" s="2" t="s">
        <v>1798</v>
      </c>
      <c r="E1604" s="4" t="n">
        <v>171.97</v>
      </c>
      <c r="F1604" s="4" t="n">
        <v>15.64</v>
      </c>
      <c r="G1604" s="4" t="n">
        <v>156.33</v>
      </c>
      <c r="H1604" s="2" t="s">
        <v>1385</v>
      </c>
    </row>
    <row r="1605" customFormat="false" ht="15" hidden="false" customHeight="false" outlineLevel="0" collapsed="false">
      <c r="A1605" s="2" t="s">
        <v>30</v>
      </c>
      <c r="B1605" s="2" t="s">
        <v>1730</v>
      </c>
      <c r="C1605" s="2" t="s">
        <v>3180</v>
      </c>
      <c r="D1605" s="2" t="s">
        <v>1732</v>
      </c>
      <c r="E1605" s="4" t="n">
        <v>109.71</v>
      </c>
      <c r="F1605" s="4" t="n">
        <v>9.98</v>
      </c>
      <c r="G1605" s="4" t="n">
        <v>99.73</v>
      </c>
      <c r="H1605" s="2" t="s">
        <v>1385</v>
      </c>
    </row>
    <row r="1606" customFormat="false" ht="15" hidden="false" customHeight="false" outlineLevel="0" collapsed="false">
      <c r="A1606" s="2" t="s">
        <v>30</v>
      </c>
      <c r="B1606" s="2" t="s">
        <v>1646</v>
      </c>
      <c r="C1606" s="2" t="s">
        <v>3181</v>
      </c>
      <c r="D1606" s="2" t="s">
        <v>1648</v>
      </c>
      <c r="E1606" s="4" t="n">
        <v>31.19</v>
      </c>
      <c r="F1606" s="4" t="n">
        <v>2.84</v>
      </c>
      <c r="G1606" s="4" t="n">
        <v>28.35</v>
      </c>
      <c r="H1606" s="2" t="s">
        <v>1385</v>
      </c>
    </row>
    <row r="1607" customFormat="false" ht="15" hidden="false" customHeight="false" outlineLevel="0" collapsed="false">
      <c r="A1607" s="2" t="s">
        <v>30</v>
      </c>
      <c r="B1607" s="2" t="s">
        <v>1565</v>
      </c>
      <c r="C1607" s="2" t="s">
        <v>3182</v>
      </c>
      <c r="D1607" s="2" t="s">
        <v>1567</v>
      </c>
      <c r="E1607" s="4" t="n">
        <v>303.34</v>
      </c>
      <c r="F1607" s="4" t="n">
        <v>27.58</v>
      </c>
      <c r="G1607" s="4" t="n">
        <v>275.76</v>
      </c>
      <c r="H1607" s="2" t="s">
        <v>1385</v>
      </c>
    </row>
    <row r="1608" customFormat="false" ht="15" hidden="false" customHeight="false" outlineLevel="0" collapsed="false">
      <c r="A1608" s="2" t="s">
        <v>30</v>
      </c>
      <c r="B1608" s="2" t="s">
        <v>1739</v>
      </c>
      <c r="C1608" s="2" t="s">
        <v>3183</v>
      </c>
      <c r="D1608" s="2" t="s">
        <v>1741</v>
      </c>
      <c r="E1608" s="4" t="n">
        <v>80.57</v>
      </c>
      <c r="F1608" s="4" t="n">
        <v>7.33</v>
      </c>
      <c r="G1608" s="4" t="n">
        <v>73.24</v>
      </c>
      <c r="H1608" s="2" t="s">
        <v>1385</v>
      </c>
    </row>
    <row r="1609" customFormat="false" ht="15" hidden="false" customHeight="false" outlineLevel="0" collapsed="false">
      <c r="A1609" s="2" t="s">
        <v>30</v>
      </c>
      <c r="B1609" s="2" t="s">
        <v>1775</v>
      </c>
      <c r="C1609" s="2" t="s">
        <v>3184</v>
      </c>
      <c r="D1609" s="2" t="s">
        <v>1777</v>
      </c>
      <c r="E1609" s="4" t="n">
        <v>31.24</v>
      </c>
      <c r="F1609" s="4" t="n">
        <v>2.84</v>
      </c>
      <c r="G1609" s="4" t="n">
        <v>28.4</v>
      </c>
      <c r="H1609" s="2" t="s">
        <v>1385</v>
      </c>
    </row>
    <row r="1610" customFormat="false" ht="15" hidden="false" customHeight="false" outlineLevel="0" collapsed="false">
      <c r="A1610" s="2" t="s">
        <v>30</v>
      </c>
      <c r="B1610" s="2" t="s">
        <v>1706</v>
      </c>
      <c r="C1610" s="2" t="s">
        <v>3185</v>
      </c>
      <c r="D1610" s="2" t="s">
        <v>1708</v>
      </c>
      <c r="E1610" s="4" t="n">
        <v>31.17</v>
      </c>
      <c r="F1610" s="4" t="n">
        <v>3.49</v>
      </c>
      <c r="G1610" s="4" t="n">
        <v>27.68</v>
      </c>
      <c r="H1610" s="2" t="s">
        <v>1385</v>
      </c>
    </row>
    <row r="1611" customFormat="false" ht="15" hidden="false" customHeight="false" outlineLevel="0" collapsed="false">
      <c r="A1611" s="2" t="s">
        <v>30</v>
      </c>
      <c r="B1611" s="2" t="s">
        <v>1655</v>
      </c>
      <c r="C1611" s="2" t="s">
        <v>3186</v>
      </c>
      <c r="D1611" s="2" t="s">
        <v>1657</v>
      </c>
      <c r="E1611" s="4" t="n">
        <v>103.83</v>
      </c>
      <c r="F1611" s="4" t="n">
        <v>9.44</v>
      </c>
      <c r="G1611" s="4" t="n">
        <v>94.39</v>
      </c>
      <c r="H1611" s="2" t="s">
        <v>1385</v>
      </c>
    </row>
    <row r="1612" customFormat="false" ht="15" hidden="false" customHeight="false" outlineLevel="0" collapsed="false">
      <c r="A1612" s="2" t="s">
        <v>30</v>
      </c>
      <c r="B1612" s="2" t="s">
        <v>951</v>
      </c>
      <c r="C1612" s="2" t="s">
        <v>1178</v>
      </c>
      <c r="D1612" s="2" t="s">
        <v>953</v>
      </c>
      <c r="E1612" s="4" t="n">
        <v>32.86</v>
      </c>
      <c r="F1612" s="4" t="n">
        <v>2.99</v>
      </c>
      <c r="G1612" s="4" t="n">
        <v>29.87</v>
      </c>
      <c r="H1612" s="2" t="s">
        <v>1381</v>
      </c>
    </row>
    <row r="1613" customFormat="false" ht="15" hidden="false" customHeight="false" outlineLevel="0" collapsed="false">
      <c r="A1613" s="2" t="s">
        <v>30</v>
      </c>
      <c r="B1613" s="2" t="s">
        <v>1844</v>
      </c>
      <c r="C1613" s="2" t="s">
        <v>3187</v>
      </c>
      <c r="D1613" s="2" t="s">
        <v>1846</v>
      </c>
      <c r="E1613" s="4" t="n">
        <v>51.54</v>
      </c>
      <c r="F1613" s="4" t="n">
        <v>4.69</v>
      </c>
      <c r="G1613" s="4" t="n">
        <v>46.85</v>
      </c>
      <c r="H1613" s="2" t="s">
        <v>1385</v>
      </c>
    </row>
    <row r="1614" customFormat="false" ht="15" hidden="false" customHeight="false" outlineLevel="0" collapsed="false">
      <c r="A1614" s="2" t="s">
        <v>30</v>
      </c>
      <c r="B1614" s="2" t="s">
        <v>1550</v>
      </c>
      <c r="C1614" s="2" t="s">
        <v>3188</v>
      </c>
      <c r="D1614" s="2" t="s">
        <v>1552</v>
      </c>
      <c r="E1614" s="4" t="n">
        <v>1364.8</v>
      </c>
      <c r="F1614" s="4" t="n">
        <v>124.08</v>
      </c>
      <c r="G1614" s="4" t="n">
        <v>1240.72</v>
      </c>
      <c r="H1614" s="2" t="s">
        <v>1385</v>
      </c>
    </row>
    <row r="1615" customFormat="false" ht="15" hidden="false" customHeight="false" outlineLevel="0" collapsed="false">
      <c r="A1615" s="2" t="s">
        <v>30</v>
      </c>
      <c r="B1615" s="2" t="s">
        <v>1700</v>
      </c>
      <c r="C1615" s="2" t="s">
        <v>3189</v>
      </c>
      <c r="D1615" s="2" t="s">
        <v>1702</v>
      </c>
      <c r="E1615" s="4" t="n">
        <v>56.05</v>
      </c>
      <c r="F1615" s="4" t="n">
        <v>5.1</v>
      </c>
      <c r="G1615" s="4" t="n">
        <v>50.95</v>
      </c>
      <c r="H1615" s="2" t="s">
        <v>1385</v>
      </c>
    </row>
    <row r="1616" customFormat="false" ht="15" hidden="false" customHeight="false" outlineLevel="0" collapsed="false">
      <c r="A1616" s="2" t="s">
        <v>30</v>
      </c>
      <c r="B1616" s="2" t="s">
        <v>1553</v>
      </c>
      <c r="C1616" s="2" t="s">
        <v>3190</v>
      </c>
      <c r="D1616" s="2" t="s">
        <v>1555</v>
      </c>
      <c r="E1616" s="4" t="n">
        <v>256.34</v>
      </c>
      <c r="F1616" s="4" t="n">
        <v>23.31</v>
      </c>
      <c r="G1616" s="4" t="n">
        <v>233.03</v>
      </c>
      <c r="H1616" s="2" t="s">
        <v>1385</v>
      </c>
    </row>
    <row r="1617" customFormat="false" ht="15" hidden="false" customHeight="false" outlineLevel="0" collapsed="false">
      <c r="A1617" s="2" t="s">
        <v>30</v>
      </c>
      <c r="B1617" s="2" t="s">
        <v>1781</v>
      </c>
      <c r="C1617" s="2" t="s">
        <v>3191</v>
      </c>
      <c r="D1617" s="2" t="s">
        <v>1783</v>
      </c>
      <c r="E1617" s="4" t="n">
        <v>68.77</v>
      </c>
      <c r="F1617" s="4" t="n">
        <v>6.26</v>
      </c>
      <c r="G1617" s="4" t="n">
        <v>62.51</v>
      </c>
      <c r="H1617" s="2" t="s">
        <v>1385</v>
      </c>
    </row>
    <row r="1618" customFormat="false" ht="15" hidden="false" customHeight="false" outlineLevel="0" collapsed="false">
      <c r="A1618" s="2" t="s">
        <v>30</v>
      </c>
      <c r="B1618" s="2" t="s">
        <v>1523</v>
      </c>
      <c r="C1618" s="2" t="s">
        <v>3192</v>
      </c>
      <c r="D1618" s="2" t="s">
        <v>1525</v>
      </c>
      <c r="E1618" s="4" t="n">
        <v>124.74</v>
      </c>
      <c r="F1618" s="4" t="n">
        <v>11.34</v>
      </c>
      <c r="G1618" s="4" t="n">
        <v>113.4</v>
      </c>
      <c r="H1618" s="2" t="s">
        <v>1385</v>
      </c>
    </row>
    <row r="1619" customFormat="false" ht="15" hidden="false" customHeight="false" outlineLevel="0" collapsed="false">
      <c r="A1619" s="2" t="s">
        <v>30</v>
      </c>
      <c r="B1619" s="2" t="s">
        <v>1589</v>
      </c>
      <c r="C1619" s="2" t="s">
        <v>3193</v>
      </c>
      <c r="D1619" s="2" t="s">
        <v>1591</v>
      </c>
      <c r="E1619" s="4" t="n">
        <v>108.18</v>
      </c>
      <c r="F1619" s="4" t="n">
        <v>9.84</v>
      </c>
      <c r="G1619" s="4" t="n">
        <v>98.34</v>
      </c>
      <c r="H1619" s="2" t="s">
        <v>1385</v>
      </c>
    </row>
    <row r="1620" customFormat="false" ht="15" hidden="false" customHeight="false" outlineLevel="0" collapsed="false">
      <c r="A1620" s="2" t="s">
        <v>30</v>
      </c>
      <c r="B1620" s="2" t="s">
        <v>719</v>
      </c>
      <c r="C1620" s="2" t="s">
        <v>720</v>
      </c>
      <c r="D1620" s="2" t="s">
        <v>721</v>
      </c>
      <c r="E1620" s="4" t="n">
        <v>85.04</v>
      </c>
      <c r="F1620" s="4" t="n">
        <v>7.73</v>
      </c>
      <c r="G1620" s="4" t="n">
        <v>77.31</v>
      </c>
      <c r="H1620" s="2" t="s">
        <v>1381</v>
      </c>
    </row>
    <row r="1621" customFormat="false" ht="15" hidden="false" customHeight="false" outlineLevel="0" collapsed="false">
      <c r="A1621" s="2" t="s">
        <v>30</v>
      </c>
      <c r="B1621" s="2" t="s">
        <v>493</v>
      </c>
      <c r="C1621" s="2" t="s">
        <v>3194</v>
      </c>
      <c r="D1621" s="2" t="s">
        <v>495</v>
      </c>
      <c r="E1621" s="4" t="n">
        <v>0</v>
      </c>
      <c r="F1621" s="4" t="n">
        <v>0</v>
      </c>
      <c r="G1621" s="4" t="n">
        <v>0</v>
      </c>
      <c r="H1621" s="2" t="s">
        <v>1385</v>
      </c>
    </row>
    <row r="1622" customFormat="false" ht="15" hidden="false" customHeight="false" outlineLevel="0" collapsed="false">
      <c r="A1622" s="2" t="s">
        <v>30</v>
      </c>
      <c r="B1622" s="2" t="s">
        <v>1820</v>
      </c>
      <c r="C1622" s="2" t="s">
        <v>3195</v>
      </c>
      <c r="D1622" s="2" t="s">
        <v>1822</v>
      </c>
      <c r="E1622" s="4" t="n">
        <v>70.94</v>
      </c>
      <c r="F1622" s="4" t="n">
        <v>6.45</v>
      </c>
      <c r="G1622" s="4" t="n">
        <v>64.49</v>
      </c>
      <c r="H1622" s="2" t="s">
        <v>1385</v>
      </c>
    </row>
    <row r="1623" customFormat="false" ht="15" hidden="false" customHeight="false" outlineLevel="0" collapsed="false">
      <c r="A1623" s="2" t="s">
        <v>30</v>
      </c>
      <c r="B1623" s="2" t="s">
        <v>2020</v>
      </c>
      <c r="C1623" s="2" t="s">
        <v>3196</v>
      </c>
      <c r="D1623" s="2" t="s">
        <v>2022</v>
      </c>
      <c r="E1623" s="4" t="n">
        <v>76.32</v>
      </c>
      <c r="F1623" s="4" t="n">
        <v>6.94</v>
      </c>
      <c r="G1623" s="4" t="n">
        <v>69.38</v>
      </c>
      <c r="H1623" s="2" t="s">
        <v>1385</v>
      </c>
    </row>
    <row r="1624" customFormat="false" ht="15" hidden="false" customHeight="false" outlineLevel="0" collapsed="false">
      <c r="A1624" s="2" t="s">
        <v>30</v>
      </c>
      <c r="B1624" s="2" t="s">
        <v>1541</v>
      </c>
      <c r="C1624" s="2" t="s">
        <v>3197</v>
      </c>
      <c r="D1624" s="2" t="s">
        <v>1543</v>
      </c>
      <c r="E1624" s="4" t="n">
        <v>24.21</v>
      </c>
      <c r="F1624" s="4" t="n">
        <v>2.2</v>
      </c>
      <c r="G1624" s="4" t="n">
        <v>22.01</v>
      </c>
      <c r="H1624" s="2" t="s">
        <v>1385</v>
      </c>
    </row>
    <row r="1625" customFormat="false" ht="15" hidden="false" customHeight="false" outlineLevel="0" collapsed="false">
      <c r="A1625" s="2" t="s">
        <v>30</v>
      </c>
      <c r="B1625" s="2" t="s">
        <v>500</v>
      </c>
      <c r="C1625" s="2" t="s">
        <v>3198</v>
      </c>
      <c r="D1625" s="2" t="s">
        <v>502</v>
      </c>
      <c r="E1625" s="4" t="n">
        <v>0</v>
      </c>
      <c r="F1625" s="4" t="n">
        <v>0</v>
      </c>
      <c r="G1625" s="4" t="n">
        <v>0</v>
      </c>
      <c r="H1625" s="2" t="s">
        <v>1385</v>
      </c>
    </row>
    <row r="1626" customFormat="false" ht="15" hidden="false" customHeight="false" outlineLevel="0" collapsed="false">
      <c r="A1626" s="2" t="s">
        <v>30</v>
      </c>
      <c r="B1626" s="2" t="s">
        <v>1928</v>
      </c>
      <c r="C1626" s="2" t="s">
        <v>3199</v>
      </c>
      <c r="D1626" s="2" t="s">
        <v>1930</v>
      </c>
      <c r="E1626" s="4" t="n">
        <v>0</v>
      </c>
      <c r="F1626" s="4" t="n">
        <v>0</v>
      </c>
      <c r="G1626" s="4" t="n">
        <v>0</v>
      </c>
      <c r="H1626" s="2" t="s">
        <v>1385</v>
      </c>
    </row>
    <row r="1627" customFormat="false" ht="15" hidden="false" customHeight="false" outlineLevel="0" collapsed="false">
      <c r="A1627" s="2" t="s">
        <v>30</v>
      </c>
      <c r="B1627" s="2" t="s">
        <v>264</v>
      </c>
      <c r="C1627" s="2" t="s">
        <v>3200</v>
      </c>
      <c r="D1627" s="2" t="s">
        <v>266</v>
      </c>
      <c r="E1627" s="4" t="n">
        <v>0</v>
      </c>
      <c r="F1627" s="4" t="n">
        <v>0</v>
      </c>
      <c r="G1627" s="4" t="n">
        <v>0</v>
      </c>
      <c r="H1627" s="2" t="s">
        <v>1385</v>
      </c>
    </row>
    <row r="1628" customFormat="false" ht="15" hidden="false" customHeight="false" outlineLevel="0" collapsed="false">
      <c r="A1628" s="2" t="s">
        <v>30</v>
      </c>
      <c r="B1628" s="2" t="s">
        <v>1987</v>
      </c>
      <c r="C1628" s="2" t="s">
        <v>3201</v>
      </c>
      <c r="D1628" s="2" t="s">
        <v>1989</v>
      </c>
      <c r="E1628" s="4" t="n">
        <v>0</v>
      </c>
      <c r="F1628" s="4" t="n">
        <v>0</v>
      </c>
      <c r="G1628" s="4" t="n">
        <v>0</v>
      </c>
      <c r="H1628" s="2" t="s">
        <v>1385</v>
      </c>
    </row>
    <row r="1629" customFormat="false" ht="15" hidden="false" customHeight="false" outlineLevel="0" collapsed="false">
      <c r="A1629" s="2" t="s">
        <v>30</v>
      </c>
      <c r="B1629" s="2" t="s">
        <v>3202</v>
      </c>
      <c r="C1629" s="2" t="s">
        <v>3203</v>
      </c>
      <c r="D1629" s="2"/>
      <c r="E1629" s="4" t="n">
        <v>0</v>
      </c>
      <c r="F1629" s="4" t="n">
        <v>0</v>
      </c>
      <c r="G1629" s="4" t="n">
        <v>0</v>
      </c>
      <c r="H1629" s="2" t="s">
        <v>1385</v>
      </c>
    </row>
    <row r="1630" customFormat="false" ht="15" hidden="false" customHeight="false" outlineLevel="0" collapsed="false">
      <c r="A1630" s="2" t="s">
        <v>30</v>
      </c>
      <c r="B1630" s="2" t="s">
        <v>3204</v>
      </c>
      <c r="C1630" s="2" t="s">
        <v>3205</v>
      </c>
      <c r="D1630" s="2" t="s">
        <v>3206</v>
      </c>
      <c r="E1630" s="4" t="n">
        <v>577.86</v>
      </c>
      <c r="F1630" s="4" t="n">
        <v>52.53</v>
      </c>
      <c r="G1630" s="4" t="n">
        <v>525.33</v>
      </c>
      <c r="H1630" s="2" t="s">
        <v>1385</v>
      </c>
    </row>
    <row r="1631" customFormat="false" ht="15" hidden="false" customHeight="false" outlineLevel="0" collapsed="false">
      <c r="E1631" s="8"/>
      <c r="F1631" s="8"/>
      <c r="G1631" s="8"/>
    </row>
    <row r="1632" customFormat="false" ht="15" hidden="false" customHeight="false" outlineLevel="0" collapsed="false">
      <c r="A1632" s="5" t="s">
        <v>34</v>
      </c>
      <c r="E1632" s="7" t="n">
        <f aca="false">SUM(E2:E1630)</f>
        <v>510099.61</v>
      </c>
      <c r="F1632" s="7" t="n">
        <f aca="false">SUM(F2:F1630)</f>
        <v>46539.33</v>
      </c>
      <c r="G1632" s="7" t="n">
        <f aca="false">SUM(G2:G1630)</f>
        <v>463560.28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35.05" hidden="false" customHeight="false" outlineLevel="0" collapsed="false">
      <c r="A1" s="9" t="s">
        <v>3207</v>
      </c>
    </row>
    <row r="2" customFormat="false" ht="35.05" hidden="false" customHeight="false" outlineLevel="0" collapsed="false">
      <c r="A2" s="9" t="s">
        <v>3208</v>
      </c>
    </row>
    <row r="3" customFormat="false" ht="23.85" hidden="false" customHeight="false" outlineLevel="0" collapsed="false">
      <c r="A3" s="9" t="s">
        <v>3209</v>
      </c>
    </row>
    <row r="4" customFormat="false" ht="15" hidden="false" customHeight="false" outlineLevel="0" collapsed="false">
      <c r="A4" s="9" t="s">
        <v>3210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2026-08-18T08:17:32Z</dcterms:created>
  <dc:creator>openpyxl</dc:creator>
  <dc:description/>
  <dc:language>en-US</dc:language>
  <cp:lastModifiedBy/>
  <dcterms:modified xsi:type="dcterms:W3CDTF">2026-08-18T08:17:32Z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
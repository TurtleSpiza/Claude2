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Summary" sheetId="1" state="visible" r:id="rId3"/>
    <sheet name="Findings" sheetId="2" state="visible" r:id="rId4"/>
    <sheet name="Park_Costs" sheetId="3" state="visible" r:id="rId5"/>
    <sheet name="Bins_Driver_Recon" sheetId="4" state="visible" r:id="rId6"/>
    <sheet name="Waste_Series" sheetId="5" state="visible" r:id="rId7"/>
    <sheet name="Cleanaway_Jun24" sheetId="6" state="visible" r:id="rId8"/>
    <sheet name="Elec_Site_Recon" sheetId="7" state="visible" r:id="rId9"/>
    <sheet name="Elec_Register_Line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<sst xmlns="http://schemas.openxmlformats.org/spreadsheetml/2006/main" count="8236" uniqueCount="2149">
  <si>
    <t xml:space="preserve">PS/WP Batch 39: Cleanaway waste allocation and Origin electricity statements</t>
  </si>
  <si>
    <t xml:space="preserve">Analysis only, 18-Aug-2026. Register v41 unchanged; control total $11,377,312.51 not touched. Sources: 5 Origin statement CSVs, Public Place Bins Charges 25/26, Cleanaway invoice 25009848 email.</t>
  </si>
  <si>
    <t xml:space="preserve">Parks waste charges, FY24 to FY26</t>
  </si>
  <si>
    <t xml:space="preserve">FY2025/26 public place bins</t>
  </si>
  <si>
    <t xml:space="preserve">Bins driver months tying to the cent</t>
  </si>
  <si>
    <t xml:space="preserve">Electricity sites reconciled</t>
  </si>
  <si>
    <t xml:space="preserve">Electricity lines evidenced</t>
  </si>
  <si>
    <t xml:space="preserve">Electricity ex GST reconciled</t>
  </si>
  <si>
    <t xml:space="preserve">12 of 12</t>
  </si>
  <si>
    <t xml:space="preserve">234 of 234</t>
  </si>
  <si>
    <t xml:space="preserve">Three-year Parks waste position</t>
  </si>
  <si>
    <t xml:space="preserve">FY</t>
  </si>
  <si>
    <t xml:space="preserve">Public place bins (Parks share)</t>
  </si>
  <si>
    <t xml:space="preserve">Secondary 73122 series</t>
  </si>
  <si>
    <t xml:space="preserve">Internal rates, event bins, accrual residue</t>
  </si>
  <si>
    <t xml:space="preserve">Total</t>
  </si>
  <si>
    <t xml:space="preserve">Movement on prior FY</t>
  </si>
  <si>
    <t xml:space="preserve">FY2023/24</t>
  </si>
  <si>
    <t xml:space="preserve">FY2024/25</t>
  </si>
  <si>
    <t xml:space="preserve">FY2025/26</t>
  </si>
  <si>
    <t xml:space="preserve">FY2026/27 (part year)</t>
  </si>
  <si>
    <t xml:space="preserve">TOTAL</t>
  </si>
  <si>
    <t xml:space="preserve">FY2026/27 carries no public place bins posting at 18-Aug-2026; on the FY2025/26 pattern roughly $1.12M is still to land.</t>
  </si>
  <si>
    <t xml:space="preserve">What this session did NOT do</t>
  </si>
  <si>
    <t xml:space="preserve">- No register write. v41 workbook is unchanged and the control total stands at $11,377,312.51.</t>
  </si>
  <si>
    <t xml:space="preserve">- No invoice capture under rules 16/17: the Cleanaway document is a Council-wide summary invoice with ten service lines, not a Parks line-item invoice, and its Parks share is a downstream allocation.</t>
  </si>
  <si>
    <t xml:space="preserve">- No Tier 1 upgrade on the 746 electricity lines: all are already Confirmed, which the v35 rule bars an identification build from touching. Direction needed before any build.</t>
  </si>
  <si>
    <t xml:space="preserve">Findings and proposed Open Items</t>
  </si>
  <si>
    <t xml:space="preserve">Batch 39 analysis. No register write performed; nothing in this workbook has been posted to the register.</t>
  </si>
  <si>
    <t xml:space="preserve">#</t>
  </si>
  <si>
    <t xml:space="preserve">Finding</t>
  </si>
  <si>
    <t xml:space="preserve">Detail</t>
  </si>
  <si>
    <t xml:space="preserve">Magnitude</t>
  </si>
  <si>
    <t xml:space="preserve">A</t>
  </si>
  <si>
    <t xml:space="preserve">Natural account switched mid-series</t>
  </si>
  <si>
    <t xml:space="preserve">The identical economic charge (Parks share of Cleanaway public place bin lifts) is coded 73122 Garbage Collect in FY2023/24 and FY2024/25 and 7B115 Internal - Garb from FY2025/26. Trending either account alone is wrong: 73122 falls from $999,918 to $24,702, a 97.5% apparent saving that did not occur. Rule 11 scope symmetry applies to any cross-year waste comparison.</t>
  </si>
  <si>
    <t xml:space="preserve">$999,918 reclassified</t>
  </si>
  <si>
    <t xml:space="preserve">B</t>
  </si>
  <si>
    <t xml:space="preserve">FY2025/26 public place bins reconcile 12 of 12</t>
  </si>
  <si>
    <t xml:space="preserve">Every monthly Parks posting equals the Waste branch driver workbook (LCC DOCS-19541843-v1) row "Parks" to the cent, Jul-2025 to Jun-2026. The driver codes the line (PK) PK000022-7B115.</t>
  </si>
  <si>
    <t xml:space="preserve">$1,123,128.88</t>
  </si>
  <si>
    <t xml:space="preserve">C</t>
  </si>
  <si>
    <t xml:space="preserve">Four narration wordings for one charge</t>
  </si>
  <si>
    <t xml:space="preserve">Within FY2025/26 the same monthly charge is narrated "Collection Charges", "Internal Garbage Charges", "Waste bin and disposal charges" and "Public Place Bins". Rule 2 nature determination on narration alone is unreliable for this series.</t>
  </si>
  <si>
    <t xml:space="preserve">12 postings</t>
  </si>
  <si>
    <t xml:space="preserve">D</t>
  </si>
  <si>
    <t xml:space="preserve">A second, smaller garbage series runs in parallel</t>
  </si>
  <si>
    <t xml:space="preserve">73122 continues in FY2025/26 at roughly $2,058 a month, 12 postings, citing real Cleanaway invoice numbers (25130428, 25173104, 25172924, 25255469, 25264357). Not the public place bins stream and not yet identified as to scope.</t>
  </si>
  <si>
    <t xml:space="preserve">$24,702.17</t>
  </si>
  <si>
    <t xml:space="preserve">E</t>
  </si>
  <si>
    <t xml:space="preserve">Service period lags the posting period by about two months</t>
  </si>
  <si>
    <t xml:space="preserve">Cleanaway invoice 25009848 is dated 8-Jul-2024 and narrated "June", but its Statement of Services covers 28-Apr-2024 to 25-May-2024. Register FY (Service) on this series should be read against the service window, not the narration month.</t>
  </si>
  <si>
    <t xml:space="preserve">Whole series</t>
  </si>
  <si>
    <t xml:space="preserve">F</t>
  </si>
  <si>
    <t xml:space="preserve">Posting lag inside the register</t>
  </si>
  <si>
    <t xml:space="preserve">FY2025/26 Jul and Aug charges post 4-Nov-2025; FY2023/24 Jul and Aug charges post 26-Oct-2023. At 18-Aug-2026 no FY2026/27 public place bins charge has posted at all.</t>
  </si>
  <si>
    <t xml:space="preserve">About $1.12M still to land in FY2026/27</t>
  </si>
  <si>
    <t xml:space="preserve">G</t>
  </si>
  <si>
    <t xml:space="preserve">Public place rates rose and became size-differentiated</t>
  </si>
  <si>
    <t xml:space="preserve">Apr-May 2024 charged every public place bin at a flat $6.127 a lift ($6.691 dog waste). FY2025/26 charges $6.99 for 60L and 140L park bins, $7.61 dog, $7.60 140L, $7.90 240L. The 240L rate rose 28.9%.</t>
  </si>
  <si>
    <t xml:space="preserve">Rate driver</t>
  </si>
  <si>
    <t xml:space="preserve">H</t>
  </si>
  <si>
    <t xml:space="preserve">Park land internal charges restructured in FY2026/27</t>
  </si>
  <si>
    <t xml:space="preserve">PK000092 appears for the first time in FY2026/27 carrying 1,981 lines and $402,746.33 of Fire Levy, Internal Water, Internal Sewerage and Internal Garbage across individual park parcels. Internal garbage alone is 328 lines and $177,073.50. Previously PK000022 carried two parcels only.</t>
  </si>
  <si>
    <t xml:space="preserve">$402,746.33</t>
  </si>
  <si>
    <t xml:space="preserve">I</t>
  </si>
  <si>
    <t xml:space="preserve">Evans Road internal garbage charge jumped 13.8 times</t>
  </si>
  <si>
    <t xml:space="preserve">Parcel 9714148, 90-110 Evans Road, charged $1,014.75 a quarter through FY2025/26 and $13,987.00 in 2027-1 (register row 20602). Confirm whether the FY2026/27 posting is annual in advance or a genuine rate change.</t>
  </si>
  <si>
    <t xml:space="preserve">$13,987.00</t>
  </si>
  <si>
    <t xml:space="preserve">J</t>
  </si>
  <si>
    <t xml:space="preserve">Water Parks share mis-posted then corrected</t>
  </si>
  <si>
    <t xml:space="preserve">The driver carries a Water row of $195.72 to $244.65 a month coded (PS)100054-200-7B115, outside the PK ledger. In Jun-2026 $244.65 posted to PK000022 (row 14028) and was reversed the same day (row 14026). The correction is right; the exposure is that Water Parks waste sits outside the PK structure entirely.</t>
  </si>
  <si>
    <t xml:space="preserve">$2,628.87 a year</t>
  </si>
  <si>
    <t xml:space="preserve">K</t>
  </si>
  <si>
    <t xml:space="preserve">All 746 electricity lines on the five statements reconcile to source</t>
  </si>
  <si>
    <t xml:space="preserve">Grouped by statement and NMI, 234 of 234 sites tie register ex GST to the Origin statement site total to the cent. The statements carry NMI, service address, meter number, read type, volume, tariff and supply charge for each site.</t>
  </si>
  <si>
    <t xml:space="preserve">$27,621.35</t>
  </si>
  <si>
    <t xml:space="preserve">L</t>
  </si>
  <si>
    <t xml:space="preserve">Those 746 lines are Confirmed at Tier 2 and cannot be upgraded by the identification driver</t>
  </si>
  <si>
    <t xml:space="preserve">Every one carries Status Confirmed, Evidence Tier 2, Nature Basis "Line narration". The v35 standing rule bars an identification build from touching a Confirmed row, so pswp_ident_batch.py would skip all 746. A Tier 1 upgrade on retailer statement evidence needs an authorised pathway before any build runs.</t>
  </si>
  <si>
    <t xml:space="preserve">746 lines</t>
  </si>
  <si>
    <t xml:space="preserve">M</t>
  </si>
  <si>
    <t xml:space="preserve">Data_Acquisition G1 is now further fulfilled</t>
  </si>
  <si>
    <t xml:space="preserve">G1 records the Origin collective statements A-FE35E476 and A-5AF9E63D as an ongoing priority 2 feed, "Partially held". Statements -021, -028, -029, -030 and -031 are now in hand. Still absent from the register scope: -022, -023, -025, -026, -032, -033, -034 and the whole A-5AF9E63D series.</t>
  </si>
  <si>
    <t xml:space="preserve">8 statements outstanding</t>
  </si>
  <si>
    <t xml:space="preserve">Cost per park / site, all loaded years (register v42, column DY)</t>
  </si>
  <si>
    <t xml:space="preserve">483 parks. Attributed only where a source field carries a full park name. 319 multi-site lines ($904,116.12) are held unallocated; 15,698 lines ($8,065,429.62) carry no park name.</t>
  </si>
  <si>
    <t xml:space="preserve">Park / Site</t>
  </si>
  <si>
    <t xml:space="preserve">Lines</t>
  </si>
  <si>
    <t xml:space="preserve">FY2026/27</t>
  </si>
  <si>
    <t xml:space="preserve">Total ex GST</t>
  </si>
  <si>
    <t xml:space="preserve">Primary PK</t>
  </si>
  <si>
    <t xml:space="preserve">Primary basis</t>
  </si>
  <si>
    <t xml:space="preserve">Woodridge Adventure Park</t>
  </si>
  <si>
    <t xml:space="preserve">PK000413</t>
  </si>
  <si>
    <t xml:space="preserve">Sighted invoice site (printed)</t>
  </si>
  <si>
    <t xml:space="preserve">Tully Memorial Park</t>
  </si>
  <si>
    <t xml:space="preserve">PK000022</t>
  </si>
  <si>
    <t xml:space="preserve">Teviot Downs Park</t>
  </si>
  <si>
    <t xml:space="preserve">Greenbank Meadows Park</t>
  </si>
  <si>
    <t xml:space="preserve">PK000415</t>
  </si>
  <si>
    <t xml:space="preserve">Underwood Park</t>
  </si>
  <si>
    <t xml:space="preserve">Electricity supply point</t>
  </si>
  <si>
    <t xml:space="preserve">Alexander Clark Park</t>
  </si>
  <si>
    <t xml:space="preserve">Jimboomba Park</t>
  </si>
  <si>
    <t xml:space="preserve">Doug Larsen Park</t>
  </si>
  <si>
    <t xml:space="preserve">Darlington Parklands</t>
  </si>
  <si>
    <t xml:space="preserve">PK000441</t>
  </si>
  <si>
    <t xml:space="preserve">Rates parcel narration</t>
  </si>
  <si>
    <t xml:space="preserve">Waller Park</t>
  </si>
  <si>
    <t xml:space="preserve">PK000092</t>
  </si>
  <si>
    <t xml:space="preserve">Anzac Park</t>
  </si>
  <si>
    <t xml:space="preserve">Buxton Park</t>
  </si>
  <si>
    <t xml:space="preserve">Springwood Park</t>
  </si>
  <si>
    <t xml:space="preserve">Everleigh Sports Park</t>
  </si>
  <si>
    <t xml:space="preserve">GL narration</t>
  </si>
  <si>
    <t xml:space="preserve">Jamie Nicolson Park</t>
  </si>
  <si>
    <t xml:space="preserve">Sturdee Park</t>
  </si>
  <si>
    <t xml:space="preserve">Tygum Park</t>
  </si>
  <si>
    <t xml:space="preserve">Stoneleigh Reserve Park</t>
  </si>
  <si>
    <t xml:space="preserve">Logan Gardens</t>
  </si>
  <si>
    <t xml:space="preserve">Peters Park</t>
  </si>
  <si>
    <t xml:space="preserve">Riverdale Park</t>
  </si>
  <si>
    <t xml:space="preserve">Logan Village Green</t>
  </si>
  <si>
    <t xml:space="preserve">Crestmead Park</t>
  </si>
  <si>
    <t xml:space="preserve">Hugh Muntz Park</t>
  </si>
  <si>
    <t xml:space="preserve">Woodlands District Park</t>
  </si>
  <si>
    <t xml:space="preserve">Mabel Park</t>
  </si>
  <si>
    <t xml:space="preserve">Bellevue Park</t>
  </si>
  <si>
    <t xml:space="preserve">Haldham Park</t>
  </si>
  <si>
    <t xml:space="preserve">Larry Storey Park</t>
  </si>
  <si>
    <t xml:space="preserve">Dirram Yani Park</t>
  </si>
  <si>
    <t xml:space="preserve">Flagstone Regional Park</t>
  </si>
  <si>
    <t xml:space="preserve">PK000470</t>
  </si>
  <si>
    <t xml:space="preserve">Logan Reserve Riverside Park</t>
  </si>
  <si>
    <t xml:space="preserve">Kookaburra Park</t>
  </si>
  <si>
    <t xml:space="preserve">Riedel Park</t>
  </si>
  <si>
    <t xml:space="preserve">PK000118</t>
  </si>
  <si>
    <t xml:space="preserve">Pioneer Park</t>
  </si>
  <si>
    <t xml:space="preserve">Mayes Park</t>
  </si>
  <si>
    <t xml:space="preserve">Concourse Park</t>
  </si>
  <si>
    <t xml:space="preserve">Berrinba Wetlands Park</t>
  </si>
  <si>
    <t xml:space="preserve">Forestglen Park</t>
  </si>
  <si>
    <t xml:space="preserve">Regents Park</t>
  </si>
  <si>
    <t xml:space="preserve">Eagleby Wetlands</t>
  </si>
  <si>
    <t xml:space="preserve">Logan River Parklands</t>
  </si>
  <si>
    <t xml:space="preserve">Flagstone Parklands</t>
  </si>
  <si>
    <t xml:space="preserve">Middle Park</t>
  </si>
  <si>
    <t xml:space="preserve">Haven Park</t>
  </si>
  <si>
    <t xml:space="preserve">Carvers Park</t>
  </si>
  <si>
    <t xml:space="preserve">Crossing Park</t>
  </si>
  <si>
    <t xml:space="preserve">Ewing Park</t>
  </si>
  <si>
    <t xml:space="preserve">Hugh Muntz Gardens</t>
  </si>
  <si>
    <t xml:space="preserve">Berrinba Wetlands</t>
  </si>
  <si>
    <t xml:space="preserve">PK000028</t>
  </si>
  <si>
    <t xml:space="preserve">Towns Park</t>
  </si>
  <si>
    <t xml:space="preserve">Nexus Forest Park</t>
  </si>
  <si>
    <t xml:space="preserve">Village Green</t>
  </si>
  <si>
    <t xml:space="preserve">Cornubia Adventure Park</t>
  </si>
  <si>
    <t xml:space="preserve">Harley St Shailer Park</t>
  </si>
  <si>
    <t xml:space="preserve">Sunrise Park</t>
  </si>
  <si>
    <t xml:space="preserve">Compton Park</t>
  </si>
  <si>
    <t xml:space="preserve">Skinners Park</t>
  </si>
  <si>
    <t xml:space="preserve">Gould Adams Park</t>
  </si>
  <si>
    <t xml:space="preserve">Eridani Park</t>
  </si>
  <si>
    <t xml:space="preserve">Boronia Bushland Reserve</t>
  </si>
  <si>
    <t xml:space="preserve">Noyer Park</t>
  </si>
  <si>
    <t xml:space="preserve">Valley View Park</t>
  </si>
  <si>
    <t xml:space="preserve">Federation Drive Reserve</t>
  </si>
  <si>
    <t xml:space="preserve">Demeio Park</t>
  </si>
  <si>
    <t xml:space="preserve">Richard Wilson Park</t>
  </si>
  <si>
    <t xml:space="preserve">Freshwater Park</t>
  </si>
  <si>
    <t xml:space="preserve">Logan Health Park</t>
  </si>
  <si>
    <t xml:space="preserve">Bedford Park</t>
  </si>
  <si>
    <t xml:space="preserve">Punter Park</t>
  </si>
  <si>
    <t xml:space="preserve">Lancaster Park</t>
  </si>
  <si>
    <t xml:space="preserve">Paradise Park</t>
  </si>
  <si>
    <t xml:space="preserve">Retreat Park</t>
  </si>
  <si>
    <t xml:space="preserve">Albert River Park</t>
  </si>
  <si>
    <t xml:space="preserve">Lakeview Park</t>
  </si>
  <si>
    <t xml:space="preserve">Carol Park</t>
  </si>
  <si>
    <t xml:space="preserve">Tudor Park</t>
  </si>
  <si>
    <t xml:space="preserve">Oates Park</t>
  </si>
  <si>
    <t xml:space="preserve">Shailer Pioneer Park</t>
  </si>
  <si>
    <t xml:space="preserve">Sighted invoice work description</t>
  </si>
  <si>
    <t xml:space="preserve">Passerine Park</t>
  </si>
  <si>
    <t xml:space="preserve">Orlando Park</t>
  </si>
  <si>
    <t xml:space="preserve">Glindemann Park</t>
  </si>
  <si>
    <t xml:space="preserve">Reserve Park</t>
  </si>
  <si>
    <t xml:space="preserve">Marsden Park</t>
  </si>
  <si>
    <t xml:space="preserve">Central Park</t>
  </si>
  <si>
    <t xml:space="preserve">Willow Rise Park</t>
  </si>
  <si>
    <t xml:space="preserve">Valencia Park</t>
  </si>
  <si>
    <t xml:space="preserve">Windaroo Lake Park</t>
  </si>
  <si>
    <t xml:space="preserve">Brushwood Park</t>
  </si>
  <si>
    <t xml:space="preserve">Rotary Park</t>
  </si>
  <si>
    <t xml:space="preserve">Cec Clark Park</t>
  </si>
  <si>
    <t xml:space="preserve">James Fitzgerald Park</t>
  </si>
  <si>
    <t xml:space="preserve">Edens Parkland</t>
  </si>
  <si>
    <t xml:space="preserve">Chantilly Park</t>
  </si>
  <si>
    <t xml:space="preserve">Meakin Park</t>
  </si>
  <si>
    <t xml:space="preserve">Shaw Street Oval</t>
  </si>
  <si>
    <t xml:space="preserve">PK000412</t>
  </si>
  <si>
    <t xml:space="preserve">Maintenance of Council's Bushland</t>
  </si>
  <si>
    <t xml:space="preserve">Enquiry narration</t>
  </si>
  <si>
    <t xml:space="preserve">Waterford West District Sports Park</t>
  </si>
  <si>
    <t xml:space="preserve">St James Park</t>
  </si>
  <si>
    <t xml:space="preserve">Schmidts Creek Corridor Park</t>
  </si>
  <si>
    <t xml:space="preserve">Chris Green Park</t>
  </si>
  <si>
    <t xml:space="preserve">Logan River Park</t>
  </si>
  <si>
    <t xml:space="preserve">Mckinnon Sports Park</t>
  </si>
  <si>
    <t xml:space="preserve">Nealdon Park</t>
  </si>
  <si>
    <t xml:space="preserve">Cecil Clark Park</t>
  </si>
  <si>
    <t xml:space="preserve">Red Ash Reserve</t>
  </si>
  <si>
    <t xml:space="preserve">Shailer Park</t>
  </si>
  <si>
    <t xml:space="preserve">Outlook Drive Park</t>
  </si>
  <si>
    <t xml:space="preserve">Alexander Park</t>
  </si>
  <si>
    <t xml:space="preserve">Echo Park</t>
  </si>
  <si>
    <t xml:space="preserve">Sanctuary Parklands</t>
  </si>
  <si>
    <t xml:space="preserve">Glenlogan Lakes Park</t>
  </si>
  <si>
    <t xml:space="preserve">Discovery Park</t>
  </si>
  <si>
    <t xml:space="preserve">Scouters Park</t>
  </si>
  <si>
    <t xml:space="preserve">Bill Norris Oval</t>
  </si>
  <si>
    <t xml:space="preserve">Lissadell Park</t>
  </si>
  <si>
    <t xml:space="preserve">Barbaralla Park</t>
  </si>
  <si>
    <t xml:space="preserve">Shailer Poineer Park</t>
  </si>
  <si>
    <t xml:space="preserve">Conquest Park</t>
  </si>
  <si>
    <t xml:space="preserve">Beenleigh Memorial Park</t>
  </si>
  <si>
    <t xml:space="preserve">PK000417</t>
  </si>
  <si>
    <t xml:space="preserve">Ridgecrest Park</t>
  </si>
  <si>
    <t xml:space="preserve">Brandon Park</t>
  </si>
  <si>
    <t xml:space="preserve">Caloola Park</t>
  </si>
  <si>
    <t xml:space="preserve">Kimberley Forest Park</t>
  </si>
  <si>
    <t xml:space="preserve">Noffke Park</t>
  </si>
  <si>
    <t xml:space="preserve">Hanlon Park</t>
  </si>
  <si>
    <t xml:space="preserve">Sandstone Park</t>
  </si>
  <si>
    <t xml:space="preserve">Evergreen Park</t>
  </si>
  <si>
    <t xml:space="preserve">Colville Park</t>
  </si>
  <si>
    <t xml:space="preserve">Cornubia Nature Reserve</t>
  </si>
  <si>
    <t xml:space="preserve">Charles Barton Park</t>
  </si>
  <si>
    <t xml:space="preserve">Everleigh Park</t>
  </si>
  <si>
    <t xml:space="preserve">Smith Park</t>
  </si>
  <si>
    <t xml:space="preserve">Tovey Park</t>
  </si>
  <si>
    <t xml:space="preserve">Allenby Park</t>
  </si>
  <si>
    <t xml:space="preserve">Tallowood Park</t>
  </si>
  <si>
    <t xml:space="preserve">Rosia Park</t>
  </si>
  <si>
    <t xml:space="preserve">Berrinba Park</t>
  </si>
  <si>
    <t xml:space="preserve">Spring Mountain Reserve</t>
  </si>
  <si>
    <t xml:space="preserve">Boulevard Park</t>
  </si>
  <si>
    <t xml:space="preserve">Homestead Park</t>
  </si>
  <si>
    <t xml:space="preserve">Silvertop Park</t>
  </si>
  <si>
    <t xml:space="preserve">Hogg Park</t>
  </si>
  <si>
    <t xml:space="preserve">Lincoln Green</t>
  </si>
  <si>
    <t xml:space="preserve">Moxey Park</t>
  </si>
  <si>
    <t xml:space="preserve">Pinnington Park</t>
  </si>
  <si>
    <t xml:space="preserve">Mallard Park</t>
  </si>
  <si>
    <t xml:space="preserve">Bushmills Park</t>
  </si>
  <si>
    <t xml:space="preserve">Wells Park</t>
  </si>
  <si>
    <t xml:space="preserve">Millwood Park</t>
  </si>
  <si>
    <t xml:space="preserve">Beenleigh Town Square</t>
  </si>
  <si>
    <t xml:space="preserve">Peppertree Park</t>
  </si>
  <si>
    <t xml:space="preserve">PK000292</t>
  </si>
  <si>
    <t xml:space="preserve">Kiewa Park</t>
  </si>
  <si>
    <t xml:space="preserve">Norton Park</t>
  </si>
  <si>
    <t xml:space="preserve">Ray Hackwood Park</t>
  </si>
  <si>
    <t xml:space="preserve">J J Smith Park</t>
  </si>
  <si>
    <t xml:space="preserve">Waitara Park</t>
  </si>
  <si>
    <t xml:space="preserve">Wagensveldt Park</t>
  </si>
  <si>
    <t xml:space="preserve">Gardiner Road Bushland Park</t>
  </si>
  <si>
    <t xml:space="preserve">Volstead Corner Park</t>
  </si>
  <si>
    <t xml:space="preserve">Usher Park</t>
  </si>
  <si>
    <t xml:space="preserve">Emerald Park</t>
  </si>
  <si>
    <t xml:space="preserve">Settlers Park</t>
  </si>
  <si>
    <t xml:space="preserve">Greenbank Rec Reserve</t>
  </si>
  <si>
    <t xml:space="preserve">Pebble Creek District Park</t>
  </si>
  <si>
    <t xml:space="preserve">Everleigh Dr Green</t>
  </si>
  <si>
    <t xml:space="preserve">Monash Park</t>
  </si>
  <si>
    <t xml:space="preserve">Boronia Bushland</t>
  </si>
  <si>
    <t xml:space="preserve">Logan West Parklands</t>
  </si>
  <si>
    <t xml:space="preserve">Belyando Park</t>
  </si>
  <si>
    <t xml:space="preserve">Hubner Park</t>
  </si>
  <si>
    <t xml:space="preserve">Pardoo Park</t>
  </si>
  <si>
    <t xml:space="preserve">Bradley Park</t>
  </si>
  <si>
    <t xml:space="preserve">Lavelle Park</t>
  </si>
  <si>
    <t xml:space="preserve">Songbird Park</t>
  </si>
  <si>
    <t xml:space="preserve">Sweetgum Park</t>
  </si>
  <si>
    <t xml:space="preserve">James Street-rotary Park</t>
  </si>
  <si>
    <t xml:space="preserve">Parfrey Road Park</t>
  </si>
  <si>
    <t xml:space="preserve">August Berndt Park</t>
  </si>
  <si>
    <t xml:space="preserve">Lagoon Park</t>
  </si>
  <si>
    <t xml:space="preserve">Magellan Park</t>
  </si>
  <si>
    <t xml:space="preserve">Everleigh Entrance Park</t>
  </si>
  <si>
    <t xml:space="preserve">Bbq Underwood Park</t>
  </si>
  <si>
    <t xml:space="preserve">Jingeri Park</t>
  </si>
  <si>
    <t xml:space="preserve">Leaf Park</t>
  </si>
  <si>
    <t xml:space="preserve">Lincoln Green Park</t>
  </si>
  <si>
    <t xml:space="preserve">Leawarra Park</t>
  </si>
  <si>
    <t xml:space="preserve">Trailwood Park</t>
  </si>
  <si>
    <t xml:space="preserve">Pebble Creek Parklands</t>
  </si>
  <si>
    <t xml:space="preserve">Willow Park</t>
  </si>
  <si>
    <t xml:space="preserve">Parkway Park</t>
  </si>
  <si>
    <t xml:space="preserve">Atlantic Park</t>
  </si>
  <si>
    <t xml:space="preserve">Nexus Park</t>
  </si>
  <si>
    <t xml:space="preserve">Spring Mountain Reserve Park</t>
  </si>
  <si>
    <t xml:space="preserve">Tansey Park</t>
  </si>
  <si>
    <t xml:space="preserve">Coachwood Park</t>
  </si>
  <si>
    <t xml:space="preserve">Wagawn Park</t>
  </si>
  <si>
    <t xml:space="preserve">Lansdown Park</t>
  </si>
  <si>
    <t xml:space="preserve">Council Park</t>
  </si>
  <si>
    <t xml:space="preserve">Carnation Park</t>
  </si>
  <si>
    <t xml:space="preserve">Springwood Conservation Park</t>
  </si>
  <si>
    <t xml:space="preserve">Alberta Park</t>
  </si>
  <si>
    <t xml:space="preserve">Havenbah Park</t>
  </si>
  <si>
    <t xml:space="preserve">Rainbow Park</t>
  </si>
  <si>
    <t xml:space="preserve">Battle Park</t>
  </si>
  <si>
    <t xml:space="preserve">Zorina Park</t>
  </si>
  <si>
    <t xml:space="preserve">Jacaranda Avenue-anzac Park</t>
  </si>
  <si>
    <t xml:space="preserve">Wearing Park</t>
  </si>
  <si>
    <t xml:space="preserve">Halcyon Way Logan Reserve</t>
  </si>
  <si>
    <t xml:space="preserve">Bega Park</t>
  </si>
  <si>
    <t xml:space="preserve">Millstream Retreat Park</t>
  </si>
  <si>
    <t xml:space="preserve">Greenstone Park</t>
  </si>
  <si>
    <t xml:space="preserve">Saunders Park</t>
  </si>
  <si>
    <t xml:space="preserve">Sanctuary Park</t>
  </si>
  <si>
    <t xml:space="preserve">Trinette St Shailer Park</t>
  </si>
  <si>
    <t xml:space="preserve">School Rd Logan Reserve</t>
  </si>
  <si>
    <t xml:space="preserve">Sequana Central Park</t>
  </si>
  <si>
    <t xml:space="preserve">Albert Park</t>
  </si>
  <si>
    <t xml:space="preserve">Bill Kohlmann Park</t>
  </si>
  <si>
    <t xml:space="preserve">Turill St Shailer Park</t>
  </si>
  <si>
    <t xml:space="preserve">Augustus Park</t>
  </si>
  <si>
    <t xml:space="preserve">Bbq Stoten Park</t>
  </si>
  <si>
    <t xml:space="preserve">Leslie Parade Park</t>
  </si>
  <si>
    <t xml:space="preserve">Baroona Park</t>
  </si>
  <si>
    <t xml:space="preserve">Highland Park</t>
  </si>
  <si>
    <t xml:space="preserve">Beryl Parade-tully Memorial Park</t>
  </si>
  <si>
    <t xml:space="preserve">Village Park</t>
  </si>
  <si>
    <t xml:space="preserve">Copal Dr Logan Reserve</t>
  </si>
  <si>
    <t xml:space="preserve">Rockford Park</t>
  </si>
  <si>
    <t xml:space="preserve">Mandew Park</t>
  </si>
  <si>
    <t xml:space="preserve">Windaroo Peace Memorial Park</t>
  </si>
  <si>
    <t xml:space="preserve">Toolooma Park</t>
  </si>
  <si>
    <t xml:space="preserve">Coalston Crsg Park</t>
  </si>
  <si>
    <t xml:space="preserve">Carrick Park</t>
  </si>
  <si>
    <t xml:space="preserve">Mount Warren Park</t>
  </si>
  <si>
    <t xml:space="preserve">Daybreak Park</t>
  </si>
  <si>
    <t xml:space="preserve">Ponderosa Park</t>
  </si>
  <si>
    <t xml:space="preserve">Dart Park</t>
  </si>
  <si>
    <t xml:space="preserve">Bill Carmody Park</t>
  </si>
  <si>
    <t xml:space="preserve">Brookvale Park</t>
  </si>
  <si>
    <t xml:space="preserve">Byron Park</t>
  </si>
  <si>
    <t xml:space="preserve">Clint Park</t>
  </si>
  <si>
    <t xml:space="preserve">Chester Park</t>
  </si>
  <si>
    <t xml:space="preserve">Latitude Park</t>
  </si>
  <si>
    <t xml:space="preserve">Timothy Park</t>
  </si>
  <si>
    <t xml:space="preserve">Chambers Ridge Bvd Park</t>
  </si>
  <si>
    <t xml:space="preserve">Akers Park</t>
  </si>
  <si>
    <t xml:space="preserve">Turnock Park</t>
  </si>
  <si>
    <t xml:space="preserve">Collie Park</t>
  </si>
  <si>
    <t xml:space="preserve">Foxx Park</t>
  </si>
  <si>
    <t xml:space="preserve">Isle Of Ely Park</t>
  </si>
  <si>
    <t xml:space="preserve">Kilkenny Park</t>
  </si>
  <si>
    <t xml:space="preserve">Crystal Brook Park</t>
  </si>
  <si>
    <t xml:space="preserve">Belmore Park</t>
  </si>
  <si>
    <t xml:space="preserve">Grove Road Reserve</t>
  </si>
  <si>
    <t xml:space="preserve">Elm Park</t>
  </si>
  <si>
    <t xml:space="preserve">Jinnung Jali Park</t>
  </si>
  <si>
    <t xml:space="preserve">Pauline Park</t>
  </si>
  <si>
    <t xml:space="preserve">Springvale Park</t>
  </si>
  <si>
    <t xml:space="preserve">William H Cramer Park</t>
  </si>
  <si>
    <t xml:space="preserve">Bangalla Park</t>
  </si>
  <si>
    <t xml:space="preserve">Plunkett Park</t>
  </si>
  <si>
    <t xml:space="preserve">Seaton Park</t>
  </si>
  <si>
    <t xml:space="preserve">Bayliss Park</t>
  </si>
  <si>
    <t xml:space="preserve">Thorsbourne Park</t>
  </si>
  <si>
    <t xml:space="preserve">Emerson Park</t>
  </si>
  <si>
    <t xml:space="preserve">Mary Huntress Park</t>
  </si>
  <si>
    <t xml:space="preserve">Ashton Park</t>
  </si>
  <si>
    <t xml:space="preserve">Woodlands Park</t>
  </si>
  <si>
    <t xml:space="preserve">Arlington Park</t>
  </si>
  <si>
    <t xml:space="preserve">Ratz Park</t>
  </si>
  <si>
    <t xml:space="preserve">Drover Crescent-settlers Park</t>
  </si>
  <si>
    <t xml:space="preserve">Herses Drainage Reserve</t>
  </si>
  <si>
    <t xml:space="preserve">Bushlark Park</t>
  </si>
  <si>
    <t xml:space="preserve">Ernie White Park</t>
  </si>
  <si>
    <t xml:space="preserve">K J Asling Park</t>
  </si>
  <si>
    <t xml:space="preserve">Parkdale Park</t>
  </si>
  <si>
    <t xml:space="preserve">Featherstone Park</t>
  </si>
  <si>
    <t xml:space="preserve">Hawthorn Park</t>
  </si>
  <si>
    <t xml:space="preserve">Railway Parade-settlers Park</t>
  </si>
  <si>
    <t xml:space="preserve">Moffatt Park</t>
  </si>
  <si>
    <t xml:space="preserve">Centenary Park</t>
  </si>
  <si>
    <t xml:space="preserve">Wendron Park</t>
  </si>
  <si>
    <t xml:space="preserve">Moreland Park</t>
  </si>
  <si>
    <t xml:space="preserve">Progress Park</t>
  </si>
  <si>
    <t xml:space="preserve">Adelong Park</t>
  </si>
  <si>
    <t xml:space="preserve">Quinton Court Park</t>
  </si>
  <si>
    <t xml:space="preserve">Harmony Park</t>
  </si>
  <si>
    <t xml:space="preserve">Oakdale Park</t>
  </si>
  <si>
    <t xml:space="preserve">Booiurragun Park</t>
  </si>
  <si>
    <t xml:space="preserve">Ironbark Park</t>
  </si>
  <si>
    <t xml:space="preserve">Nexus Reserve</t>
  </si>
  <si>
    <t xml:space="preserve">Priestdale Park</t>
  </si>
  <si>
    <t xml:space="preserve">People'S Place Park</t>
  </si>
  <si>
    <t xml:space="preserve">Raleigh Street-magellan Park</t>
  </si>
  <si>
    <t xml:space="preserve">Lobelia Park</t>
  </si>
  <si>
    <t xml:space="preserve">Leslie Park</t>
  </si>
  <si>
    <t xml:space="preserve">Burrinjuck Park</t>
  </si>
  <si>
    <t xml:space="preserve">Wembley Falls Park</t>
  </si>
  <si>
    <t xml:space="preserve">Veryan Park</t>
  </si>
  <si>
    <t xml:space="preserve">Clara Park</t>
  </si>
  <si>
    <t xml:space="preserve">Kokada Park</t>
  </si>
  <si>
    <t xml:space="preserve">Bottlebrush Park</t>
  </si>
  <si>
    <t xml:space="preserve">Chatfield Park</t>
  </si>
  <si>
    <t xml:space="preserve">Pescara Park</t>
  </si>
  <si>
    <t xml:space="preserve">Bernice Park</t>
  </si>
  <si>
    <t xml:space="preserve">Chervil Park</t>
  </si>
  <si>
    <t xml:space="preserve">Castle Park</t>
  </si>
  <si>
    <t xml:space="preserve">Homesteat Park</t>
  </si>
  <si>
    <t xml:space="preserve">Buttata Park</t>
  </si>
  <si>
    <t xml:space="preserve">Roselea Street-homestead Park</t>
  </si>
  <si>
    <t xml:space="preserve">Sherwood Park</t>
  </si>
  <si>
    <t xml:space="preserve">Outlook Park</t>
  </si>
  <si>
    <t xml:space="preserve">Concorde Park</t>
  </si>
  <si>
    <t xml:space="preserve">Spearwood Park</t>
  </si>
  <si>
    <t xml:space="preserve">Mikaga Park</t>
  </si>
  <si>
    <t xml:space="preserve">Spring Mountain Park</t>
  </si>
  <si>
    <t xml:space="preserve">Bertha Park</t>
  </si>
  <si>
    <t xml:space="preserve">Bass Park</t>
  </si>
  <si>
    <t xml:space="preserve">Forest Park</t>
  </si>
  <si>
    <t xml:space="preserve">Maranda Park</t>
  </si>
  <si>
    <t xml:space="preserve">Autumnfield Park</t>
  </si>
  <si>
    <t xml:space="preserve">Hillcrest Park</t>
  </si>
  <si>
    <t xml:space="preserve">View Park</t>
  </si>
  <si>
    <t xml:space="preserve">Timperley Park</t>
  </si>
  <si>
    <t xml:space="preserve">Woollard Park</t>
  </si>
  <si>
    <t xml:space="preserve">Tabari Park</t>
  </si>
  <si>
    <t xml:space="preserve">Sunrise Street-willow Park</t>
  </si>
  <si>
    <t xml:space="preserve">Ranchwood Park</t>
  </si>
  <si>
    <t xml:space="preserve">Beta Park</t>
  </si>
  <si>
    <t xml:space="preserve">Gum Park</t>
  </si>
  <si>
    <t xml:space="preserve">Goldmine Park</t>
  </si>
  <si>
    <t xml:space="preserve">Henderson Reserve</t>
  </si>
  <si>
    <t xml:space="preserve">Saratoga Park</t>
  </si>
  <si>
    <t xml:space="preserve">Jean Park</t>
  </si>
  <si>
    <t xml:space="preserve">Ken May Park</t>
  </si>
  <si>
    <t xml:space="preserve">Denny Way Park</t>
  </si>
  <si>
    <t xml:space="preserve">Overton Park</t>
  </si>
  <si>
    <t xml:space="preserve">Surman Park</t>
  </si>
  <si>
    <t xml:space="preserve">Hibbertia Park</t>
  </si>
  <si>
    <t xml:space="preserve">Powell Park</t>
  </si>
  <si>
    <t xml:space="preserve">Maas Park</t>
  </si>
  <si>
    <t xml:space="preserve">Maryfields Park</t>
  </si>
  <si>
    <t xml:space="preserve">Archery Park</t>
  </si>
  <si>
    <t xml:space="preserve">Daisy Hill Park</t>
  </si>
  <si>
    <t xml:space="preserve">Driftwood Park</t>
  </si>
  <si>
    <t xml:space="preserve">Flinders Park</t>
  </si>
  <si>
    <t xml:space="preserve">Petringa Park</t>
  </si>
  <si>
    <t xml:space="preserve">Seymore Park</t>
  </si>
  <si>
    <t xml:space="preserve">Michelle Johnston Park</t>
  </si>
  <si>
    <t xml:space="preserve">Jones Park</t>
  </si>
  <si>
    <t xml:space="preserve">Shannon Ramsay Park</t>
  </si>
  <si>
    <t xml:space="preserve">Park Ridge District Park</t>
  </si>
  <si>
    <t xml:space="preserve">Henry Jordan Park</t>
  </si>
  <si>
    <t xml:space="preserve">Morgan Park</t>
  </si>
  <si>
    <t xml:space="preserve">Collin Park</t>
  </si>
  <si>
    <t xml:space="preserve">Brabham Park</t>
  </si>
  <si>
    <t xml:space="preserve">Sutton Park</t>
  </si>
  <si>
    <t xml:space="preserve">Logan Reserve Park</t>
  </si>
  <si>
    <t xml:space="preserve">Porter Park</t>
  </si>
  <si>
    <t xml:space="preserve">Belivah Sport Park</t>
  </si>
  <si>
    <t xml:space="preserve">Landra Park</t>
  </si>
  <si>
    <t xml:space="preserve">Whetton Park</t>
  </si>
  <si>
    <t xml:space="preserve">Graham Hogg Park</t>
  </si>
  <si>
    <t xml:space="preserve">Dorset Park</t>
  </si>
  <si>
    <t xml:space="preserve">Activity Park</t>
  </si>
  <si>
    <t xml:space="preserve">Curtin Park</t>
  </si>
  <si>
    <t xml:space="preserve">Acorn Park</t>
  </si>
  <si>
    <t xml:space="preserve">Coleman Park</t>
  </si>
  <si>
    <t xml:space="preserve">Coronation Park</t>
  </si>
  <si>
    <t xml:space="preserve">Mountain View Park</t>
  </si>
  <si>
    <t xml:space="preserve">Marshall Park</t>
  </si>
  <si>
    <t xml:space="preserve">Ellen Park</t>
  </si>
  <si>
    <t xml:space="preserve">Diamantina Park</t>
  </si>
  <si>
    <t xml:space="preserve">Langford Park</t>
  </si>
  <si>
    <t xml:space="preserve">Devine Park</t>
  </si>
  <si>
    <t xml:space="preserve">Gladewood Park</t>
  </si>
  <si>
    <t xml:space="preserve">Olympic Park</t>
  </si>
  <si>
    <t xml:space="preserve">Booran Park</t>
  </si>
  <si>
    <t xml:space="preserve">Jimboomba Riverside Park</t>
  </si>
  <si>
    <t xml:space="preserve">Sebring Park</t>
  </si>
  <si>
    <t xml:space="preserve">Coral Park</t>
  </si>
  <si>
    <t xml:space="preserve">Schonwerder Drive Reserve</t>
  </si>
  <si>
    <t xml:space="preserve">Murrays Environmental Reserve</t>
  </si>
  <si>
    <t xml:space="preserve">Maclean Park</t>
  </si>
  <si>
    <t xml:space="preserve">Glen Logan Lakes Park</t>
  </si>
  <si>
    <t xml:space="preserve">Opperman Park</t>
  </si>
  <si>
    <t xml:space="preserve">Cornubia Forest Park</t>
  </si>
  <si>
    <t xml:space="preserve">Corniubia Park</t>
  </si>
  <si>
    <t xml:space="preserve">Rhodes Park</t>
  </si>
  <si>
    <t xml:space="preserve">Spann Park</t>
  </si>
  <si>
    <t xml:space="preserve">Grecian Park</t>
  </si>
  <si>
    <t xml:space="preserve">Ballan Park</t>
  </si>
  <si>
    <t xml:space="preserve">Flesser Park</t>
  </si>
  <si>
    <t xml:space="preserve">Ainslie Park</t>
  </si>
  <si>
    <t xml:space="preserve">Bbq Hugh Muntz Gardens</t>
  </si>
  <si>
    <t xml:space="preserve">PK000428</t>
  </si>
  <si>
    <t xml:space="preserve">Lowe Oval</t>
  </si>
  <si>
    <t xml:space="preserve">Gavin Park</t>
  </si>
  <si>
    <t xml:space="preserve">Chambers Flat Road Park</t>
  </si>
  <si>
    <t xml:space="preserve">Kingston Road Scrubby Creek Park</t>
  </si>
  <si>
    <t xml:space="preserve">Dryade Park</t>
  </si>
  <si>
    <t xml:space="preserve">Carnarvon Park</t>
  </si>
  <si>
    <t xml:space="preserve">Alford Park</t>
  </si>
  <si>
    <t xml:space="preserve">Torres Park</t>
  </si>
  <si>
    <t xml:space="preserve">Slacks Creek Environmental Park</t>
  </si>
  <si>
    <t xml:space="preserve">Albert Valley Park</t>
  </si>
  <si>
    <t xml:space="preserve">Barokee Park</t>
  </si>
  <si>
    <t xml:space="preserve">Bourke Park</t>
  </si>
  <si>
    <t xml:space="preserve">Lennon Drive Reserve</t>
  </si>
  <si>
    <t xml:space="preserve">Sub Station Park</t>
  </si>
  <si>
    <t xml:space="preserve">Loane Drive Park</t>
  </si>
  <si>
    <t xml:space="preserve">Anakie Park</t>
  </si>
  <si>
    <t xml:space="preserve">Mitchell Park</t>
  </si>
  <si>
    <t xml:space="preserve">Presley Park</t>
  </si>
  <si>
    <t xml:space="preserve">Thornhill Park</t>
  </si>
  <si>
    <t xml:space="preserve">Trinder Park</t>
  </si>
  <si>
    <t xml:space="preserve">Hilder Park</t>
  </si>
  <si>
    <t xml:space="preserve">Karoonda Park</t>
  </si>
  <si>
    <t xml:space="preserve">Collard Park</t>
  </si>
  <si>
    <t xml:space="preserve">Gunungai Park</t>
  </si>
  <si>
    <t xml:space="preserve">Lima Park</t>
  </si>
  <si>
    <t xml:space="preserve">Boundary Street Park</t>
  </si>
  <si>
    <t xml:space="preserve">Milne Street Roadside Park</t>
  </si>
  <si>
    <t xml:space="preserve">Lance Road Park</t>
  </si>
  <si>
    <t xml:space="preserve">Third Park</t>
  </si>
  <si>
    <t xml:space="preserve">Sunday Reserve</t>
  </si>
  <si>
    <t xml:space="preserve">Hideaway Mountain Bushland Reserve</t>
  </si>
  <si>
    <t xml:space="preserve">Laughlin Park</t>
  </si>
  <si>
    <t xml:space="preserve">Carinya Park</t>
  </si>
  <si>
    <t xml:space="preserve">Campden Park</t>
  </si>
  <si>
    <t xml:space="preserve">Prince Park</t>
  </si>
  <si>
    <t xml:space="preserve">Cadagi Park</t>
  </si>
  <si>
    <t xml:space="preserve">Exilis Park</t>
  </si>
  <si>
    <t xml:space="preserve">Civic Centre Park</t>
  </si>
  <si>
    <t xml:space="preserve">Riverside Park</t>
  </si>
  <si>
    <t xml:space="preserve">Rutyna Park</t>
  </si>
  <si>
    <t xml:space="preserve">Thompson Park</t>
  </si>
  <si>
    <t xml:space="preserve">Richter Park</t>
  </si>
  <si>
    <t xml:space="preserve">Fischer Park</t>
  </si>
  <si>
    <t xml:space="preserve">Schmidt Park</t>
  </si>
  <si>
    <t xml:space="preserve">Hughes Street Park</t>
  </si>
  <si>
    <t xml:space="preserve">Fryars Road Park</t>
  </si>
  <si>
    <t xml:space="preserve">Alamein Street Junction Reserve</t>
  </si>
  <si>
    <t xml:space="preserve">Hawthorne Park</t>
  </si>
  <si>
    <t xml:space="preserve">Bahrs Scrub Parklands</t>
  </si>
  <si>
    <t xml:space="preserve">Giesemann Park</t>
  </si>
  <si>
    <t xml:space="preserve">Sharon Drive Park</t>
  </si>
  <si>
    <t xml:space="preserve">Scottdale Park</t>
  </si>
  <si>
    <t xml:space="preserve">Alvine Park</t>
  </si>
  <si>
    <t xml:space="preserve">Gambaro Park</t>
  </si>
  <si>
    <t xml:space="preserve">Herses Park</t>
  </si>
  <si>
    <t xml:space="preserve">Bahrs Scrub Estate Park</t>
  </si>
  <si>
    <t xml:space="preserve">Sandover Park</t>
  </si>
  <si>
    <t xml:space="preserve">Geoff Philp Reserve</t>
  </si>
  <si>
    <t xml:space="preserve">Yore Park</t>
  </si>
  <si>
    <t xml:space="preserve">Boyne Reserve</t>
  </si>
  <si>
    <t xml:space="preserve">Highgate Garden</t>
  </si>
  <si>
    <t xml:space="preserve">Wilby Garden</t>
  </si>
  <si>
    <t xml:space="preserve">Riverview Park</t>
  </si>
  <si>
    <t xml:space="preserve">Fauna WAY Park</t>
  </si>
  <si>
    <t xml:space="preserve">Schmidts Creek Creek Corridor Park</t>
  </si>
  <si>
    <t xml:space="preserve">Cronulla Park</t>
  </si>
  <si>
    <t xml:space="preserve">Angelsea Park</t>
  </si>
  <si>
    <t xml:space="preserve">Priests Gully Park</t>
  </si>
  <si>
    <t xml:space="preserve">Kerstin Park</t>
  </si>
  <si>
    <t xml:space="preserve">Lilygreen Park</t>
  </si>
  <si>
    <t xml:space="preserve">Juanita Park</t>
  </si>
  <si>
    <t xml:space="preserve">Scarlett Park</t>
  </si>
  <si>
    <t xml:space="preserve">Whitey Park</t>
  </si>
  <si>
    <t xml:space="preserve">Beenleigh Redland Bay Environmental Park</t>
  </si>
  <si>
    <t xml:space="preserve">Platypus Reserve</t>
  </si>
  <si>
    <t xml:space="preserve">Parrot Reserve</t>
  </si>
  <si>
    <t xml:space="preserve">Lyndale Reserve</t>
  </si>
  <si>
    <t xml:space="preserve">RED GUM Reserve</t>
  </si>
  <si>
    <t xml:space="preserve">Split LOG Park</t>
  </si>
  <si>
    <t xml:space="preserve">Longfin Park</t>
  </si>
  <si>
    <t xml:space="preserve">Liberty Roadside Park</t>
  </si>
  <si>
    <t xml:space="preserve">Belhaven Park</t>
  </si>
  <si>
    <t xml:space="preserve">Cascara Reserve</t>
  </si>
  <si>
    <t xml:space="preserve">Sentinel Park</t>
  </si>
  <si>
    <t xml:space="preserve">Road-waterford West District Sports Park</t>
  </si>
  <si>
    <t xml:space="preserve">Logan Garden Park</t>
  </si>
  <si>
    <t xml:space="preserve">PK000469</t>
  </si>
  <si>
    <t xml:space="preserve">Undertake General Park</t>
  </si>
  <si>
    <t xml:space="preserve">TOTAL attributed</t>
  </si>
  <si>
    <t xml:space="preserve">Multiple sites named (not allocated)</t>
  </si>
  <si>
    <t xml:space="preserve">(no site named)</t>
  </si>
  <si>
    <t xml:space="preserve">REGISTER TOTAL</t>
  </si>
  <si>
    <t xml:space="preserve">Tie check (21,469 lines and $11,377,312.51)</t>
  </si>
  <si>
    <t xml:space="preserve">FY2025/26 public place bins: Waste branch driver vs register postings</t>
  </si>
  <si>
    <t xml:space="preserve">Driver: LCC DOCS-19541843-v1 Public Place Bins Charges 25/26, row "Parks", coded (PK) PK000022-7B115. 12 of 12 months tie to the cent.</t>
  </si>
  <si>
    <t xml:space="preserve">Service month</t>
  </si>
  <si>
    <t xml:space="preserve">Driver: Parks</t>
  </si>
  <si>
    <t xml:space="preserve">Driver: RCM</t>
  </si>
  <si>
    <t xml:space="preserve">Driver: grand total</t>
  </si>
  <si>
    <t xml:space="preserve">Parks share %</t>
  </si>
  <si>
    <t xml:space="preserve">Register ex GST</t>
  </si>
  <si>
    <t xml:space="preserve">Difference</t>
  </si>
  <si>
    <t xml:space="preserve">Register row / narration</t>
  </si>
  <si>
    <t xml:space="preserve">Jul-2025</t>
  </si>
  <si>
    <t xml:space="preserve">row 17580  |  Collection Charges-July 2025</t>
  </si>
  <si>
    <t xml:space="preserve">Aug-2025</t>
  </si>
  <si>
    <t xml:space="preserve">row 17581  |  Collection Charges-August 2025</t>
  </si>
  <si>
    <t xml:space="preserve">Sep-2025</t>
  </si>
  <si>
    <t xml:space="preserve">row 17302  |  Internal Garbage Charges-September 2025</t>
  </si>
  <si>
    <t xml:space="preserve">Oct-2025</t>
  </si>
  <si>
    <t xml:space="preserve">row 17085  |  Waste bin and disposal charges-October 2025</t>
  </si>
  <si>
    <t xml:space="preserve">Nov-2025</t>
  </si>
  <si>
    <t xml:space="preserve">row 17086  |  Waste bin and disposal charges-November 2025</t>
  </si>
  <si>
    <t xml:space="preserve">Dec-2025</t>
  </si>
  <si>
    <t xml:space="preserve">row 15631  |  Public Place Bins-December 2025</t>
  </si>
  <si>
    <t xml:space="preserve">Jan-2026</t>
  </si>
  <si>
    <t xml:space="preserve">row 15170  |  Public Place Bins-January 2026</t>
  </si>
  <si>
    <t xml:space="preserve">Feb-2026</t>
  </si>
  <si>
    <t xml:space="preserve">row 15171  |  Public Place Bins-February 2026</t>
  </si>
  <si>
    <t xml:space="preserve">Mar-2026</t>
  </si>
  <si>
    <t xml:space="preserve">row 14777  |  Public Place Bins-March 2026</t>
  </si>
  <si>
    <t xml:space="preserve">Apr-2026</t>
  </si>
  <si>
    <t xml:space="preserve">row 14105  |  Public Place Bins-April 2026</t>
  </si>
  <si>
    <t xml:space="preserve">May-2026</t>
  </si>
  <si>
    <t xml:space="preserve">row 14106  |  Public Place Bins-May 2026</t>
  </si>
  <si>
    <t xml:space="preserve">Jun-2026</t>
  </si>
  <si>
    <t xml:space="preserve">row 14027  |  Public Place Bins-June 26</t>
  </si>
  <si>
    <t xml:space="preserve">Check: total difference must be $0.00</t>
  </si>
  <si>
    <t xml:space="preserve">Parks waste and public-place bin charges, FY2023/24 to FY2026/27</t>
  </si>
  <si>
    <t xml:space="preserve">Register PS/WP v41. Accrual journals excluded (T9). Natural accounts 73122 Garbage Collect and 7B115 Internal - Garb.</t>
  </si>
  <si>
    <t xml:space="preserve">Reg row</t>
  </si>
  <si>
    <t xml:space="preserve">FY (Doc)</t>
  </si>
  <si>
    <t xml:space="preserve">Account</t>
  </si>
  <si>
    <t xml:space="preserve">Account name</t>
  </si>
  <si>
    <t xml:space="preserve">Doc Date</t>
  </si>
  <si>
    <t xml:space="preserve">Reference</t>
  </si>
  <si>
    <t xml:space="preserve">PK Charged</t>
  </si>
  <si>
    <t xml:space="preserve">Amount ex GST</t>
  </si>
  <si>
    <t xml:space="preserve">Narration (GL line)</t>
  </si>
  <si>
    <t xml:space="preserve">Status</t>
  </si>
  <si>
    <t xml:space="preserve">Stream</t>
  </si>
  <si>
    <t xml:space="preserve">73122</t>
  </si>
  <si>
    <t xml:space="preserve">Garbage Collect</t>
  </si>
  <si>
    <t xml:space="preserve">2023-10-26</t>
  </si>
  <si>
    <t xml:space="preserve">GJ067674</t>
  </si>
  <si>
    <t xml:space="preserve">FY23/24 Garbage Charges-July-Inv 14410596</t>
  </si>
  <si>
    <t xml:space="preserve">Confirmed</t>
  </si>
  <si>
    <t xml:space="preserve">GJ067675</t>
  </si>
  <si>
    <t xml:space="preserve">FY23/24 Garbage Charges-August-Inv 14402370 &amp; 14411227</t>
  </si>
  <si>
    <t xml:space="preserve">2023-11-28</t>
  </si>
  <si>
    <t xml:space="preserve">GJ068087</t>
  </si>
  <si>
    <t xml:space="preserve">FY23/24 Garbage Charges-September-Inv 14221862</t>
  </si>
  <si>
    <t xml:space="preserve">2024-01-02</t>
  </si>
  <si>
    <t xml:space="preserve">GJ068455</t>
  </si>
  <si>
    <t xml:space="preserve">FY23/24 Garbage Charges-October-Inv 14221862</t>
  </si>
  <si>
    <t xml:space="preserve">2024-02-29</t>
  </si>
  <si>
    <t xml:space="preserve">GJ069254</t>
  </si>
  <si>
    <t xml:space="preserve">Cleanaway December-Invoice 14445926</t>
  </si>
  <si>
    <t xml:space="preserve">2024-03-04</t>
  </si>
  <si>
    <t xml:space="preserve">GJ069289</t>
  </si>
  <si>
    <t xml:space="preserve">FY 23/24 Garbage Charges-November Invoice 14434754</t>
  </si>
  <si>
    <t xml:space="preserve">2024-04-03</t>
  </si>
  <si>
    <t xml:space="preserve">GJ069626</t>
  </si>
  <si>
    <t xml:space="preserve">FY 23/24 Garbage Charges-January Invoice 14456915</t>
  </si>
  <si>
    <t xml:space="preserve">2024-05-24</t>
  </si>
  <si>
    <t xml:space="preserve">GJ070269</t>
  </si>
  <si>
    <t xml:space="preserve">FY23/24 Garbage Charges-February-Inv 14467005 &amp; 14476345</t>
  </si>
  <si>
    <t xml:space="preserve">2024-06-03</t>
  </si>
  <si>
    <t xml:space="preserve">GJ070357</t>
  </si>
  <si>
    <t xml:space="preserve">FY23/24 Garbage Charges-March-Inv 14477591</t>
  </si>
  <si>
    <t xml:space="preserve">2024-06-27</t>
  </si>
  <si>
    <t xml:space="preserve">GJ070776</t>
  </si>
  <si>
    <t xml:space="preserve">FY23/24 Garbage Charges-May-25001641</t>
  </si>
  <si>
    <t xml:space="preserve">GJ070774</t>
  </si>
  <si>
    <t xml:space="preserve">FY23/24 Garbage Charges-April-Inv 14487857</t>
  </si>
  <si>
    <t xml:space="preserve">2024-06-30</t>
  </si>
  <si>
    <t xml:space="preserve">EY553004</t>
  </si>
  <si>
    <t xml:space="preserve">FY23/24 Garbage Charges-June-25009848</t>
  </si>
  <si>
    <t xml:space="preserve">2024-09-02</t>
  </si>
  <si>
    <t xml:space="preserve">GJ071468</t>
  </si>
  <si>
    <t xml:space="preserve">FY24/25 Garbage Charges-July-25021585</t>
  </si>
  <si>
    <t xml:space="preserve">2024-10-23</t>
  </si>
  <si>
    <t xml:space="preserve">GJ072125</t>
  </si>
  <si>
    <t xml:space="preserve">FY24/25 Garbage Charges-August-25040654</t>
  </si>
  <si>
    <t xml:space="preserve">2024-12-03</t>
  </si>
  <si>
    <t xml:space="preserve">GJ072668</t>
  </si>
  <si>
    <t xml:space="preserve">FY24/25 Garbage Charges-September-25021585</t>
  </si>
  <si>
    <t xml:space="preserve">2025-01-03</t>
  </si>
  <si>
    <t xml:space="preserve">GJ072962</t>
  </si>
  <si>
    <t xml:space="preserve">FY24/25 Garbage Charges-October-25055402 &amp; 25060528</t>
  </si>
  <si>
    <t xml:space="preserve">2025-02-04</t>
  </si>
  <si>
    <t xml:space="preserve">GJ073336</t>
  </si>
  <si>
    <t xml:space="preserve">FY24/25 Garbage Charges-November-25061694</t>
  </si>
  <si>
    <t xml:space="preserve">2025-03-03</t>
  </si>
  <si>
    <t xml:space="preserve">GJ073715</t>
  </si>
  <si>
    <t xml:space="preserve">FY24/25 Garbage Charges-December 2025-25071667</t>
  </si>
  <si>
    <t xml:space="preserve">2025-04-01</t>
  </si>
  <si>
    <t xml:space="preserve">GJ074088</t>
  </si>
  <si>
    <t xml:space="preserve">FY24/25 Garbage Charges-January 2025-25081511</t>
  </si>
  <si>
    <t xml:space="preserve">2025-06-19</t>
  </si>
  <si>
    <t xml:space="preserve">GJ075277</t>
  </si>
  <si>
    <t xml:space="preserve">FY24/25 Garbage Charges-March 2025-25102172</t>
  </si>
  <si>
    <t xml:space="preserve">GJ075280</t>
  </si>
  <si>
    <t xml:space="preserve">FY24/25 Garbage Charges-February 2025-25091294</t>
  </si>
  <si>
    <t xml:space="preserve">2025-06-30</t>
  </si>
  <si>
    <t xml:space="preserve">PJ009223</t>
  </si>
  <si>
    <t xml:space="preserve">FY24/25 Garbage Charges-May 2025-25126116</t>
  </si>
  <si>
    <t xml:space="preserve">PJ009214</t>
  </si>
  <si>
    <t xml:space="preserve">FY24/25 Garbage Charges-April 2025-25123269</t>
  </si>
  <si>
    <t xml:space="preserve">PJ009224</t>
  </si>
  <si>
    <t xml:space="preserve">FY24/25 Garbage Charges-June  2025-25130428</t>
  </si>
  <si>
    <t xml:space="preserve">7B115</t>
  </si>
  <si>
    <t xml:space="preserve">Internal - Garb</t>
  </si>
  <si>
    <t xml:space="preserve">2025-11-04</t>
  </si>
  <si>
    <t xml:space="preserve">IJ073376</t>
  </si>
  <si>
    <t xml:space="preserve">Collection Charges-July 2025</t>
  </si>
  <si>
    <t xml:space="preserve">Collection Charges-August 2025</t>
  </si>
  <si>
    <t xml:space="preserve">GJ076960</t>
  </si>
  <si>
    <t xml:space="preserve">FY25/26 Garbage Charges-August-25173104</t>
  </si>
  <si>
    <t xml:space="preserve">Secondary garbage series</t>
  </si>
  <si>
    <t xml:space="preserve">GJ076954</t>
  </si>
  <si>
    <t xml:space="preserve">FY25/26 Garbage Charges-July-25130428</t>
  </si>
  <si>
    <t xml:space="preserve">2025-12-02</t>
  </si>
  <si>
    <t xml:space="preserve">IJ073580</t>
  </si>
  <si>
    <t xml:space="preserve">Internal Garbage Charges-September 2025</t>
  </si>
  <si>
    <t xml:space="preserve">GJ077308</t>
  </si>
  <si>
    <t xml:space="preserve">FY25/26 Garbage Charges-September-25172924</t>
  </si>
  <si>
    <t xml:space="preserve">2026-01-05</t>
  </si>
  <si>
    <t xml:space="preserve">IJ073761</t>
  </si>
  <si>
    <t xml:space="preserve">Waste bin and disposal charges-October 2025</t>
  </si>
  <si>
    <t xml:space="preserve">Waste bin and disposal charges-November 2025</t>
  </si>
  <si>
    <t xml:space="preserve">GJ077648</t>
  </si>
  <si>
    <t xml:space="preserve">FY25/26 Garbage Charges-.-.</t>
  </si>
  <si>
    <t xml:space="preserve">2026-02-02</t>
  </si>
  <si>
    <t xml:space="preserve">GJ077967</t>
  </si>
  <si>
    <t xml:space="preserve">FY25/26 Garbage Charges-Cleanaway November 2025-.</t>
  </si>
  <si>
    <t xml:space="preserve">2026-03-02</t>
  </si>
  <si>
    <t xml:space="preserve">IJ074107</t>
  </si>
  <si>
    <t xml:space="preserve">Public Place Bins-December 2025</t>
  </si>
  <si>
    <t xml:space="preserve">GJ078369</t>
  </si>
  <si>
    <t xml:space="preserve">FY25/26 Garbage Charges-December 2025-.</t>
  </si>
  <si>
    <t xml:space="preserve">2026-04-01</t>
  </si>
  <si>
    <t xml:space="preserve">GJ078765</t>
  </si>
  <si>
    <t xml:space="preserve">FY25/26 Garbage Charges-January 2026-.</t>
  </si>
  <si>
    <t xml:space="preserve">FY25/26 Garbage Charges-February 2026-.</t>
  </si>
  <si>
    <t xml:space="preserve">IJ074369</t>
  </si>
  <si>
    <t xml:space="preserve">Public Place Bins-January 2026</t>
  </si>
  <si>
    <t xml:space="preserve">Public Place Bins-February 2026</t>
  </si>
  <si>
    <t xml:space="preserve">2026-05-01</t>
  </si>
  <si>
    <t xml:space="preserve">GJ079127</t>
  </si>
  <si>
    <t xml:space="preserve">FY25/26 Garbage Charges-March 2026-.</t>
  </si>
  <si>
    <t xml:space="preserve">2026-05-05</t>
  </si>
  <si>
    <t xml:space="preserve">IJ074549</t>
  </si>
  <si>
    <t xml:space="preserve">Public Place Bins-March 2026</t>
  </si>
  <si>
    <t xml:space="preserve">2026-06-25</t>
  </si>
  <si>
    <t xml:space="preserve">GJ080015</t>
  </si>
  <si>
    <t xml:space="preserve">FY25/26 Garbage Charges-April 2026-25255469</t>
  </si>
  <si>
    <t xml:space="preserve">FY25/26 Garbage Charges-May 2026-25264357</t>
  </si>
  <si>
    <t xml:space="preserve">2026-06-29</t>
  </si>
  <si>
    <t xml:space="preserve">IJ074964</t>
  </si>
  <si>
    <t xml:space="preserve">Public Place Bins-April 2026</t>
  </si>
  <si>
    <t xml:space="preserve">Public Place Bins-May 2026</t>
  </si>
  <si>
    <t xml:space="preserve">2026-06-30</t>
  </si>
  <si>
    <t xml:space="preserve">EY554231</t>
  </si>
  <si>
    <t xml:space="preserve">Public Place Bins-June 26</t>
  </si>
  <si>
    <t xml:space="preserve">Internal rates - garbage</t>
  </si>
  <si>
    <t xml:space="preserve">EY554232</t>
  </si>
  <si>
    <t xml:space="preserve">EY554190</t>
  </si>
  <si>
    <t xml:space="preserve">PJ009774</t>
  </si>
  <si>
    <t xml:space="preserve">FY25/26 Garbage Charges-June 2026-.</t>
  </si>
  <si>
    <t xml:space="preserve">Cleanaway tax invoice 25009848, 8-Jul-2024, contract HEW/02/2021</t>
  </si>
  <si>
    <t xml:space="preserve">Service period 28-Apr-2024 to 25-May-2024. Council-wide $1,770,244.85 ex GST. Parks share posted at register row 199, $89,600.41.</t>
  </si>
  <si>
    <t xml:space="preserve">Service detail (as printed)</t>
  </si>
  <si>
    <t xml:space="preserve">GST</t>
  </si>
  <si>
    <t xml:space="preserve">Total incl GST</t>
  </si>
  <si>
    <t xml:space="preserve">Note</t>
  </si>
  <si>
    <t xml:space="preserve">1</t>
  </si>
  <si>
    <t xml:space="preserve">1.00 x Clear Bulk Bin / Transfer Stations</t>
  </si>
  <si>
    <t xml:space="preserve">Waste branch</t>
  </si>
  <si>
    <t xml:space="preserve">2</t>
  </si>
  <si>
    <t xml:space="preserve">2.00 x Clear Commercial Cart / Events - General Waste</t>
  </si>
  <si>
    <t xml:space="preserve">3</t>
  </si>
  <si>
    <t xml:space="preserve">1.00 x Municipal Refuse Service / Domestic - General Waste</t>
  </si>
  <si>
    <t xml:space="preserve">4</t>
  </si>
  <si>
    <t xml:space="preserve">1.00 x Green Waste Collection / Domestic - Greenwaste</t>
  </si>
  <si>
    <t xml:space="preserve">5</t>
  </si>
  <si>
    <t xml:space="preserve">2.00 x Clear Recycle Cart / Events - Recylable</t>
  </si>
  <si>
    <t xml:space="preserve">6</t>
  </si>
  <si>
    <t xml:space="preserve">1.00 x Municipal Recycle Service / Domestic - Recyclable</t>
  </si>
  <si>
    <t xml:space="preserve">7</t>
  </si>
  <si>
    <t xml:space="preserve">1.00 x Clear Street Bin / Public Place - Recyclables</t>
  </si>
  <si>
    <t xml:space="preserve">PUBLIC PLACE - Parks share applies</t>
  </si>
  <si>
    <t xml:space="preserve">8</t>
  </si>
  <si>
    <t xml:space="preserve">1.00 x Clear Street &amp; Park Bin / Public Place - General</t>
  </si>
  <si>
    <t xml:space="preserve">9</t>
  </si>
  <si>
    <t xml:space="preserve">1.00 x Removal of Kerbside Waste / Kerbside Cleanup</t>
  </si>
  <si>
    <t xml:space="preserve">10</t>
  </si>
  <si>
    <t xml:space="preserve">1.00 x Animal Waste Serv P/Load / Dead Animal</t>
  </si>
  <si>
    <t xml:space="preserve">TOTAL as printed</t>
  </si>
  <si>
    <t xml:space="preserve">Public place total ex GST</t>
  </si>
  <si>
    <t xml:space="preserve">Parks share posted to PK000022 (register row 199)</t>
  </si>
  <si>
    <t xml:space="preserve">Implied Parks share of public place</t>
  </si>
  <si>
    <t xml:space="preserve">Compare 25/26 driver: Parks 76.2% of grand total</t>
  </si>
  <si>
    <t xml:space="preserve">Unreconciled variance stated by Waste branch</t>
  </si>
  <si>
    <t xml:space="preserve">Email M Commons 10-Jul-2024: "$161.34 between Cleanaway and our data"</t>
  </si>
  <si>
    <t xml:space="preserve">FY2025/26 electricity: Origin consolidated statements vs register lines, by site (NMI)</t>
  </si>
  <si>
    <t xml:space="preserve">Five statement breakdowns (-021, -028, -029, -030, -031). 234 of 234 sites reconcile to the cent; 746 register lines, $27,621.35 ex GST.</t>
  </si>
  <si>
    <t xml:space="preserve">Statement</t>
  </si>
  <si>
    <t xml:space="preserve">NMI</t>
  </si>
  <si>
    <t xml:space="preserve">Service address (as stated)</t>
  </si>
  <si>
    <t xml:space="preserve">Statement ex GST</t>
  </si>
  <si>
    <t xml:space="preserve">Reg lines</t>
  </si>
  <si>
    <t xml:space="preserve">PK</t>
  </si>
  <si>
    <t xml:space="preserve">Sub account</t>
  </si>
  <si>
    <t xml:space="preserve">Origin inv</t>
  </si>
  <si>
    <t xml:space="preserve">Register rows</t>
  </si>
  <si>
    <t xml:space="preserve">A-FE35E476-021</t>
  </si>
  <si>
    <t xml:space="preserve">QB065632365</t>
  </si>
  <si>
    <t xml:space="preserve">Amenities Block Lot 3 Boundary St Beenleigh QLD 4207</t>
  </si>
  <si>
    <t xml:space="preserve">A-850545D8</t>
  </si>
  <si>
    <t xml:space="preserve">110781471</t>
  </si>
  <si>
    <t xml:space="preserve">2021,4587,10056,11320</t>
  </si>
  <si>
    <t xml:space="preserve">A-FE35E476-028</t>
  </si>
  <si>
    <t xml:space="preserve">119111152</t>
  </si>
  <si>
    <t xml:space="preserve">2217,4544,9725,10778</t>
  </si>
  <si>
    <t xml:space="preserve">QB109907633</t>
  </si>
  <si>
    <t xml:space="preserve">WEST LOGAN NETBALL COURTS  155 MIDDLE RD  HILLCREST QLD 4118</t>
  </si>
  <si>
    <t xml:space="preserve">A-C6909E2E</t>
  </si>
  <si>
    <t xml:space="preserve">108772803</t>
  </si>
  <si>
    <t xml:space="preserve">4156,4913,9567,9809,10020,10331,13743,14199</t>
  </si>
  <si>
    <t xml:space="preserve">31200945048</t>
  </si>
  <si>
    <t xml:space="preserve">ST# 6 - 12 6-12 HARLEY ST  SHAILER PARK QLD 4128</t>
  </si>
  <si>
    <t xml:space="preserve">A-47BA027B</t>
  </si>
  <si>
    <t xml:space="preserve">108772153</t>
  </si>
  <si>
    <t xml:space="preserve">3167,8580,9689,13357</t>
  </si>
  <si>
    <t xml:space="preserve">QB070469793</t>
  </si>
  <si>
    <t xml:space="preserve">Historical Society Amenities 223 Main St Beenleigh QLD 4207</t>
  </si>
  <si>
    <t xml:space="preserve">A-0400B578</t>
  </si>
  <si>
    <t xml:space="preserve">109472613</t>
  </si>
  <si>
    <t xml:space="preserve">2829,9365</t>
  </si>
  <si>
    <t xml:space="preserve">QB125886101</t>
  </si>
  <si>
    <t xml:space="preserve">Logan Village Green 18 Wharf St Logan Village QLD 4207</t>
  </si>
  <si>
    <t xml:space="preserve">A-A058A8EF</t>
  </si>
  <si>
    <t xml:space="preserve">121050241</t>
  </si>
  <si>
    <t xml:space="preserve">6809,7894,8575,9744,9907,10615,14461,14699</t>
  </si>
  <si>
    <t xml:space="preserve">A-FE35E476-029</t>
  </si>
  <si>
    <t xml:space="preserve">125455983</t>
  </si>
  <si>
    <t xml:space="preserve">4402,8361,9525,12460</t>
  </si>
  <si>
    <t xml:space="preserve">31162104503</t>
  </si>
  <si>
    <t xml:space="preserve">LOGAN AND DISTRICT SERVICES CL  5 CROYDON RD  LOGAN CENTRAL QLD 4114</t>
  </si>
  <si>
    <t xml:space="preserve">A-2BCFC960</t>
  </si>
  <si>
    <t xml:space="preserve">107066367</t>
  </si>
  <si>
    <t xml:space="preserve">5125,7665,10176,11167,14416</t>
  </si>
  <si>
    <t xml:space="preserve">QB094874928</t>
  </si>
  <si>
    <t xml:space="preserve">Little Athelic Club 293 Logan St Eagleby QLD 4207</t>
  </si>
  <si>
    <t xml:space="preserve">A-4D97FE67</t>
  </si>
  <si>
    <t xml:space="preserve">127966806</t>
  </si>
  <si>
    <t xml:space="preserve">5897,8432,9673,12021</t>
  </si>
  <si>
    <t xml:space="preserve">109309458</t>
  </si>
  <si>
    <t xml:space="preserve">4556,9295</t>
  </si>
  <si>
    <t xml:space="preserve">31208935255</t>
  </si>
  <si>
    <t xml:space="preserve">Logan Health Park Lot 383 Armstrong Rd Meadowbrook QLD 4131</t>
  </si>
  <si>
    <t xml:space="preserve">A-D60D1A58</t>
  </si>
  <si>
    <t xml:space="preserve">109691352</t>
  </si>
  <si>
    <t xml:space="preserve">7028,8360,9537,11559,13159,13515</t>
  </si>
  <si>
    <t xml:space="preserve">31156054003</t>
  </si>
  <si>
    <t xml:space="preserve">Logan River Park Lot 2 Peacock Ave Beenleigh QLD 4207</t>
  </si>
  <si>
    <t xml:space="preserve">A-485CD648</t>
  </si>
  <si>
    <t xml:space="preserve">106857060</t>
  </si>
  <si>
    <t xml:space="preserve">6789,8544,10054,11319</t>
  </si>
  <si>
    <t xml:space="preserve">A-FE35E476-030</t>
  </si>
  <si>
    <t xml:space="preserve">31200942282</t>
  </si>
  <si>
    <t xml:space="preserve">Bbq And Lghting 140 Tygum Rd Waterford West QLD 4133</t>
  </si>
  <si>
    <t xml:space="preserve">A-130C10F2</t>
  </si>
  <si>
    <t xml:space="preserve">128683720</t>
  </si>
  <si>
    <t xml:space="preserve">5923,8737,13382,14555</t>
  </si>
  <si>
    <t xml:space="preserve">119120568</t>
  </si>
  <si>
    <t xml:space="preserve">7738,9512,9724,11223,13417,14427</t>
  </si>
  <si>
    <t xml:space="preserve">QB132671321</t>
  </si>
  <si>
    <t xml:space="preserve">Jamie Nicolson Ave Edens Landing QLD 4207</t>
  </si>
  <si>
    <t xml:space="preserve">A-0F5BA09A</t>
  </si>
  <si>
    <t xml:space="preserve">127689667</t>
  </si>
  <si>
    <t xml:space="preserve">7731,9224,9765,11049</t>
  </si>
  <si>
    <t xml:space="preserve">31200591613</t>
  </si>
  <si>
    <t xml:space="preserve">Woodlands District Park 1 Grand Tce Waterford QLD 4133</t>
  </si>
  <si>
    <t xml:space="preserve">A-6D1E88FB</t>
  </si>
  <si>
    <t xml:space="preserve">108772215</t>
  </si>
  <si>
    <t xml:space="preserve">6841,9632,12025,13838</t>
  </si>
  <si>
    <t xml:space="preserve">128137657</t>
  </si>
  <si>
    <t xml:space="preserve">7410,9147,10888,13168</t>
  </si>
  <si>
    <t xml:space="preserve">QB094096963</t>
  </si>
  <si>
    <t xml:space="preserve">ROTARY PARK  1-27 1-27 JOHANNA ST  JIMBOOMBA QLD 4280</t>
  </si>
  <si>
    <t xml:space="preserve">A-24594106</t>
  </si>
  <si>
    <t xml:space="preserve">108770156</t>
  </si>
  <si>
    <t xml:space="preserve">8314,9566,10363,11183,12762,13361,14276,14490</t>
  </si>
  <si>
    <t xml:space="preserve">31160750727</t>
  </si>
  <si>
    <t xml:space="preserve">Lot 806 TULLY CONNECTION RD  GREENBANK QLD 4124</t>
  </si>
  <si>
    <t xml:space="preserve">A-C495903C</t>
  </si>
  <si>
    <t xml:space="preserve">125456781</t>
  </si>
  <si>
    <t xml:space="preserve">8290,9524,10621,12295</t>
  </si>
  <si>
    <t xml:space="preserve">QB140732009</t>
  </si>
  <si>
    <t xml:space="preserve">SOUTH ST  JIMBOOMBA QLD 4280</t>
  </si>
  <si>
    <t xml:space="preserve">A-0556B40F</t>
  </si>
  <si>
    <t xml:space="preserve">108768703</t>
  </si>
  <si>
    <t xml:space="preserve">7870,9391,14705,14978</t>
  </si>
  <si>
    <t xml:space="preserve">QB128995510</t>
  </si>
  <si>
    <t xml:space="preserve">19 South St Jimboomba QLD 4280</t>
  </si>
  <si>
    <t xml:space="preserve">A-732642B1</t>
  </si>
  <si>
    <t xml:space="preserve">128737939</t>
  </si>
  <si>
    <t xml:space="preserve">7069,11221</t>
  </si>
  <si>
    <t xml:space="preserve">123932060</t>
  </si>
  <si>
    <t xml:space="preserve">8297,9875,11325</t>
  </si>
  <si>
    <t xml:space="preserve">A-FE35E476-031</t>
  </si>
  <si>
    <t xml:space="preserve">128737949</t>
  </si>
  <si>
    <t xml:space="preserve">8366,8687</t>
  </si>
  <si>
    <t xml:space="preserve">31200093948</t>
  </si>
  <si>
    <t xml:space="preserve">PLAYGROUND AREA  370 BROWNS PLAINS RD  BERRINBA QLD 4117</t>
  </si>
  <si>
    <t xml:space="preserve">A-EBA2BEF7</t>
  </si>
  <si>
    <t xml:space="preserve">128738072</t>
  </si>
  <si>
    <t xml:space="preserve">8567,8739,14084,14186</t>
  </si>
  <si>
    <t xml:space="preserve">31200966670</t>
  </si>
  <si>
    <t xml:space="preserve">PARK BBQS  Lot 902 BRADMAN ST  NEW BEITH QLD 4124</t>
  </si>
  <si>
    <t xml:space="preserve">A-8B2A5864</t>
  </si>
  <si>
    <t xml:space="preserve">128738054</t>
  </si>
  <si>
    <t xml:space="preserve">8509,8565</t>
  </si>
  <si>
    <t xml:space="preserve">31202545607</t>
  </si>
  <si>
    <t xml:space="preserve">BBQ AREA  380 PEPPERTREE DR  JIMBOOMBA QLD 4280</t>
  </si>
  <si>
    <t xml:space="preserve">A-A74420B6</t>
  </si>
  <si>
    <t xml:space="preserve">108773560</t>
  </si>
  <si>
    <t xml:space="preserve">8452,9545,13642,13839</t>
  </si>
  <si>
    <t xml:space="preserve">128683367</t>
  </si>
  <si>
    <t xml:space="preserve">7726,11214</t>
  </si>
  <si>
    <t xml:space="preserve">QB100498519</t>
  </si>
  <si>
    <t xml:space="preserve">CECIL CLARK PARK  FRYAR RD  EAGLEBY QLD 4207</t>
  </si>
  <si>
    <t xml:space="preserve">A-7E7593AB</t>
  </si>
  <si>
    <t xml:space="preserve">120444252</t>
  </si>
  <si>
    <t xml:space="preserve">10162,10238,10669,10727,13336,13739</t>
  </si>
  <si>
    <t xml:space="preserve">QB100514654</t>
  </si>
  <si>
    <t xml:space="preserve">Ray Hackwood Park 2 Saverin Rd Eagleby QLD 4207</t>
  </si>
  <si>
    <t xml:space="preserve">A-C960C2B6</t>
  </si>
  <si>
    <t xml:space="preserve">119235412</t>
  </si>
  <si>
    <t xml:space="preserve">9906,9995,10670,10733</t>
  </si>
  <si>
    <t xml:space="preserve">QB097890493</t>
  </si>
  <si>
    <t xml:space="preserve">20 Lincoln Green Dr Forestdale QLD 4118</t>
  </si>
  <si>
    <t xml:space="preserve">A-0AF7D9D1</t>
  </si>
  <si>
    <t xml:space="preserve">108769888</t>
  </si>
  <si>
    <t xml:space="preserve">9768,9799,12467,12863</t>
  </si>
  <si>
    <t xml:space="preserve">31201868819</t>
  </si>
  <si>
    <t xml:space="preserve">PARK AMENITIES  24 WHARF ST  LOGAN VILLAGE QLD 4207</t>
  </si>
  <si>
    <t xml:space="preserve">A-3FA89813</t>
  </si>
  <si>
    <t xml:space="preserve">121080695</t>
  </si>
  <si>
    <t xml:space="preserve">9905,10458,10668,11595</t>
  </si>
  <si>
    <t xml:space="preserve">QB100515891</t>
  </si>
  <si>
    <t xml:space="preserve">ALBERT RIVER PARK  1 FRYAR RD  EAGLEBY QLD 4207</t>
  </si>
  <si>
    <t xml:space="preserve">A-F8104A5A</t>
  </si>
  <si>
    <t xml:space="preserve">109363833</t>
  </si>
  <si>
    <t xml:space="preserve">9336,9421</t>
  </si>
  <si>
    <t xml:space="preserve">109712967</t>
  </si>
  <si>
    <t xml:space="preserve">9859,10489,12454,13587,13814,14518</t>
  </si>
  <si>
    <t xml:space="preserve">31203019750</t>
  </si>
  <si>
    <t xml:space="preserve">TOILET BLOCK 71 CLARKS RD LOGANHOLME QLD 4129</t>
  </si>
  <si>
    <t xml:space="preserve">A-D14210D2</t>
  </si>
  <si>
    <t xml:space="preserve">125456609</t>
  </si>
  <si>
    <t xml:space="preserve">8738,10180,14556,15078</t>
  </si>
  <si>
    <t xml:space="preserve">126096305</t>
  </si>
  <si>
    <t xml:space="preserve">8325,12821</t>
  </si>
  <si>
    <t xml:space="preserve">QB083337005</t>
  </si>
  <si>
    <t xml:space="preserve">Council Pump 1 Carl Heck Bvd Windaroo QLD 4207</t>
  </si>
  <si>
    <t xml:space="preserve">A-B34FB29A</t>
  </si>
  <si>
    <t xml:space="preserve">125455943</t>
  </si>
  <si>
    <t xml:space="preserve">9176,10574,13999,14625</t>
  </si>
  <si>
    <t xml:space="preserve">31206666085</t>
  </si>
  <si>
    <t xml:space="preserve">Park Lighting Lot 802 Everleigh Dr Greenbank QLD 4124</t>
  </si>
  <si>
    <t xml:space="preserve">A-285C70B0</t>
  </si>
  <si>
    <t xml:space="preserve">109692113</t>
  </si>
  <si>
    <t xml:space="preserve">10478,11556,12173,13157,13163,13513</t>
  </si>
  <si>
    <t xml:space="preserve">QB133433272</t>
  </si>
  <si>
    <t xml:space="preserve">LAVELLE PARK  17 ARGYLE RD  GREENBANK QLD 4124</t>
  </si>
  <si>
    <t xml:space="preserve">A-BFE11368</t>
  </si>
  <si>
    <t xml:space="preserve">128737954</t>
  </si>
  <si>
    <t xml:space="preserve">8627,10545,14990</t>
  </si>
  <si>
    <t xml:space="preserve">31202492525</t>
  </si>
  <si>
    <t xml:space="preserve">169 BEAUDESERT-BEENLEIGH RD  MOUNT WARREN PARK QLD 4207</t>
  </si>
  <si>
    <t xml:space="preserve">A-0988EC52</t>
  </si>
  <si>
    <t xml:space="preserve">120363493</t>
  </si>
  <si>
    <t xml:space="preserve">10229,10337,12758,12862,14431,14991</t>
  </si>
  <si>
    <t xml:space="preserve">QB106345176</t>
  </si>
  <si>
    <t xml:space="preserve">41 Logan St Beenleigh QLD 4207</t>
  </si>
  <si>
    <t xml:space="preserve">A-B3CD97E5</t>
  </si>
  <si>
    <t xml:space="preserve">106884441</t>
  </si>
  <si>
    <t xml:space="preserve">10002,12085,12765,12773,14058,14060,15220,15564</t>
  </si>
  <si>
    <t xml:space="preserve">31203854055</t>
  </si>
  <si>
    <t xml:space="preserve">Rachael Lee Art Work Lot 9010 Garragull Dr Yarrabilba QLD 4207</t>
  </si>
  <si>
    <t xml:space="preserve">A-F46EEB08</t>
  </si>
  <si>
    <t xml:space="preserve">125456565</t>
  </si>
  <si>
    <t xml:space="preserve">8684,10549,15229,15581</t>
  </si>
  <si>
    <t xml:space="preserve">31166740144</t>
  </si>
  <si>
    <t xml:space="preserve">2 ALBERT ST WATERFORD QLD 4133</t>
  </si>
  <si>
    <t xml:space="preserve">A-6E70D15A</t>
  </si>
  <si>
    <t xml:space="preserve">125456762</t>
  </si>
  <si>
    <t xml:space="preserve">9247,11148,13253,14388</t>
  </si>
  <si>
    <t xml:space="preserve">108768888</t>
  </si>
  <si>
    <t xml:space="preserve">9337,10455,14951,14977,15300,15921</t>
  </si>
  <si>
    <t xml:space="preserve">110369045</t>
  </si>
  <si>
    <t xml:space="preserve">9334,10242</t>
  </si>
  <si>
    <t xml:space="preserve">31203557450</t>
  </si>
  <si>
    <t xml:space="preserve">Park) Lot 9042 Buxton Ave Yarrabilba QLD 4207</t>
  </si>
  <si>
    <t xml:space="preserve">A-185B19C8</t>
  </si>
  <si>
    <t xml:space="preserve">110782154</t>
  </si>
  <si>
    <t xml:space="preserve">10480,10516,12137,12565</t>
  </si>
  <si>
    <t xml:space="preserve">31207202251</t>
  </si>
  <si>
    <t xml:space="preserve">29 Halcyon Way Logan Reserve QLD 4133</t>
  </si>
  <si>
    <t xml:space="preserve">A-091822C5</t>
  </si>
  <si>
    <t xml:space="preserve">128218724</t>
  </si>
  <si>
    <t xml:space="preserve">9813,10700,13738,13943,14275,14815</t>
  </si>
  <si>
    <t xml:space="preserve">2 ALBERT ST  WATERFORD QLD 4133</t>
  </si>
  <si>
    <t xml:space="preserve">110308126</t>
  </si>
  <si>
    <t xml:space="preserve">9264,10394</t>
  </si>
  <si>
    <t xml:space="preserve">110547231</t>
  </si>
  <si>
    <t xml:space="preserve">9389,10274</t>
  </si>
  <si>
    <t xml:space="preserve">QB080914558</t>
  </si>
  <si>
    <t xml:space="preserve">SPRINGWOOD PARK  77 CINDERELLA DR  SPRINGWOOD QLD 4127</t>
  </si>
  <si>
    <t xml:space="preserve">A-627DFDF9</t>
  </si>
  <si>
    <t xml:space="preserve">106909733</t>
  </si>
  <si>
    <t xml:space="preserve">9965,11179,12024,13687</t>
  </si>
  <si>
    <t xml:space="preserve">31203324446</t>
  </si>
  <si>
    <t xml:space="preserve">Lot 940 HIGHLANDS ST  YARRABILBA QLD 4207</t>
  </si>
  <si>
    <t xml:space="preserve">A-868C5D6D</t>
  </si>
  <si>
    <t xml:space="preserve">128738036</t>
  </si>
  <si>
    <t xml:space="preserve">8653,11337</t>
  </si>
  <si>
    <t xml:space="preserve">QB052516565</t>
  </si>
  <si>
    <t xml:space="preserve">16 FERMONT RD  UNDERWOOD QLD 4119</t>
  </si>
  <si>
    <t xml:space="preserve">A-20DBC840</t>
  </si>
  <si>
    <t xml:space="preserve">120731467</t>
  </si>
  <si>
    <t xml:space="preserve">10108,10338,13439,13662</t>
  </si>
  <si>
    <t xml:space="preserve">127301525</t>
  </si>
  <si>
    <t xml:space="preserve">10232,10882,12223,13166</t>
  </si>
  <si>
    <t xml:space="preserve">31203890539</t>
  </si>
  <si>
    <t xml:space="preserve">Council Park Lot 501 Spring Mountain Dr New Beith QLD 4124</t>
  </si>
  <si>
    <t xml:space="preserve">A-E59491EE</t>
  </si>
  <si>
    <t xml:space="preserve">125457042</t>
  </si>
  <si>
    <t xml:space="preserve">9346,12819,13088,14624</t>
  </si>
  <si>
    <t xml:space="preserve">QB090084039</t>
  </si>
  <si>
    <t xml:space="preserve">Oates Ave Woodridge QLD 4114</t>
  </si>
  <si>
    <t xml:space="preserve">A-476BAE18</t>
  </si>
  <si>
    <t xml:space="preserve">120239058</t>
  </si>
  <si>
    <t xml:space="preserve">10109,10339,13570,13760</t>
  </si>
  <si>
    <t xml:space="preserve">31151450009</t>
  </si>
  <si>
    <t xml:space="preserve">ALBERT ST  LOGAN VILLAGE QLD 4207</t>
  </si>
  <si>
    <t xml:space="preserve">A-7960968D</t>
  </si>
  <si>
    <t xml:space="preserve">121200059</t>
  </si>
  <si>
    <t xml:space="preserve">9904,10667,13308,13915</t>
  </si>
  <si>
    <t xml:space="preserve">QB106306519</t>
  </si>
  <si>
    <t xml:space="preserve">53 Plover Dr Eagleby QLD 4207</t>
  </si>
  <si>
    <t xml:space="preserve">A-647136D4</t>
  </si>
  <si>
    <t xml:space="preserve">121161439</t>
  </si>
  <si>
    <t xml:space="preserve">10005,10483,13563,13905</t>
  </si>
  <si>
    <t xml:space="preserve">128045550</t>
  </si>
  <si>
    <t xml:space="preserve">9592,12154,13199,14412</t>
  </si>
  <si>
    <t xml:space="preserve">QB110984225</t>
  </si>
  <si>
    <t xml:space="preserve">NEXUS PARK  28 OVERLAND DR  EDENS LANDING QLD 4207</t>
  </si>
  <si>
    <t xml:space="preserve">A-3804507E</t>
  </si>
  <si>
    <t xml:space="preserve">127845560</t>
  </si>
  <si>
    <t xml:space="preserve">9723,11154,13627,14394</t>
  </si>
  <si>
    <t xml:space="preserve">31201052191</t>
  </si>
  <si>
    <t xml:space="preserve">CORNUBIA ADVENTURE PARK BBQ  6-14 6-14 CORNUBIA PARK DR  SHAILER PARK QLD 4128</t>
  </si>
  <si>
    <t xml:space="preserve">A-60E52C62</t>
  </si>
  <si>
    <t xml:space="preserve">128042946</t>
  </si>
  <si>
    <t xml:space="preserve">9591,12153,13443,14500</t>
  </si>
  <si>
    <t xml:space="preserve">QB085036813</t>
  </si>
  <si>
    <t xml:space="preserve">LANCASTER PARK  2 CHAMBERS FLAT RD  WATERFORD WEST QLD 4133</t>
  </si>
  <si>
    <t xml:space="preserve">A-3F2F4B42</t>
  </si>
  <si>
    <t xml:space="preserve">106876816</t>
  </si>
  <si>
    <t xml:space="preserve">10057,11230,12620,13858</t>
  </si>
  <si>
    <t xml:space="preserve">109753120</t>
  </si>
  <si>
    <t xml:space="preserve">9428,10803</t>
  </si>
  <si>
    <t xml:space="preserve">QB094431005</t>
  </si>
  <si>
    <t xml:space="preserve">Sturdee Park 11 Sturdee St Loganlea QLD 4131</t>
  </si>
  <si>
    <t xml:space="preserve">A-387441E6</t>
  </si>
  <si>
    <t xml:space="preserve">120612631</t>
  </si>
  <si>
    <t xml:space="preserve">10202,10293,14307,14496,14534,15114</t>
  </si>
  <si>
    <t xml:space="preserve">QB093791266</t>
  </si>
  <si>
    <t xml:space="preserve">99 Ewing Rd Woodridge QLD 4114</t>
  </si>
  <si>
    <t xml:space="preserve">A-E09F52CD</t>
  </si>
  <si>
    <t xml:space="preserve">108770195</t>
  </si>
  <si>
    <t xml:space="preserve">9827,12823,13684,13860,14711,14872,14963,15372</t>
  </si>
  <si>
    <t xml:space="preserve">31170225684</t>
  </si>
  <si>
    <t xml:space="preserve">150 FLESSER RD  CHAMBERS FLAT QLD 4133</t>
  </si>
  <si>
    <t xml:space="preserve">A-29D7A69D</t>
  </si>
  <si>
    <t xml:space="preserve">120252505</t>
  </si>
  <si>
    <t xml:space="preserve">10138,10388,14430,14488,14597,15607</t>
  </si>
  <si>
    <t xml:space="preserve">31174015515</t>
  </si>
  <si>
    <t xml:space="preserve">71 Barbaralla Dr Springwood QLD 4127</t>
  </si>
  <si>
    <t xml:space="preserve">A-065A08CD</t>
  </si>
  <si>
    <t xml:space="preserve">120732815</t>
  </si>
  <si>
    <t xml:space="preserve">10062,10389,14403,14505</t>
  </si>
  <si>
    <t xml:space="preserve">108990972</t>
  </si>
  <si>
    <t xml:space="preserve">9238,12289</t>
  </si>
  <si>
    <t xml:space="preserve">31169793460</t>
  </si>
  <si>
    <t xml:space="preserve">85 St Jude Cct Glenlogan QLD 4280</t>
  </si>
  <si>
    <t xml:space="preserve">A-235D0AB6</t>
  </si>
  <si>
    <t xml:space="preserve">119496381</t>
  </si>
  <si>
    <t xml:space="preserve">9816,11156,14429,14448,14876,15606</t>
  </si>
  <si>
    <t xml:space="preserve">109197882</t>
  </si>
  <si>
    <t xml:space="preserve">9332,12139</t>
  </si>
  <si>
    <t xml:space="preserve">31201588013</t>
  </si>
  <si>
    <t xml:space="preserve">720 Middle Rd Greenbank QLD 4124</t>
  </si>
  <si>
    <t xml:space="preserve">A-42E43BA0</t>
  </si>
  <si>
    <t xml:space="preserve">127662836</t>
  </si>
  <si>
    <t xml:space="preserve">9903,10699,14424,14703,14993,15778</t>
  </si>
  <si>
    <t xml:space="preserve">TOILET BLOCK  71 CLARKS RD  LOGANHOLME QLD 4129</t>
  </si>
  <si>
    <t xml:space="preserve">110669100</t>
  </si>
  <si>
    <t xml:space="preserve">9294,12265</t>
  </si>
  <si>
    <t xml:space="preserve">31203520798</t>
  </si>
  <si>
    <t xml:space="preserve">Demeio Park 116 Demeio Rd Marsden QLD 4132</t>
  </si>
  <si>
    <t xml:space="preserve">A-71406153</t>
  </si>
  <si>
    <t xml:space="preserve">127952712</t>
  </si>
  <si>
    <t xml:space="preserve">9672,12020,14124,14799</t>
  </si>
  <si>
    <t xml:space="preserve">31151679257</t>
  </si>
  <si>
    <t xml:space="preserve">101 PARADISE RD  SLACKS CREEK QLD 4127</t>
  </si>
  <si>
    <t xml:space="preserve">A-896F1504</t>
  </si>
  <si>
    <t xml:space="preserve">110081923</t>
  </si>
  <si>
    <t xml:space="preserve">9293,12575,15592</t>
  </si>
  <si>
    <t xml:space="preserve">QB110983500</t>
  </si>
  <si>
    <t xml:space="preserve">WILLOW PARK  49 SUNRISE ST  BEENLEIGH QLD 4207</t>
  </si>
  <si>
    <t xml:space="preserve">A-55244136</t>
  </si>
  <si>
    <t xml:space="preserve">120522117</t>
  </si>
  <si>
    <t xml:space="preserve">10203,10259,14613,14636</t>
  </si>
  <si>
    <t xml:space="preserve">110794671</t>
  </si>
  <si>
    <t xml:space="preserve">9333,12442</t>
  </si>
  <si>
    <t xml:space="preserve">101 PARADISE RD SLACKS CREEK QLD 4127</t>
  </si>
  <si>
    <t xml:space="preserve">128737784</t>
  </si>
  <si>
    <t xml:space="preserve">9246,13736,14139,15265</t>
  </si>
  <si>
    <t xml:space="preserve">31155142426</t>
  </si>
  <si>
    <t xml:space="preserve">94 Brookvale Dr Underwood QLD 4119</t>
  </si>
  <si>
    <t xml:space="preserve">A-CD378909</t>
  </si>
  <si>
    <t xml:space="preserve">119238606</t>
  </si>
  <si>
    <t xml:space="preserve">9699,11222,14426</t>
  </si>
  <si>
    <t xml:space="preserve">31200318016</t>
  </si>
  <si>
    <t xml:space="preserve">Millstream Retreat Park Bbqs Lot 990 Woodlands Bvd Waterford QLD 4133</t>
  </si>
  <si>
    <t xml:space="preserve">A-75ACC93E</t>
  </si>
  <si>
    <t xml:space="preserve">108772336</t>
  </si>
  <si>
    <t xml:space="preserve">9710,13109,13265,14752</t>
  </si>
  <si>
    <t xml:space="preserve">31200578525</t>
  </si>
  <si>
    <t xml:space="preserve">TOILETS BBQ &amp; STAGE AREA  Lot 902 PARKSIDE DR  FLAGSTONE QLD 4280</t>
  </si>
  <si>
    <t xml:space="preserve">A-F4018379</t>
  </si>
  <si>
    <t xml:space="preserve">120899850</t>
  </si>
  <si>
    <t xml:space="preserve">10071,10527,14635,14817</t>
  </si>
  <si>
    <t xml:space="preserve">QB100515118</t>
  </si>
  <si>
    <t xml:space="preserve">TENNIS COURTS  1 BISHOP ST  EAGLEBY QLD 4207</t>
  </si>
  <si>
    <t xml:space="preserve">A-E9B7F457</t>
  </si>
  <si>
    <t xml:space="preserve">120009734</t>
  </si>
  <si>
    <t xml:space="preserve">10004,10390,15472,15535</t>
  </si>
  <si>
    <t xml:space="preserve">31163113452</t>
  </si>
  <si>
    <t xml:space="preserve">Evergreen Park 70 Evergreen Ave Loganlea QLD 4131</t>
  </si>
  <si>
    <t xml:space="preserve">A-7237AA7F</t>
  </si>
  <si>
    <t xml:space="preserve">120016011</t>
  </si>
  <si>
    <t xml:space="preserve">10029,10387,15195,15288</t>
  </si>
  <si>
    <t xml:space="preserve">QB136176138</t>
  </si>
  <si>
    <t xml:space="preserve">16 Kiewa Dr Loganholme QLD 4129</t>
  </si>
  <si>
    <t xml:space="preserve">A-A1C0F2D2</t>
  </si>
  <si>
    <t xml:space="preserve">119234626</t>
  </si>
  <si>
    <t xml:space="preserve">9849,10671</t>
  </si>
  <si>
    <t xml:space="preserve">31203724851</t>
  </si>
  <si>
    <t xml:space="preserve">Dog Park Lot 908 Homestead Dr Flagstone QLD 4280</t>
  </si>
  <si>
    <t xml:space="preserve">A-71A78A2A</t>
  </si>
  <si>
    <t xml:space="preserve">120919664</t>
  </si>
  <si>
    <t xml:space="preserve">10272,11176,13553,14064</t>
  </si>
  <si>
    <t xml:space="preserve">QB004872873</t>
  </si>
  <si>
    <t xml:space="preserve">PIONEER PARK  MT LINDESAY HWY  WOODHILL QLD 4285</t>
  </si>
  <si>
    <t xml:space="preserve">A-CC718A8C</t>
  </si>
  <si>
    <t xml:space="preserve">108770586</t>
  </si>
  <si>
    <t xml:space="preserve">9633,13249,13741,15011</t>
  </si>
  <si>
    <t xml:space="preserve">QB086511672</t>
  </si>
  <si>
    <t xml:space="preserve">Leawarra Park 30 Garrima Dr Loganholme QLD 4129</t>
  </si>
  <si>
    <t xml:space="preserve">A-AB902864</t>
  </si>
  <si>
    <t xml:space="preserve">120364242</t>
  </si>
  <si>
    <t xml:space="preserve">10201,10230,15884,15885</t>
  </si>
  <si>
    <t xml:space="preserve">31168811258</t>
  </si>
  <si>
    <t xml:space="preserve">36 SWEETGUM ST  HILLCREST QLD 4118</t>
  </si>
  <si>
    <t xml:space="preserve">A-4AEDB480</t>
  </si>
  <si>
    <t xml:space="preserve">128738080</t>
  </si>
  <si>
    <t xml:space="preserve">8685,14709</t>
  </si>
  <si>
    <t xml:space="preserve">31168811416</t>
  </si>
  <si>
    <t xml:space="preserve">12 VILLAGE DR DAISY HILL QLD 4127</t>
  </si>
  <si>
    <t xml:space="preserve">A-13C4F524</t>
  </si>
  <si>
    <t xml:space="preserve">125456759</t>
  </si>
  <si>
    <t xml:space="preserve">9187,13737</t>
  </si>
  <si>
    <t xml:space="preserve">31143105973</t>
  </si>
  <si>
    <t xml:space="preserve">Lansdown Park 32 Lansdown Rd Waterford West QLD 4133</t>
  </si>
  <si>
    <t xml:space="preserve">A-3FD89EAD</t>
  </si>
  <si>
    <t xml:space="preserve">119238747</t>
  </si>
  <si>
    <t xml:space="preserve">9782,10777</t>
  </si>
  <si>
    <t xml:space="preserve">106851328</t>
  </si>
  <si>
    <t xml:space="preserve">10055,11168,14118,14641</t>
  </si>
  <si>
    <t xml:space="preserve">31201593053</t>
  </si>
  <si>
    <t xml:space="preserve">BBQ STOTEN PARK  24A MONIVAE CCT  EAGLEBY QLD 4207</t>
  </si>
  <si>
    <t xml:space="preserve">A-D8A25675</t>
  </si>
  <si>
    <t xml:space="preserve">120551121</t>
  </si>
  <si>
    <t xml:space="preserve">10161,10292,15881,15883</t>
  </si>
  <si>
    <t xml:space="preserve">QB094431341</t>
  </si>
  <si>
    <t xml:space="preserve">Regents Park 21 Bennett Dr Regents Park QLD 4118</t>
  </si>
  <si>
    <t xml:space="preserve">A-8A58A10D</t>
  </si>
  <si>
    <t xml:space="preserve">120123127</t>
  </si>
  <si>
    <t xml:space="preserve">10073,10432</t>
  </si>
  <si>
    <t xml:space="preserve">QB055679987</t>
  </si>
  <si>
    <t xml:space="preserve">Atlantic Park 108 Atlantic Dr Loganholme QLD 4129</t>
  </si>
  <si>
    <t xml:space="preserve">A-D1AB9741</t>
  </si>
  <si>
    <t xml:space="preserve">125456059</t>
  </si>
  <si>
    <t xml:space="preserve">9492,12820,15264,15752</t>
  </si>
  <si>
    <t xml:space="preserve">31168811175</t>
  </si>
  <si>
    <t xml:space="preserve">8 Ponderosa St Hillcrest QLD 4118</t>
  </si>
  <si>
    <t xml:space="preserve">A-BE64DEB0</t>
  </si>
  <si>
    <t xml:space="preserve">128738081</t>
  </si>
  <si>
    <t xml:space="preserve">8714,14989</t>
  </si>
  <si>
    <t xml:space="preserve">31201383405</t>
  </si>
  <si>
    <t xml:space="preserve">Ridgecrest Park 6 Ridgecrest Dr Flagstone QLD 4280</t>
  </si>
  <si>
    <t xml:space="preserve">A-14ABE59C</t>
  </si>
  <si>
    <t xml:space="preserve">120963862</t>
  </si>
  <si>
    <t xml:space="preserve">10072,10566,15273,15469</t>
  </si>
  <si>
    <t xml:space="preserve">QB120654635</t>
  </si>
  <si>
    <t xml:space="preserve">149 Greenhill Rd Munruben QLD 4125</t>
  </si>
  <si>
    <t xml:space="preserve">A-640911F2</t>
  </si>
  <si>
    <t xml:space="preserve">128737947</t>
  </si>
  <si>
    <t xml:space="preserve">8686,15605</t>
  </si>
  <si>
    <t xml:space="preserve">31201077552</t>
  </si>
  <si>
    <t xml:space="preserve">PARK BBQ  SEE WP S0300205 256-282 256-282 DAIRY CREEK RD  WATERFORD QLD 4133</t>
  </si>
  <si>
    <t xml:space="preserve">A-1E9BFFE9</t>
  </si>
  <si>
    <t xml:space="preserve">110227362</t>
  </si>
  <si>
    <t xml:space="preserve">9265,13758</t>
  </si>
  <si>
    <t xml:space="preserve">PARK BBQ SEE WP S0300205 256-282 256-282 DAIRY CREEK RD WATERFORD QLD 4133</t>
  </si>
  <si>
    <t xml:space="preserve">125456649</t>
  </si>
  <si>
    <t xml:space="preserve">9248,9298,13165,14661,15007,15471,19182,21137</t>
  </si>
  <si>
    <t xml:space="preserve">109133636</t>
  </si>
  <si>
    <t xml:space="preserve">9363,13574</t>
  </si>
  <si>
    <t xml:space="preserve">31206418214</t>
  </si>
  <si>
    <t xml:space="preserve">STURDEE PARK  73 STATION RD  LOGANLEA QLD 4131</t>
  </si>
  <si>
    <t xml:space="preserve">A-4728CD92</t>
  </si>
  <si>
    <t xml:space="preserve">127309355</t>
  </si>
  <si>
    <t xml:space="preserve">9893,10878</t>
  </si>
  <si>
    <t xml:space="preserve">31206430862</t>
  </si>
  <si>
    <t xml:space="preserve">UNDERWOOD PARK - CONTEMPLATION  982 UNDERWOOD RD  PRIESTDALE QLD 4127</t>
  </si>
  <si>
    <t xml:space="preserve">A-552D04F2</t>
  </si>
  <si>
    <t xml:space="preserve">127309327</t>
  </si>
  <si>
    <t xml:space="preserve">9894,10879</t>
  </si>
  <si>
    <t xml:space="preserve">QB087326557</t>
  </si>
  <si>
    <t xml:space="preserve">SILVERTOP PARK  8 SILVERTOP ST  HILLCREST QLD 4118</t>
  </si>
  <si>
    <t xml:space="preserve">A-50F8DBE6</t>
  </si>
  <si>
    <t xml:space="preserve">128737999</t>
  </si>
  <si>
    <t xml:space="preserve">9143,15507</t>
  </si>
  <si>
    <t xml:space="preserve">109645737</t>
  </si>
  <si>
    <t xml:space="preserve">9329,13968</t>
  </si>
  <si>
    <t xml:space="preserve">31174237164</t>
  </si>
  <si>
    <t xml:space="preserve">Bbq Shelter 1 Sanctuary Pkwy Waterford QLD 4133</t>
  </si>
  <si>
    <t xml:space="preserve">A-B532F5E3</t>
  </si>
  <si>
    <t xml:space="preserve">108772436</t>
  </si>
  <si>
    <t xml:space="preserve">9631,13837,13912,15253</t>
  </si>
  <si>
    <t xml:space="preserve">110723196</t>
  </si>
  <si>
    <t xml:space="preserve">9331,14125</t>
  </si>
  <si>
    <t xml:space="preserve">31203232863</t>
  </si>
  <si>
    <t xml:space="preserve">PARK BBQ 2-10 2-10 DARNELL ST YARRABILBA QLD 4207</t>
  </si>
  <si>
    <t xml:space="preserve">A-283468C5</t>
  </si>
  <si>
    <t xml:space="preserve">127307695</t>
  </si>
  <si>
    <t xml:space="preserve">9571,13301,15358,15801</t>
  </si>
  <si>
    <t xml:space="preserve">31208249481</t>
  </si>
  <si>
    <t xml:space="preserve">Homestead Park Toilet Block Lot 943 Homestead Dr Flagstone QLD 4280</t>
  </si>
  <si>
    <t xml:space="preserve">A-52CEBC81</t>
  </si>
  <si>
    <t xml:space="preserve">109692471</t>
  </si>
  <si>
    <t xml:space="preserve">11557,13158,13360,13514,13777,14271</t>
  </si>
  <si>
    <t xml:space="preserve">31200505415</t>
  </si>
  <si>
    <t xml:space="preserve">Park Bbq Shelter 20 Outlook Dr Waterford QLD 4133</t>
  </si>
  <si>
    <t xml:space="preserve">A-7DC58CC6</t>
  </si>
  <si>
    <t xml:space="preserve">108772239</t>
  </si>
  <si>
    <t xml:space="preserve">9854,12466,14622,15211</t>
  </si>
  <si>
    <t xml:space="preserve">31203096170</t>
  </si>
  <si>
    <t xml:space="preserve">33 Copal Dr Logan Reserve QLD 4133</t>
  </si>
  <si>
    <t xml:space="preserve">A-650B1947</t>
  </si>
  <si>
    <t xml:space="preserve">120106587</t>
  </si>
  <si>
    <t xml:space="preserve">10487,10797,14300,14449</t>
  </si>
  <si>
    <t xml:space="preserve">31174234730</t>
  </si>
  <si>
    <t xml:space="preserve">BBQ SHELTER  1-61 1-61 SANCTUARY PKWY  WATERFORD QLD 4133</t>
  </si>
  <si>
    <t xml:space="preserve">A-015867B6</t>
  </si>
  <si>
    <t xml:space="preserve">108772475</t>
  </si>
  <si>
    <t xml:space="preserve">9579,13836,14535,15583</t>
  </si>
  <si>
    <t xml:space="preserve">110782134</t>
  </si>
  <si>
    <t xml:space="preserve">9873,11676</t>
  </si>
  <si>
    <t xml:space="preserve">QB095851175</t>
  </si>
  <si>
    <t xml:space="preserve">88 Station Rd Bethania QLD 4205</t>
  </si>
  <si>
    <t xml:space="preserve">A-448D77FC</t>
  </si>
  <si>
    <t xml:space="preserve">108770053</t>
  </si>
  <si>
    <t xml:space="preserve">9665,13742,14393,15474</t>
  </si>
  <si>
    <t xml:space="preserve">31200942300</t>
  </si>
  <si>
    <t xml:space="preserve">SAUNDERS PARK  49-65 49-65 OLD BLUFF RD  CEDAR VALE QLD 4285</t>
  </si>
  <si>
    <t xml:space="preserve">A-AB5A62BA</t>
  </si>
  <si>
    <t xml:space="preserve">108772171</t>
  </si>
  <si>
    <t xml:space="preserve">9712,12822</t>
  </si>
  <si>
    <t xml:space="preserve">31155469777</t>
  </si>
  <si>
    <t xml:space="preserve">JINGERI PARK  2 MERLUNA RD  PARK RIDGE SOUTH QLD 4125</t>
  </si>
  <si>
    <t xml:space="preserve">A-B87265A0</t>
  </si>
  <si>
    <t xml:space="preserve">108772735</t>
  </si>
  <si>
    <t xml:space="preserve">9826,12465,15259,15719</t>
  </si>
  <si>
    <t xml:space="preserve">PARK BBQ  2-10 2-10 DARNELL ST  YARRABILBA QLD 4207</t>
  </si>
  <si>
    <t xml:space="preserve">110535369</t>
  </si>
  <si>
    <t xml:space="preserve">9781,12579</t>
  </si>
  <si>
    <t xml:space="preserve">111012580</t>
  </si>
  <si>
    <t xml:space="preserve">9335,14969</t>
  </si>
  <si>
    <t xml:space="preserve">106884379</t>
  </si>
  <si>
    <t xml:space="preserve">10053,11229</t>
  </si>
  <si>
    <t xml:space="preserve">31164834815</t>
  </si>
  <si>
    <t xml:space="preserve">Bbq 45A Woodlands Bvd Waterford QLD 4133</t>
  </si>
  <si>
    <t xml:space="preserve">A-23A5C2AA</t>
  </si>
  <si>
    <t xml:space="preserve">108772650</t>
  </si>
  <si>
    <t xml:space="preserve">9711,13176,15636,15905</t>
  </si>
  <si>
    <t xml:space="preserve">108768136</t>
  </si>
  <si>
    <t xml:space="preserve">9390,14734,15598,15939</t>
  </si>
  <si>
    <t xml:space="preserve">31209485846</t>
  </si>
  <si>
    <t xml:space="preserve">1 CUPANIA ST  DAISY HILL QLD 4127</t>
  </si>
  <si>
    <t xml:space="preserve">A-4DB150AA</t>
  </si>
  <si>
    <t xml:space="preserve">109271306</t>
  </si>
  <si>
    <t xml:space="preserve">11560,12319,13328,13664,14443,14970</t>
  </si>
  <si>
    <t xml:space="preserve">STURDEE PARK 73 STATION RD LOGANLEA QLD 4131</t>
  </si>
  <si>
    <t xml:space="preserve">128682503</t>
  </si>
  <si>
    <t xml:space="preserve">10084,11203</t>
  </si>
  <si>
    <t xml:space="preserve">31201394146</t>
  </si>
  <si>
    <t xml:space="preserve">PUBLIC BBQ  38 RIDGEVALE BVD  HOLMVIEW QLD 4207</t>
  </si>
  <si>
    <t xml:space="preserve">A-B25473AC</t>
  </si>
  <si>
    <t xml:space="preserve">108771975</t>
  </si>
  <si>
    <t xml:space="preserve">9797,13177,14862,15534</t>
  </si>
  <si>
    <t xml:space="preserve">12 VILLAGE DR  DAISY HILL QLD 4127</t>
  </si>
  <si>
    <t xml:space="preserve">110221652</t>
  </si>
  <si>
    <t xml:space="preserve">9330,15593</t>
  </si>
  <si>
    <t xml:space="preserve">110559765</t>
  </si>
  <si>
    <t xml:space="preserve">9388,15140</t>
  </si>
  <si>
    <t xml:space="preserve">QB095059464</t>
  </si>
  <si>
    <t xml:space="preserve">BBQ  150 FEDERATION DR  BETHANIA QLD 4205</t>
  </si>
  <si>
    <t xml:space="preserve">A-620D17D4</t>
  </si>
  <si>
    <t xml:space="preserve">108770124</t>
  </si>
  <si>
    <t xml:space="preserve">9634,13841</t>
  </si>
  <si>
    <t xml:space="preserve">QB123775972</t>
  </si>
  <si>
    <t xml:space="preserve">123 FEDERATION DR  BETHANIA QLD 4205</t>
  </si>
  <si>
    <t xml:space="preserve">A-F2A13BFC</t>
  </si>
  <si>
    <t xml:space="preserve">108768995</t>
  </si>
  <si>
    <t xml:space="preserve">9635,13842</t>
  </si>
  <si>
    <t xml:space="preserve">109502360</t>
  </si>
  <si>
    <t xml:space="preserve">9364,9798,12636,15563,15594,15802,18934,19051,19264,19387</t>
  </si>
  <si>
    <t xml:space="preserve">31203145168</t>
  </si>
  <si>
    <t xml:space="preserve">Park Lot 951 Foxx Ct Yarrabilba QLD 4207</t>
  </si>
  <si>
    <t xml:space="preserve">A-263544ED</t>
  </si>
  <si>
    <t xml:space="preserve">110536156</t>
  </si>
  <si>
    <t xml:space="preserve">9780,13233</t>
  </si>
  <si>
    <t xml:space="preserve">125456604</t>
  </si>
  <si>
    <t xml:space="preserve">9570,14537,15357,15918</t>
  </si>
  <si>
    <t xml:space="preserve">31206596489</t>
  </si>
  <si>
    <t xml:space="preserve">CAFE  982 UNDERWOOD RD  PRIESTDALE QLD 4127</t>
  </si>
  <si>
    <t xml:space="preserve">A-2580FFEE</t>
  </si>
  <si>
    <t xml:space="preserve">110782124</t>
  </si>
  <si>
    <t xml:space="preserve">10204,11679</t>
  </si>
  <si>
    <t xml:space="preserve">31143485943</t>
  </si>
  <si>
    <t xml:space="preserve">RIVERDALE PARK/MEADOWBROOK PAR  90-110 ARMSTRONG RD  MEADOWBROOK QLD 4131</t>
  </si>
  <si>
    <t xml:space="preserve">A-CC95DC7A</t>
  </si>
  <si>
    <t xml:space="preserve">110781986</t>
  </si>
  <si>
    <t xml:space="preserve">10208,11673</t>
  </si>
  <si>
    <t xml:space="preserve">QB141152636</t>
  </si>
  <si>
    <t xml:space="preserve">CARETAKERS RESIDENCE  19 SOUTH ST  JIMBOOMBA QLD 4280</t>
  </si>
  <si>
    <t xml:space="preserve">A-FFDADDE4</t>
  </si>
  <si>
    <t xml:space="preserve">127302038</t>
  </si>
  <si>
    <t xml:space="preserve">10304,11962</t>
  </si>
  <si>
    <t xml:space="preserve">31200504853</t>
  </si>
  <si>
    <t xml:space="preserve">COALSTON CRSG PARK BBQ SHELTER  Lot 107 COALSTOUN CROSSING  WATERFORD QLD 4133</t>
  </si>
  <si>
    <t xml:space="preserve">A-B5C24B07</t>
  </si>
  <si>
    <t xml:space="preserve">108772263</t>
  </si>
  <si>
    <t xml:space="preserve">10019,14071,14267,15327</t>
  </si>
  <si>
    <t xml:space="preserve">128683512</t>
  </si>
  <si>
    <t xml:space="preserve">10596,11207</t>
  </si>
  <si>
    <t xml:space="preserve">31203421519</t>
  </si>
  <si>
    <t xml:space="preserve">CRESTMEAD PARK BBQ  35A ROYENA CT  CRESTMEAD QLD 4132</t>
  </si>
  <si>
    <t xml:space="preserve">A-3749779B</t>
  </si>
  <si>
    <t xml:space="preserve">128738106</t>
  </si>
  <si>
    <t xml:space="preserve">10118,14425,14474,14531</t>
  </si>
  <si>
    <t xml:space="preserve">127309313</t>
  </si>
  <si>
    <t xml:space="preserve">10881,11170</t>
  </si>
  <si>
    <t xml:space="preserve">108773544</t>
  </si>
  <si>
    <t xml:space="preserve">10358,12816,15663,15887</t>
  </si>
  <si>
    <t xml:space="preserve">CAFE 982 UNDERWOOD RD PRIESTDALE QLD 4127</t>
  </si>
  <si>
    <t xml:space="preserve">128683382</t>
  </si>
  <si>
    <t xml:space="preserve">10809,11206</t>
  </si>
  <si>
    <t xml:space="preserve">125456661</t>
  </si>
  <si>
    <t xml:space="preserve">10211,13350</t>
  </si>
  <si>
    <t xml:space="preserve">CARETAKERS RESIDENCE 19 SOUTH ST JIMBOOMBA QLD 4280</t>
  </si>
  <si>
    <t xml:space="preserve">128683011</t>
  </si>
  <si>
    <t xml:space="preserve">10582,12246</t>
  </si>
  <si>
    <t xml:space="preserve">31207009277</t>
  </si>
  <si>
    <t xml:space="preserve">PEBBLE CREEK DISTRICT PARK  Lot 9001 BLOOMFIELD ESP  SOUTH MACLEAN QLD 4280</t>
  </si>
  <si>
    <t xml:space="preserve">A-A8F14CAF</t>
  </si>
  <si>
    <t xml:space="preserve">110782089</t>
  </si>
  <si>
    <t xml:space="preserve">10525,12568</t>
  </si>
  <si>
    <t xml:space="preserve">QB110983334</t>
  </si>
  <si>
    <t xml:space="preserve">BEDFORD PARK 229-239 229-239 RIVER HILLS RD EAGLEBY QLD 4207</t>
  </si>
  <si>
    <t xml:space="preserve">A-D60A154F</t>
  </si>
  <si>
    <t xml:space="preserve">128683492</t>
  </si>
  <si>
    <t xml:space="preserve">11192,11220</t>
  </si>
  <si>
    <t xml:space="preserve">QB103902517</t>
  </si>
  <si>
    <t xml:space="preserve">Brushwood Park Cedar Grove Rd Cedar Grove QLD 4285</t>
  </si>
  <si>
    <t xml:space="preserve">A-F48464EF</t>
  </si>
  <si>
    <t xml:space="preserve">128137536</t>
  </si>
  <si>
    <t xml:space="preserve">10893,11695</t>
  </si>
  <si>
    <t xml:space="preserve">110780887</t>
  </si>
  <si>
    <t xml:space="preserve">10689,12572,15240</t>
  </si>
  <si>
    <t xml:space="preserve">BEDFORD PARK  229-239 229-239 RIVER HILLS RD  EAGLEBY QLD 4207</t>
  </si>
  <si>
    <t xml:space="preserve">127303492</t>
  </si>
  <si>
    <t xml:space="preserve">10894,12237</t>
  </si>
  <si>
    <t xml:space="preserve">31208388652</t>
  </si>
  <si>
    <t xml:space="preserve">32 Turill St Shailer Park QLD 4128</t>
  </si>
  <si>
    <t xml:space="preserve">A-821C107A</t>
  </si>
  <si>
    <t xml:space="preserve">109420401</t>
  </si>
  <si>
    <t xml:space="preserve">11558,12786,13840,15874,15927,15938</t>
  </si>
  <si>
    <t xml:space="preserve">QB135704210</t>
  </si>
  <si>
    <t xml:space="preserve">Magellan Park Raleigh St Springwood QLD 4127</t>
  </si>
  <si>
    <t xml:space="preserve">A-6CE2B935</t>
  </si>
  <si>
    <t xml:space="preserve">109197248</t>
  </si>
  <si>
    <t xml:space="preserve">12082,12320,14191,15328,15764,15769</t>
  </si>
  <si>
    <t xml:space="preserve">128683407</t>
  </si>
  <si>
    <t xml:space="preserve">11219,12142</t>
  </si>
  <si>
    <t xml:space="preserve">RIVERDALE PARK/MEADOWBROOK PAR 90-110 ARMSTRONG RD MEADOWBROOK QLD 4131</t>
  </si>
  <si>
    <t xml:space="preserve">128683344</t>
  </si>
  <si>
    <t xml:space="preserve">11200,12143</t>
  </si>
  <si>
    <t xml:space="preserve">127308577</t>
  </si>
  <si>
    <t xml:space="preserve">10875,12578</t>
  </si>
  <si>
    <t xml:space="preserve">110781120</t>
  </si>
  <si>
    <t xml:space="preserve">11583,11687</t>
  </si>
  <si>
    <t xml:space="preserve">128683335</t>
  </si>
  <si>
    <t xml:space="preserve">11195,12248</t>
  </si>
  <si>
    <t xml:space="preserve">127309247</t>
  </si>
  <si>
    <t xml:space="preserve">11779,11956</t>
  </si>
  <si>
    <t xml:space="preserve">31208397902</t>
  </si>
  <si>
    <t xml:space="preserve">Amenities Lighting Lot 9003 Everleigh Dr Greenbank QLD 4124</t>
  </si>
  <si>
    <t xml:space="preserve">A-768BAB62</t>
  </si>
  <si>
    <t xml:space="preserve">127299870</t>
  </si>
  <si>
    <t xml:space="preserve">10887,12771</t>
  </si>
  <si>
    <t xml:space="preserve">QB080914391</t>
  </si>
  <si>
    <t xml:space="preserve">Bbq Underwood Park 956 Underwood Rd Priestdale QLD 4127</t>
  </si>
  <si>
    <t xml:space="preserve">A-6832BE22</t>
  </si>
  <si>
    <t xml:space="preserve">128180904</t>
  </si>
  <si>
    <t xml:space="preserve">10737,13986,14187</t>
  </si>
  <si>
    <t xml:space="preserve">QB090084384</t>
  </si>
  <si>
    <t xml:space="preserve">Forestglen Park 118 Browns Plains Rd Browns Plains QLD 4118</t>
  </si>
  <si>
    <t xml:space="preserve">A-6A6D4FFF</t>
  </si>
  <si>
    <t xml:space="preserve">127304763</t>
  </si>
  <si>
    <t xml:space="preserve">10891,12850</t>
  </si>
  <si>
    <t xml:space="preserve">31207423681</t>
  </si>
  <si>
    <t xml:space="preserve">Tbs 32 Logan St Logan Village QLD 4207</t>
  </si>
  <si>
    <t xml:space="preserve">A-A244968D</t>
  </si>
  <si>
    <t xml:space="preserve">110781677</t>
  </si>
  <si>
    <t xml:space="preserve">11242,12569</t>
  </si>
  <si>
    <t xml:space="preserve">127301648</t>
  </si>
  <si>
    <t xml:space="preserve">10885,13167,15216,15561</t>
  </si>
  <si>
    <t xml:space="preserve">31207826316</t>
  </si>
  <si>
    <t xml:space="preserve">Sequana Central Park 2 Josh St Logan Reserve QLD 4133</t>
  </si>
  <si>
    <t xml:space="preserve">A-F1C230B2</t>
  </si>
  <si>
    <t xml:space="preserve">109691845</t>
  </si>
  <si>
    <t xml:space="preserve">12428,13522,13808,14944,15120,15239</t>
  </si>
  <si>
    <t xml:space="preserve">127306870</t>
  </si>
  <si>
    <t xml:space="preserve">11957,12277</t>
  </si>
  <si>
    <t xml:space="preserve">31206577068</t>
  </si>
  <si>
    <t xml:space="preserve">COLVILLE PARK  Lot 3000 COLVILLE ST  GREENBANK QLD 4124</t>
  </si>
  <si>
    <t xml:space="preserve">A-EF2C777D</t>
  </si>
  <si>
    <t xml:space="preserve">127307207</t>
  </si>
  <si>
    <t xml:space="preserve">10880,13235</t>
  </si>
  <si>
    <t xml:space="preserve">109072029</t>
  </si>
  <si>
    <t xml:space="preserve">12302,13374,13629</t>
  </si>
  <si>
    <t xml:space="preserve">127309437</t>
  </si>
  <si>
    <t xml:space="preserve">11931,12440</t>
  </si>
  <si>
    <t xml:space="preserve">110781245</t>
  </si>
  <si>
    <t xml:space="preserve">11684,12641</t>
  </si>
  <si>
    <t xml:space="preserve">128683212</t>
  </si>
  <si>
    <t xml:space="preserve">11213,13083</t>
  </si>
  <si>
    <t xml:space="preserve">128683341</t>
  </si>
  <si>
    <t xml:space="preserve">12213,12238</t>
  </si>
  <si>
    <t xml:space="preserve">COLVILLE PARK Lot 3000 COLVILLE ST GREENBANK QLD 4124</t>
  </si>
  <si>
    <t xml:space="preserve">128683219</t>
  </si>
  <si>
    <t xml:space="preserve">11205,13121</t>
  </si>
  <si>
    <t xml:space="preserve">31209099598</t>
  </si>
  <si>
    <t xml:space="preserve">LEAF PARK  89 KESSELS BVD  GREENBANK QLD 4124</t>
  </si>
  <si>
    <t xml:space="preserve">A-126FCC3E</t>
  </si>
  <si>
    <t xml:space="preserve">110123244</t>
  </si>
  <si>
    <t xml:space="preserve">12429,13334,13911</t>
  </si>
  <si>
    <t xml:space="preserve">128683454</t>
  </si>
  <si>
    <t xml:space="preserve">12241,12438</t>
  </si>
  <si>
    <t xml:space="preserve">110782127</t>
  </si>
  <si>
    <t xml:space="preserve">11677,12865</t>
  </si>
  <si>
    <t xml:space="preserve">31206463904</t>
  </si>
  <si>
    <t xml:space="preserve">PARK BBQ  Lot 21 CHAMBERS RIDGE BVD  PARK RIDGE QLD 4125</t>
  </si>
  <si>
    <t xml:space="preserve">A-864DB654</t>
  </si>
  <si>
    <t xml:space="preserve">109580420</t>
  </si>
  <si>
    <t xml:space="preserve">12427,13420,13936</t>
  </si>
  <si>
    <t xml:space="preserve">127963018</t>
  </si>
  <si>
    <t xml:space="preserve">11048,14083,14673</t>
  </si>
  <si>
    <t xml:space="preserve">128683295</t>
  </si>
  <si>
    <t xml:space="preserve">11217,13477</t>
  </si>
  <si>
    <t xml:space="preserve">31208778471</t>
  </si>
  <si>
    <t xml:space="preserve">Logan Reserve Park Lot 900 Halcyon Way Logan Reserve QLD 4133</t>
  </si>
  <si>
    <t xml:space="preserve">A-4D69991B</t>
  </si>
  <si>
    <t xml:space="preserve">128252338</t>
  </si>
  <si>
    <t xml:space="preserve">12017,13734,14400,15286</t>
  </si>
  <si>
    <t xml:space="preserve">127300144</t>
  </si>
  <si>
    <t xml:space="preserve">10889,13829</t>
  </si>
  <si>
    <t xml:space="preserve">123660716</t>
  </si>
  <si>
    <t xml:space="preserve">11224,14205,14503</t>
  </si>
  <si>
    <t xml:space="preserve">127301582</t>
  </si>
  <si>
    <t xml:space="preserve">11959,13558,14995,15086</t>
  </si>
  <si>
    <t xml:space="preserve">110781102</t>
  </si>
  <si>
    <t xml:space="preserve">11686,13370</t>
  </si>
  <si>
    <t xml:space="preserve">1 CUPANIA ST DAISY HILL QLD 4127</t>
  </si>
  <si>
    <t xml:space="preserve">128682939</t>
  </si>
  <si>
    <t xml:space="preserve">11215,13819</t>
  </si>
  <si>
    <t xml:space="preserve">110781796</t>
  </si>
  <si>
    <t xml:space="preserve">11678,13815</t>
  </si>
  <si>
    <t xml:space="preserve">31203734850</t>
  </si>
  <si>
    <t xml:space="preserve">34 FAIRBAIRN ST  MARSDEN QLD 4132</t>
  </si>
  <si>
    <t xml:space="preserve">A-31EFAF4E</t>
  </si>
  <si>
    <t xml:space="preserve">127309415</t>
  </si>
  <si>
    <t xml:space="preserve">11954,13702</t>
  </si>
  <si>
    <t xml:space="preserve">128217273</t>
  </si>
  <si>
    <t xml:space="preserve">10776,15064</t>
  </si>
  <si>
    <t xml:space="preserve">31208658583</t>
  </si>
  <si>
    <t xml:space="preserve">Lot 90301 College Dr Flagstone QLD 4280</t>
  </si>
  <si>
    <t xml:space="preserve">A-BAADEAE2</t>
  </si>
  <si>
    <t xml:space="preserve">124013092</t>
  </si>
  <si>
    <t xml:space="preserve">11964,13830</t>
  </si>
  <si>
    <t xml:space="preserve">31202223855</t>
  </si>
  <si>
    <t xml:space="preserve">138 School Rd Logan Reserve QLD 4133</t>
  </si>
  <si>
    <t xml:space="preserve">A-29FAE6D9</t>
  </si>
  <si>
    <t xml:space="preserve">127307798</t>
  </si>
  <si>
    <t xml:space="preserve">10877,15026</t>
  </si>
  <si>
    <t xml:space="preserve">128737952</t>
  </si>
  <si>
    <t xml:space="preserve">10895,15097</t>
  </si>
  <si>
    <t xml:space="preserve">127301833</t>
  </si>
  <si>
    <t xml:space="preserve">11961,14070</t>
  </si>
  <si>
    <t xml:space="preserve">31207911571</t>
  </si>
  <si>
    <t xml:space="preserve">ALBERTA PARK  Lot 235 BEAUDESERT-BEENLEIGH RD  WOLFFDENE QLD 4207</t>
  </si>
  <si>
    <t xml:space="preserve">A-2F56E5CE</t>
  </si>
  <si>
    <t xml:space="preserve">127306741</t>
  </si>
  <si>
    <t xml:space="preserve">10884,15503</t>
  </si>
  <si>
    <t xml:space="preserve">31201031719</t>
  </si>
  <si>
    <t xml:space="preserve">Electric Bbq'S 77 Couldery Ct Cedar Grove QLD 4285</t>
  </si>
  <si>
    <t xml:space="preserve">A-0F1C2178</t>
  </si>
  <si>
    <t xml:space="preserve">127308040</t>
  </si>
  <si>
    <t xml:space="preserve">10876,15751</t>
  </si>
  <si>
    <t xml:space="preserve">31206750062</t>
  </si>
  <si>
    <t xml:space="preserve">Homestead Park 4 Jodie St Shailer Park QLD 4128</t>
  </si>
  <si>
    <t xml:space="preserve">A-291FEEB5</t>
  </si>
  <si>
    <t xml:space="preserve">127309282</t>
  </si>
  <si>
    <t xml:space="preserve">10883</t>
  </si>
  <si>
    <t xml:space="preserve">31208360050</t>
  </si>
  <si>
    <t xml:space="preserve">271 Bushman Dr Flagstone QLD 4280</t>
  </si>
  <si>
    <t xml:space="preserve">A-C39C6395</t>
  </si>
  <si>
    <t xml:space="preserve">127309035</t>
  </si>
  <si>
    <t xml:space="preserve">10886</t>
  </si>
  <si>
    <t xml:space="preserve">QB087442386</t>
  </si>
  <si>
    <t xml:space="preserve">Loganlea Rd Loganlea QLD 4131</t>
  </si>
  <si>
    <t xml:space="preserve">A-C1D0FE09</t>
  </si>
  <si>
    <t xml:space="preserve">127304907</t>
  </si>
  <si>
    <t xml:space="preserve">10890</t>
  </si>
  <si>
    <t xml:space="preserve">QB094431185</t>
  </si>
  <si>
    <t xml:space="preserve">SCOUTERS PARK  118 LYNDALE ST  DAISY HILL QLD 4127</t>
  </si>
  <si>
    <t xml:space="preserve">A-376C6943</t>
  </si>
  <si>
    <t xml:space="preserve">127304665</t>
  </si>
  <si>
    <t xml:space="preserve">10892</t>
  </si>
  <si>
    <t xml:space="preserve">123887952</t>
  </si>
  <si>
    <t xml:space="preserve">10896</t>
  </si>
  <si>
    <t xml:space="preserve">128683417</t>
  </si>
  <si>
    <t xml:space="preserve">11212,14743</t>
  </si>
  <si>
    <t xml:space="preserve">128683268</t>
  </si>
  <si>
    <t xml:space="preserve">12247,13901</t>
  </si>
  <si>
    <t xml:space="preserve">110782149</t>
  </si>
  <si>
    <t xml:space="preserve">12566,13756</t>
  </si>
  <si>
    <t xml:space="preserve">128683637</t>
  </si>
  <si>
    <t xml:space="preserve">11202,15074</t>
  </si>
  <si>
    <t xml:space="preserve">QB135463179</t>
  </si>
  <si>
    <t xml:space="preserve">4 TRINETTE ST  SHAILER PARK QLD 4128</t>
  </si>
  <si>
    <t xml:space="preserve">A-52176E3C</t>
  </si>
  <si>
    <t xml:space="preserve">120741983</t>
  </si>
  <si>
    <t xml:space="preserve">9362,10030,10074,10075,10340,10391,10421,10611,10658,15029,15246,15255,15256,15257,15289,15298,15320,15325,19150,19155,19156,19164,19166,19167,19258,19372,19373,19374,19375,19380,19381,20578</t>
  </si>
  <si>
    <t xml:space="preserve">31208807059</t>
  </si>
  <si>
    <t xml:space="preserve">PARK  CANX L911 SP303089 2 VESPAR RD  FLAGSTONE QLD 4280</t>
  </si>
  <si>
    <t xml:space="preserve">A-C1436247</t>
  </si>
  <si>
    <t xml:space="preserve">124013095</t>
  </si>
  <si>
    <t xml:space="preserve">11965,14450</t>
  </si>
  <si>
    <t xml:space="preserve">128683415</t>
  </si>
  <si>
    <t xml:space="preserve">12243,14183</t>
  </si>
  <si>
    <t xml:space="preserve">ALBERTA PARK Lot 235 BEAUDESERT-BEENLEIGH RD WOLFFDENE QLD 4207</t>
  </si>
  <si>
    <t xml:space="preserve">128682623</t>
  </si>
  <si>
    <t xml:space="preserve">11209,15516</t>
  </si>
  <si>
    <t xml:space="preserve">128682516</t>
  </si>
  <si>
    <t xml:space="preserve">11210,15527</t>
  </si>
  <si>
    <t xml:space="preserve">128683216</t>
  </si>
  <si>
    <t xml:space="preserve">11201,15551</t>
  </si>
  <si>
    <t xml:space="preserve">UNDERWOOD PARK - CONTEMPLATION 982 UNDERWOOD RD PRIESTDALE QLD 4127</t>
  </si>
  <si>
    <t xml:space="preserve">128683603</t>
  </si>
  <si>
    <t xml:space="preserve">11204</t>
  </si>
  <si>
    <t xml:space="preserve">128683313</t>
  </si>
  <si>
    <t xml:space="preserve">11208</t>
  </si>
  <si>
    <t xml:space="preserve">128683262</t>
  </si>
  <si>
    <t xml:space="preserve">11211</t>
  </si>
  <si>
    <t xml:space="preserve">128682507</t>
  </si>
  <si>
    <t xml:space="preserve">11216</t>
  </si>
  <si>
    <t xml:space="preserve">SCOUTERS PARK 118 LYNDALE ST DAISY HILL QLD 4127</t>
  </si>
  <si>
    <t xml:space="preserve">128683007</t>
  </si>
  <si>
    <t xml:space="preserve">11218</t>
  </si>
  <si>
    <t xml:space="preserve">PARK CANX L911 SP303089 2 VESPAR RD FLAGSTONE QLD 4280</t>
  </si>
  <si>
    <t xml:space="preserve">128683385</t>
  </si>
  <si>
    <t xml:space="preserve">12244,14314</t>
  </si>
  <si>
    <t xml:space="preserve">31207690192</t>
  </si>
  <si>
    <t xml:space="preserve">Public Toilet Block 143 Meakin Rd Slacks Creek QLD 4127</t>
  </si>
  <si>
    <t xml:space="preserve">A-FE646D8C</t>
  </si>
  <si>
    <t xml:space="preserve">127306821</t>
  </si>
  <si>
    <t xml:space="preserve">11958,14714</t>
  </si>
  <si>
    <t xml:space="preserve">110781930</t>
  </si>
  <si>
    <t xml:space="preserve">11675,15028</t>
  </si>
  <si>
    <t xml:space="preserve">110781957</t>
  </si>
  <si>
    <t xml:space="preserve">11674,15313</t>
  </si>
  <si>
    <t xml:space="preserve">124065101</t>
  </si>
  <si>
    <t xml:space="preserve">11697,15251</t>
  </si>
  <si>
    <t xml:space="preserve">110781635</t>
  </si>
  <si>
    <t xml:space="preserve">11681,15466</t>
  </si>
  <si>
    <t xml:space="preserve">110840032</t>
  </si>
  <si>
    <t xml:space="preserve">11683,15875</t>
  </si>
  <si>
    <t xml:space="preserve">110782107</t>
  </si>
  <si>
    <t xml:space="preserve">11680</t>
  </si>
  <si>
    <t xml:space="preserve">110782006</t>
  </si>
  <si>
    <t xml:space="preserve">11682</t>
  </si>
  <si>
    <t xml:space="preserve">110781234</t>
  </si>
  <si>
    <t xml:space="preserve">11685</t>
  </si>
  <si>
    <t xml:space="preserve">31206791775</t>
  </si>
  <si>
    <t xml:space="preserve">ERIDANI PARK BBQ  21-31 21-31 ERIDANI AVE  KINGSTON QLD 4114</t>
  </si>
  <si>
    <t xml:space="preserve">A-EF08E9E4</t>
  </si>
  <si>
    <t xml:space="preserve">127307093</t>
  </si>
  <si>
    <t xml:space="preserve">11955,15249</t>
  </si>
  <si>
    <t xml:space="preserve">128683301</t>
  </si>
  <si>
    <t xml:space="preserve">12242,14738</t>
  </si>
  <si>
    <t xml:space="preserve">31207851454</t>
  </si>
  <si>
    <t xml:space="preserve">Bbq 49 Kenny Rd Chambers Flat QLD 4133</t>
  </si>
  <si>
    <t xml:space="preserve">A-DC977EF8</t>
  </si>
  <si>
    <t xml:space="preserve">127306797</t>
  </si>
  <si>
    <t xml:space="preserve">11960,15697</t>
  </si>
  <si>
    <t xml:space="preserve">124003093</t>
  </si>
  <si>
    <t xml:space="preserve">11963</t>
  </si>
  <si>
    <t xml:space="preserve">110781661</t>
  </si>
  <si>
    <t xml:space="preserve">12570,14563</t>
  </si>
  <si>
    <t xml:space="preserve">128683026</t>
  </si>
  <si>
    <t xml:space="preserve">12249,15008</t>
  </si>
  <si>
    <t xml:space="preserve">128683149</t>
  </si>
  <si>
    <t xml:space="preserve">12250,15210</t>
  </si>
  <si>
    <t xml:space="preserve">ERIDANI PARK BBQ 21-31 21-31 ERIDANI AVE KINGSTON QLD 4114</t>
  </si>
  <si>
    <t xml:space="preserve">128682554</t>
  </si>
  <si>
    <t xml:space="preserve">12240,15376</t>
  </si>
  <si>
    <t xml:space="preserve">PARK BBQ Lot 21 CHAMBERS RIDGE BVD PARK RIDGE QLD 4125</t>
  </si>
  <si>
    <t xml:space="preserve">128683343</t>
  </si>
  <si>
    <t xml:space="preserve">12239</t>
  </si>
  <si>
    <t xml:space="preserve">LEAF PARK 89 KESSELS BVD GREENBANK QLD 4124</t>
  </si>
  <si>
    <t xml:space="preserve">128683374</t>
  </si>
  <si>
    <t xml:space="preserve">12245</t>
  </si>
  <si>
    <t xml:space="preserve">110781650</t>
  </si>
  <si>
    <t xml:space="preserve">12571,15571</t>
  </si>
  <si>
    <t xml:space="preserve">110781747</t>
  </si>
  <si>
    <t xml:space="preserve">12567</t>
  </si>
  <si>
    <t xml:space="preserve">126003287</t>
  </si>
  <si>
    <t xml:space="preserve">12749,15544</t>
  </si>
  <si>
    <t xml:space="preserve">126184351</t>
  </si>
  <si>
    <t xml:space="preserve">13463,14532</t>
  </si>
  <si>
    <t xml:space="preserve">126184353</t>
  </si>
  <si>
    <t xml:space="preserve">13464,14825</t>
  </si>
  <si>
    <t xml:space="preserve">126172202</t>
  </si>
  <si>
    <t xml:space="preserve">13462</t>
  </si>
  <si>
    <t xml:space="preserve">125456791</t>
  </si>
  <si>
    <t xml:space="preserve">14423,15153</t>
  </si>
  <si>
    <t xml:space="preserve">119629624</t>
  </si>
  <si>
    <t xml:space="preserve">8607,9700,9814,10222,10701,11155,14068,14428,19370,20564,21146,21154</t>
  </si>
  <si>
    <t xml:space="preserve">Sites reconciling to the cent</t>
  </si>
  <si>
    <t xml:space="preserve">Register electricity lines carried by the five uploaded statements</t>
  </si>
  <si>
    <t xml:space="preserve">746 lines, all Park Services, all PK000022, all Status Confirmed at Evidence Tier 2 on line narration.</t>
  </si>
  <si>
    <t xml:space="preserve">Site (register col AP)</t>
  </si>
  <si>
    <t xml:space="preserve">2025-08-01</t>
  </si>
  <si>
    <t xml:space="preserve">Amenities Block Lot 3 Boundary St Beenle</t>
  </si>
  <si>
    <t xml:space="preserve">Electricity Charges 02/05/25 to 30/06/25-QB065632365-Amenities Block Lot 3 Boundary St Beenle</t>
  </si>
  <si>
    <t xml:space="preserve">Electricity Charges 31/10/25 to 31/12/25-QB065632365-Amenities Block Lot 3 Boundary St Beenle</t>
  </si>
  <si>
    <t xml:space="preserve">Historical Society Amenities 223 Main St</t>
  </si>
  <si>
    <t xml:space="preserve">Electricity Charges 12/03/25 to 09/06/25-QB070469793-Historical Society Amenities 223 Main St</t>
  </si>
  <si>
    <t xml:space="preserve">ST# 6 - 12 6-12 HARLEY ST SHAILER PARK Q</t>
  </si>
  <si>
    <t xml:space="preserve">Electricity Charges 16/04/25 to 30/06/25-31200945048-ST# 6 - 12 6-12 HARLEY ST
SHAILER PARK Q</t>
  </si>
  <si>
    <t xml:space="preserve">WEST LOGAN NETBALL COURTS 155 MIDDLE RD</t>
  </si>
  <si>
    <t xml:space="preserve">Electricity Charges 10/04/25 to 30/06/25-QB109907633-WEST LOGAN NETBALL COURTS
155 MIDDLE RD</t>
  </si>
  <si>
    <t xml:space="preserve">2026-06-08</t>
  </si>
  <si>
    <t xml:space="preserve">Electricity Charges 01/01/26 to 03/11/26-QB070469793-Historical Society Amenities 223 Main St</t>
  </si>
  <si>
    <t xml:space="preserve">Electricity Charges 01/01/26 to 01/02/26-QB065632365-Amenities Block Lot 3 Boundary St Beenle</t>
  </si>
  <si>
    <t xml:space="preserve">Little Athelic Club 293 Logan St Eagleby</t>
  </si>
  <si>
    <t xml:space="preserve">Electricity Charges 05/03/25 to 04/06/25-QB094874928-Little Athelic Club 293 Logan St Eagleby</t>
  </si>
  <si>
    <t xml:space="preserve">Electricity Charges 01/07/25 to 27/07/25-QB065632365-Amenities Block Lot 3 Boundary St Beenle</t>
  </si>
  <si>
    <t xml:space="preserve">LOGAN AND DISTRICT SERVICES CL 5 CROYDON</t>
  </si>
  <si>
    <t xml:space="preserve">Electricity Charges 06/05/25 to 30/06/25-31162104503-LOGAN AND DISTRICT SERVICES CL
5 CROYDON</t>
  </si>
  <si>
    <t xml:space="preserve">Electricity Charges 01/01/26 to 03/05/26-QB094874928-Little Athelic Club 293 Logan St Eagleby</t>
  </si>
  <si>
    <t xml:space="preserve">Bbq And Lghting 140 Tygum Rd Waterford W</t>
  </si>
  <si>
    <t xml:space="preserve">Electricity Charges 01/01/26 to 27/03/26-31200942282-Bbq And Lghting 140 Tygum Rd Waterford W</t>
  </si>
  <si>
    <t xml:space="preserve">Logan River Park Lot 2 Peacock Ave Beenl</t>
  </si>
  <si>
    <t xml:space="preserve">Electricity Charges 02/05/25 to 30/06/25-31156054003-Logan River Park Lot 2 Peacock Ave Beenl</t>
  </si>
  <si>
    <t xml:space="preserve">Logan Village Green 18 Wharf St Logan Vi</t>
  </si>
  <si>
    <t xml:space="preserve">Electricity Charges 01/01/26 to 24/02/26-QB125886101-Logan Village Green 18 Wharf St Logan Vi</t>
  </si>
  <si>
    <t xml:space="preserve">Woodlands District Park 1 Grand Tce Wate</t>
  </si>
  <si>
    <t xml:space="preserve">Electricity Charges 14/04/25 to 30/06/25-31200591613-Woodlands District Park 1 Grand Tce Wate</t>
  </si>
  <si>
    <t xml:space="preserve">Logan Health Park Lot 383 Armstrong Rd M</t>
  </si>
  <si>
    <t xml:space="preserve">Electricity Charges 13/05/25 to 12/06/25-31208935255-Logan Health Park Lot 383 Armstrong Rd M</t>
  </si>
  <si>
    <t xml:space="preserve">Electricity Charges 28/02/26 to 27/03/26-QB128995510-19 South St Jimboomba QLD 4280</t>
  </si>
  <si>
    <t xml:space="preserve">Electricity Charges 01/01/00 to 01/01/00-31208935255-Logan Health Park Lot 383 Armstrong Rd M</t>
  </si>
  <si>
    <t xml:space="preserve">Electricity Charges 01/07/25 to 29/07/25-31162104503-LOGAN AND DISTRICT SERVICES CL
5 CROYDON</t>
  </si>
  <si>
    <t xml:space="preserve">Electricity Charges 28/02/26 to 27/03/26-31208935255-Logan Health Park Lot 383 Armstrong Rd M</t>
  </si>
  <si>
    <t xml:space="preserve">Jamie Nicolson Ave Edens Landing QLD 420</t>
  </si>
  <si>
    <t xml:space="preserve">Electricity Charges 01/01/26 to 03/01/26-QB132671321-Jamie Nicolson Ave Edens Landing QLD 420</t>
  </si>
  <si>
    <t xml:space="preserve">Electricity Charges 31/10/25 to 31/12/25-31156054003-Logan River Park Lot 2 Peacock Ave Beenl</t>
  </si>
  <si>
    <t xml:space="preserve">SOUTH ST JIMBOOMBA QLD 4280</t>
  </si>
  <si>
    <t xml:space="preserve">Electricity Charges 03/04/25 to 30/06/25-QB140732009-SOUTH ST
JIMBOOMBA QLD 4280</t>
  </si>
  <si>
    <t xml:space="preserve">Electricity Charges 26/11/25 to 31/12/25-QB125886101-Logan Village Green 18 Wharf St Logan Vi</t>
  </si>
  <si>
    <t xml:space="preserve">Lot 806 TULLY CONNECTION RD GREENBANK QL</t>
  </si>
  <si>
    <t xml:space="preserve">Electricity Charges 01/01/26 to 03/11/26-31160750727-Lot 806 TULLY CONNECTION RD
GREENBANK QL</t>
  </si>
  <si>
    <t xml:space="preserve">Electricity Charges 11/01/26 to 10/02/26-QB128995510-19 South St Jimboomba QLD 4280</t>
  </si>
  <si>
    <t xml:space="preserve">ROTARY PARK 1-27 1-27 JOHANNA ST JIMBOOM</t>
  </si>
  <si>
    <t xml:space="preserve">Electricity Charges 10/04/25 to 30/06/25-QB094096963-ROTARY PARK
1-27 1-27 JOHANNA ST
JIMBOOM</t>
  </si>
  <si>
    <t xml:space="preserve">Electricity Charges 02/11/26 to 01/01/00-QB128995510-19 South St Jimboomba QLD 4280</t>
  </si>
  <si>
    <t xml:space="preserve">Electricity Charges 13/06/25 to 30/06/25-31208935255-Logan Health Park Lot 383 Armstrong Rd M</t>
  </si>
  <si>
    <t xml:space="preserve">Electricity Charges 12/12/25 to 01/01/00-QB070469793-Historical Society Amenities 223 Main St</t>
  </si>
  <si>
    <t xml:space="preserve">2026-04-14</t>
  </si>
  <si>
    <t xml:space="preserve">Electricity Charges 09/01/26 to 06/04/26-QB140732009-SOUTH ST
JIMBOOMBA QLD 4280</t>
  </si>
  <si>
    <t xml:space="preserve">Electricity Charges 12/08/25 to 01/01/00-QB094874928-Little Athelic Club 293 Logan St Eagleby</t>
  </si>
  <si>
    <t xml:space="preserve">BBQ AREA 380 PEPPERTREE DR JIMBOOMBA QLD</t>
  </si>
  <si>
    <t xml:space="preserve">Electricity Charges 09/04/25 to 30/06/25-31202545607-BBQ AREA
380 PEPPERTREE DR
JIMBOOMBA QLD</t>
  </si>
  <si>
    <t xml:space="preserve">PARK BBQS Lot 902 BRADMAN ST NEW BEITH Q</t>
  </si>
  <si>
    <t xml:space="preserve">Electricity Charges 06/01/26 to 09/04/26-31200966670-PARK BBQS
Lot 902 BRADMAN ST
NEW BEITH Q</t>
  </si>
  <si>
    <t xml:space="preserve">Electricity Charges 01/07/25 to 27/07/25-31156054003-Logan River Park Lot 2 Peacock Ave Beenl</t>
  </si>
  <si>
    <t xml:space="preserve">PLAYGROUND AREA 370 BROWNS PLAINS RD BER</t>
  </si>
  <si>
    <t xml:space="preserve">Electricity Charges 05/01/26 to 31/03/26-31200093948-PLAYGROUND AREA
370 BROWNS PLAINS RD
BER</t>
  </si>
  <si>
    <t xml:space="preserve">Electricity Charges 01/07/25 to 13/07/25-31200945048-ST# 6 - 12 6-12 HARLEY ST
SHAILER PARK Q</t>
  </si>
  <si>
    <t xml:space="preserve">Electricity Charges 04/11/25 to 31/12/25-31162104503-LOGAN AND DISTRICT SERVICES CL
5 CROYDON</t>
  </si>
  <si>
    <t xml:space="preserve">LAVELLE PARK 17 ARGYLE RD GREENBANK QLD</t>
  </si>
  <si>
    <t xml:space="preserve">Electricity Charges 02/01/26 to 01/04/26-QB133433272-LAVELLE PARK
17 ARGYLE RD
GREENBANK QLD</t>
  </si>
  <si>
    <t xml:space="preserve">Lot 940 HIGHLANDS ST YARRABILBA QLD 4207</t>
  </si>
  <si>
    <t xml:space="preserve">Electricity Charges 02/01/26 to 31/03/26-31203324446-Lot 940 HIGHLANDS ST
YARRABILBA QLD 4207</t>
  </si>
  <si>
    <t xml:space="preserve">Rachael Lee Art Work Lot 9010 Garragull</t>
  </si>
  <si>
    <t xml:space="preserve">Electricity Charges 01/01/26 to 29/03/26-31203854055-Rachael Lee Art Work Lot 9010 Garragull</t>
  </si>
  <si>
    <t xml:space="preserve">36 SWEETGUM ST HILLCREST QLD 4118</t>
  </si>
  <si>
    <t xml:space="preserve">Electricity Charges 02/01/26 to 30/03/26-31168811258-36 SWEETGUM ST
HILLCREST QLD 4118</t>
  </si>
  <si>
    <t xml:space="preserve">Electricity Charges 09/01/26 to 06/04/26-QB120654635-149 Greenhill Rd Munruben QLD 4125</t>
  </si>
  <si>
    <t xml:space="preserve">Electricity Charges 02/01/26 to 29/03/26-31168811175-8 Ponderosa St Hillcrest QLD 4118</t>
  </si>
  <si>
    <t xml:space="preserve">TOILET BLOCK 71 CLARKS RD LOGANHOLME QLD</t>
  </si>
  <si>
    <t xml:space="preserve">Electricity Charges 01/01/26 to 27/03/26-31203019750-TOILET BLOCK
71 CLARKS RD
LOGANHOLME QLD</t>
  </si>
  <si>
    <t xml:space="preserve">SILVERTOP PARK 8 SILVERTOP ST HILLCREST</t>
  </si>
  <si>
    <t xml:space="preserve">Electricity Charges 06/01/26 to 31/03/26-QB087326557-SILVERTOP PARK
8 SILVERTOP ST
HILLCREST</t>
  </si>
  <si>
    <t xml:space="preserve">Council Pump 1 Carl Heck Bvd Windaroo QL</t>
  </si>
  <si>
    <t xml:space="preserve">Electricity Charges 01/01/26 to 23/03/26-QB083337005-Council Pump 1 Carl Heck Bvd Windaroo QL</t>
  </si>
  <si>
    <t xml:space="preserve">Electricity Charges 01/01/26 to 22/03/26-31168811416-12 VILLAGE DR
DAISY HILL QLD 4127</t>
  </si>
  <si>
    <t xml:space="preserve">Electricity Charges 12/02/25 to 01/01/00-QB132671321-Jamie Nicolson Ave Edens Landing QLD 420</t>
  </si>
  <si>
    <t xml:space="preserve">NEXUS PARK 28 OVERLAND DR EDENS LANDING</t>
  </si>
  <si>
    <t xml:space="preserve">Electricity Charges 28/02/25 to 01/06/25-QB110984225-NEXUS PARK
28 OVERLAND DR
EDENS LANDING</t>
  </si>
  <si>
    <t xml:space="preserve">Electricity Charges 01/01/26 to 19/03/26-31151679257-101 PARADISE RD
SLACKS CREEK QLD 4127</t>
  </si>
  <si>
    <t xml:space="preserve">Electricity Charges 01/01/26 to 19/03/26-31166740144-2 ALBERT ST
WATERFORD QLD 4133</t>
  </si>
  <si>
    <t xml:space="preserve">PARK BBQ SEE WP S0300205 256-282 256-282</t>
  </si>
  <si>
    <t xml:space="preserve">Electricity Charges 01/01/26 to 19/03/26-31201077552-PARK BBQ
SEE WP S0300205 256-282 256-282</t>
  </si>
  <si>
    <t xml:space="preserve">Electricity Charges 18/03/25 to 18/06/25-31166740144-2 ALBERT ST
WATERFORD QLD 4133</t>
  </si>
  <si>
    <t xml:space="preserve">Electricity Charges 19/03/25 to 19/06/25-31201077552-PARK BBQ
SEE WP S0300205 256-282 256-282</t>
  </si>
  <si>
    <t xml:space="preserve">Electricity Charges 19/03/25 to 18/06/25-31151679257-101 PARADISE RD
SLACKS CREEK QLD 4127</t>
  </si>
  <si>
    <t xml:space="preserve">Electricity Charges 28/03/25 to 27/06/25-31203019750-TOILET BLOCK
71 CLARKS RD
LOGANHOLME QLD</t>
  </si>
  <si>
    <t xml:space="preserve">Electricity Charges 01/10/25 to 16/12/25-31201077552-PARK BBQ
SEE WP S0300205 256-282 256-282</t>
  </si>
  <si>
    <t xml:space="preserve">Electricity Charges 14/03/25 to 12/06/25-31160750727-Lot 806 TULLY CONNECTION RD
GREENBANK QL</t>
  </si>
  <si>
    <t xml:space="preserve">Electricity Charges 20/03/25 to 18/06/25-31168811416-12 VILLAGE DR
DAISY HILL QLD 4127</t>
  </si>
  <si>
    <t xml:space="preserve">Electricity Charges 28/03/25 to 26/06/25-31168811258-36 SWEETGUM ST
HILLCREST QLD 4118</t>
  </si>
  <si>
    <t xml:space="preserve">CORNUBIA ADVENTURE PARK BBQ 6-14 6-14 CO</t>
  </si>
  <si>
    <t xml:space="preserve">Electricity Charges 07/03/25 to 05/06/25-31201052191-CORNUBIA ADVENTURE PARK BBQ
6-14 6-14 CO</t>
  </si>
  <si>
    <t xml:space="preserve">Electricity Charges 31/03/25 to 29/06/25-31203324446-Lot 940 HIGHLANDS ST
YARRABILBA QLD 4207</t>
  </si>
  <si>
    <t xml:space="preserve">Electricity Charges 24/03/25 to 22/06/25-QB083337005-Council Pump 1 Carl Heck Bvd Windaroo QL</t>
  </si>
  <si>
    <t xml:space="preserve">Electricity Charges 01/04/25 to 30/06/25-QB087326557-SILVERTOP PARK
8 SILVERTOP ST
HILLCREST</t>
  </si>
  <si>
    <t xml:space="preserve">ALBERT RIVER PARK 1 FRYAR RD EAGLEBY QLD</t>
  </si>
  <si>
    <t xml:space="preserve">Electricity Charges 07/03/25 to 05/06/25-QB100515891-ALBERT RIVER PARK
1 FRYAR RD
EAGLEBY QLD</t>
  </si>
  <si>
    <t xml:space="preserve">Electricity Charges 01/04/25 to 30/06/25-QB133433272-LAVELLE PARK
17 ARGYLE RD
GREENBANK QLD</t>
  </si>
  <si>
    <t xml:space="preserve">Council Park Lot 501 Spring Mountain Dr</t>
  </si>
  <si>
    <t xml:space="preserve">Electricity Charges 01/01/26 to 17/03/26-31203890539-Council Park Lot 501 Spring Mountain Dr</t>
  </si>
  <si>
    <t xml:space="preserve">4 TRINETTE ST SHAILER PARK QLD 4128</t>
  </si>
  <si>
    <t xml:space="preserve">Electricity Charges 18/02/25 to 18/05/25-QB135463179-4 TRINETTE ST
SHAILER PARK QLD 4128</t>
  </si>
  <si>
    <t xml:space="preserve">Demeio Park 116 Demeio Rd Marsden QLD 41</t>
  </si>
  <si>
    <t xml:space="preserve">Electricity Charges 06/03/25 to 03/06/25-31203520798-Demeio Park 116 Demeio Rd Marsden QLD 41</t>
  </si>
  <si>
    <t xml:space="preserve">Atlantic Park 108 Atlantic Dr Loganholme</t>
  </si>
  <si>
    <t xml:space="preserve">Electricity Charges 12/03/25 to 09/06/25-QB055679987-Atlantic Park 108 Atlantic Dr Loganholme</t>
  </si>
  <si>
    <t xml:space="preserve">Electricity Charges 28/03/25 to 24/06/25-31168811175-8 Ponderosa St Hillcrest QLD 4118</t>
  </si>
  <si>
    <t xml:space="preserve">Electricity Charges 28/03/25 to 24/06/25-31203854055-Rachael Lee Art Work Lot 9010 Garragull</t>
  </si>
  <si>
    <t xml:space="preserve">Electricity Charges 03/04/25 to 30/06/25-QB120654635-149 Greenhill Rd Munruben QLD 4125</t>
  </si>
  <si>
    <t xml:space="preserve">Electricity Charges 17/03/25 to 12/06/25-31203890539-Council Park Lot 501 Spring Mountain Dr</t>
  </si>
  <si>
    <t xml:space="preserve">Electricity Charges 01/01/26 to 03/12/26-QB055679987-Atlantic Park 108 Atlantic Dr Loganholme</t>
  </si>
  <si>
    <t xml:space="preserve">Electricity Charges 01/01/26 to 28/01/26-31156054003-Logan River Park Lot 2 Peacock Ave Beenl</t>
  </si>
  <si>
    <t xml:space="preserve">Electricity Charges 01/07/25 to 12/07/25-31208935255-Logan Health Park Lot 383 Armstrong Rd M</t>
  </si>
  <si>
    <t xml:space="preserve">Electricity Charges 01/01/26 to 29/03/26-31203145168-Park Lot 951 Foxx Ct Yarrabilba QLD 4207</t>
  </si>
  <si>
    <t xml:space="preserve">PARK BBQ 2-10 2-10 DARNELL ST YARRABILBA</t>
  </si>
  <si>
    <t xml:space="preserve">Electricity Charges 01/01/26 to 29/03/26-31203232863-PARK BBQ
2-10 2-10 DARNELL ST
YARRABILBA</t>
  </si>
  <si>
    <t xml:space="preserve">BBQ SHELTER 1-61 1-61 SANCTUARY PKWY WAT</t>
  </si>
  <si>
    <t xml:space="preserve">Electricity Charges 11/04/25 to 30/06/25-31174234730-BBQ SHELTER
1-61 1-61 SANCTUARY PKWY
WAT</t>
  </si>
  <si>
    <t xml:space="preserve">Electricity Charges 01/01/26 to 03/08/26-31201052191-CORNUBIA ADVENTURE PARK BBQ
6-14 6-14 CO</t>
  </si>
  <si>
    <t xml:space="preserve">Electricity Charges 01/01/26 to 03/08/26-QB100515891-ALBERT RIVER PARK
1 FRYAR RD
EAGLEBY QLD</t>
  </si>
  <si>
    <t xml:space="preserve">Bbq Shelter 1 Sanctuary Pkwy Waterford Q</t>
  </si>
  <si>
    <t xml:space="preserve">Electricity Charges 14/04/25 to 30/06/25-31174237164-Bbq Shelter 1 Sanctuary Pkwy Waterford Q</t>
  </si>
  <si>
    <t xml:space="preserve">PIONEER PARK MT LINDESAY HWY WOODHILL QL</t>
  </si>
  <si>
    <t xml:space="preserve">Electricity Charges 14/04/25 to 30/06/25-QB004872873-PIONEER PARK
MT LINDESAY HWY
WOODHILL QL</t>
  </si>
  <si>
    <t xml:space="preserve">BBQ 150 FEDERATION DR BETHANIA QLD 4205</t>
  </si>
  <si>
    <t xml:space="preserve">Electricity Charges 14/04/25 to 30/06/25-QB095059464-BBQ
150 FEDERATION DR
BETHANIA QLD 4205</t>
  </si>
  <si>
    <t xml:space="preserve">123 FEDERATION DR BETHANIA QLD 4205</t>
  </si>
  <si>
    <t xml:space="preserve">Electricity Charges 14/04/25 to 30/06/25-QB123775972-123 FEDERATION DR
BETHANIA QLD 4205</t>
  </si>
  <si>
    <t xml:space="preserve">Electricity Charges 15/04/25 to 30/06/25-QB095851175-88 Station Rd Bethania QLD 4205</t>
  </si>
  <si>
    <t xml:space="preserve">Electricity Charges 01/01/26 to 03/05/26-31203520798-Demeio Park 116 Demeio Rd Marsden QLD 41</t>
  </si>
  <si>
    <t xml:space="preserve">Electricity Charges 30/10/25 to 31/12/25-31155142426-94 Brookvale Dr Underwood QLD 4119</t>
  </si>
  <si>
    <t xml:space="preserve">Electricity Charges 30/07/25 to 30/09/25-31162104503-LOGAN AND DISTRICT SERVICES CL
5 CROYDON</t>
  </si>
  <si>
    <t xml:space="preserve">Millstream Retreat Park Bbqs Lot 990 Woo</t>
  </si>
  <si>
    <t xml:space="preserve">Electricity Charges 17/04/25 to 30/06/25-31200318016-Millstream Retreat Park Bbqs Lot 990 Woo</t>
  </si>
  <si>
    <t xml:space="preserve">Electricity Charges 17/04/25 to 30/06/25-31164834815-Bbq 45A Woodlands Bvd Waterford QLD 4133</t>
  </si>
  <si>
    <t xml:space="preserve">SAUNDERS PARK 49-65 49-65 OLD BLUFF RD C</t>
  </si>
  <si>
    <t xml:space="preserve">Electricity Charges 17/04/25 to 30/06/25-31200942300-SAUNDERS PARK
49-65 49-65 OLD BLUFF RD
C</t>
  </si>
  <si>
    <t xml:space="preserve">Electricity Charges 01/01/26 to 03/03/26-QB110984225-NEXUS PARK
28 OVERLAND DR
EDENS LANDING</t>
  </si>
  <si>
    <t xml:space="preserve">Electricity Charges 22/04/25 to 30/06/25-QB097890493-20 Lincoln Green Dr Forestdale QLD 4118</t>
  </si>
  <si>
    <t xml:space="preserve">Electricity Charges 28/03/25 to 24/06/25-31203145168-Park Lot 951 Foxx Ct Yarrabilba QLD 4207</t>
  </si>
  <si>
    <t xml:space="preserve">Electricity Charges 28/03/25 to 24/06/25-31203232863-PARK BBQ
2-10 2-10 DARNELL ST
YARRABILBA</t>
  </si>
  <si>
    <t xml:space="preserve">Lansdown Park 32 Lansdown Rd Waterford W</t>
  </si>
  <si>
    <t xml:space="preserve">Electricity Charges 03/11/25 to 31/12/25-31143105973-Lansdown Park 32 Lansdown Rd Waterford W</t>
  </si>
  <si>
    <t xml:space="preserve">PUBLIC BBQ 38 RIDGEVALE BVD HOLMVIEW QLD</t>
  </si>
  <si>
    <t xml:space="preserve">Electricity Charges 22/04/25 to 30/06/25-31201394146-PUBLIC BBQ
38 RIDGEVALE BVD
HOLMVIEW QLD</t>
  </si>
  <si>
    <t xml:space="preserve">Electricity Charges 01/01/25 to 11/03/25-QB055679987-Atlantic Park 108 Atlantic Dr Loganholme</t>
  </si>
  <si>
    <t xml:space="preserve">Electricity Charges 01/01/26 to 01/01/00-31207202251-29 Halcyon Way Logan Reserve QLD 4133</t>
  </si>
  <si>
    <t xml:space="preserve">Electricity Charges 04/11/25 to 31/12/25-31169793460-85 St Jude Cct Glenlogan QLD 4280</t>
  </si>
  <si>
    <t xml:space="preserve">JINGERI PARK 2 MERLUNA RD PARK RIDGE SOU</t>
  </si>
  <si>
    <t xml:space="preserve">Electricity Charges 23/04/25 to 30/06/25-31155469777-JINGERI PARK
2 MERLUNA RD
PARK RIDGE SOU</t>
  </si>
  <si>
    <t xml:space="preserve">Electricity Charges 23/04/25 to 30/06/25-QB093791266-99 Ewing Rd Woodridge QLD 4114</t>
  </si>
  <si>
    <t xml:space="preserve">Electricity Charges 05/11/25 to 31/12/25-QB136176138-16 Kiewa Dr Loganholme QLD 4129</t>
  </si>
  <si>
    <t xml:space="preserve">Park Bbq Shelter 20 Outlook Dr Waterford</t>
  </si>
  <si>
    <t xml:space="preserve">Electricity Charges 24/04/25 to 30/06/25-31200505415-Park Bbq Shelter 20 Outlook Dr Waterford</t>
  </si>
  <si>
    <t xml:space="preserve">Electricity Charges 06/05/25 to 29/05/25-31200942282-Bbq And Lghting 140 Tygum Rd Waterford W</t>
  </si>
  <si>
    <t xml:space="preserve">STURDEE PARK 73 STATION RD LOGANLEA QLD</t>
  </si>
  <si>
    <t xml:space="preserve">Electricity Charges 01/06/25 to 30/06/25-31206418214-STURDEE PARK
73 STATION RD
LOGANLEA QLD</t>
  </si>
  <si>
    <t xml:space="preserve">Electricity Charges 01/01/00 to 01/01/00-31206418214-STURDEE PARK
73 STATION RD
LOGANLEA QLD</t>
  </si>
  <si>
    <t xml:space="preserve">UNDERWOOD PARK - CONTEMPLATION 982 UNDER</t>
  </si>
  <si>
    <t xml:space="preserve">Electricity Charges 01/01/00 to 01/01/00-31206430862-UNDERWOOD PARK - CONTEMPLATION
982 UNDER</t>
  </si>
  <si>
    <t xml:space="preserve">Electricity Charges 01/01/26 to 01/01/00-31201588013-720 Middle Rd Greenbank QLD 4124</t>
  </si>
  <si>
    <t xml:space="preserve">ALBERT ST LOGAN VILLAGE QLD 4207</t>
  </si>
  <si>
    <t xml:space="preserve">Electricity Charges 01/01/26 to 24/02/26-31151450009-ALBERT ST
LOGAN VILLAGE QLD 4207</t>
  </si>
  <si>
    <t xml:space="preserve">PARK AMENITIES 24 WHARF ST LOGAN VILLAGE</t>
  </si>
  <si>
    <t xml:space="preserve">Electricity Charges 01/01/26 to 24/02/26-31201868819-PARK AMENITIES
24 WHARF ST
LOGAN VILLAGE</t>
  </si>
  <si>
    <t xml:space="preserve">Ray Hackwood Park 2 Saverin Rd Eagleby Q</t>
  </si>
  <si>
    <t xml:space="preserve">Electricity Charges 07/11/25 to 31/12/25-QB100514654-Ray Hackwood Park 2 Saverin Rd Eagleby Q</t>
  </si>
  <si>
    <t xml:space="preserve">SPRINGWOOD PARK 77 CINDERELLA DR SPRINGW</t>
  </si>
  <si>
    <t xml:space="preserve">Electricity Charges 28/04/25 to 30/06/25-QB080914558-SPRINGWOOD PARK
77 CINDERELLA DR
SPRINGW</t>
  </si>
  <si>
    <t xml:space="preserve">Electricity Charges 02/05/25 to 30/06/25-QB106345176-41 Logan St Beenleigh QLD 4207</t>
  </si>
  <si>
    <t xml:space="preserve">TENNIS COURTS 1 BISHOP ST EAGLEBY QLD 42</t>
  </si>
  <si>
    <t xml:space="preserve">Electricity Charges 10/11/25 to 31/12/25-QB100515118-TENNIS COURTS
1 BISHOP ST
EAGLEBY QLD 42</t>
  </si>
  <si>
    <t xml:space="preserve">Electricity Charges 10/11/25 to 31/12/25-QB106306519-53 Plover Dr Eagleby QLD 4207</t>
  </si>
  <si>
    <t xml:space="preserve">COALSTON CRSG PARK BBQ SHELTER Lot 107 C</t>
  </si>
  <si>
    <t xml:space="preserve">Electricity Charges 14/04/25 to 30/06/25-31200504853-COALSTON CRSG PARK BBQ SHELTER
Lot 107 C</t>
  </si>
  <si>
    <t xml:space="preserve">Electricity Charges 01/07/25 to 10/07/25-QB109907633-WEST LOGAN NETBALL COURTS
155 MIDDLE RD</t>
  </si>
  <si>
    <t xml:space="preserve">Evergreen Park 70 Evergreen Ave Loganlea</t>
  </si>
  <si>
    <t xml:space="preserve">Electricity Charges 11/11/25 to 31/12/25-31163113452-Evergreen Park 70 Evergreen Ave Loganlea</t>
  </si>
  <si>
    <t xml:space="preserve">Electricity Charges 01/10/25 to 20/11/25-QB135463179-4 TRINETTE ST
SHAILER PARK QLD 4128</t>
  </si>
  <si>
    <t xml:space="preserve">Electricity Charges 02/05/25 to 30/06/25-31155142426-94 Brookvale Dr Underwood QLD 4119</t>
  </si>
  <si>
    <t xml:space="preserve">Electricity Charges 02/05/25 to 30/06/25-31169793460-85 St Jude Cct Glenlogan QLD 4280</t>
  </si>
  <si>
    <t xml:space="preserve">LANCASTER PARK 2 CHAMBERS FLAT RD WATERF</t>
  </si>
  <si>
    <t xml:space="preserve">Electricity Charges 02/05/25 to 30/06/25-QB085036813-LANCASTER PARK
2 CHAMBERS FLAT RD
WATERF</t>
  </si>
  <si>
    <t xml:space="preserve">Electricity Charges 01/01/26 to 19/02/26-31174015515-71 Barbaralla Dr Springwood QLD 4127</t>
  </si>
  <si>
    <t xml:space="preserve">TOILETS BBQ &amp; STAGE AREA Lot 902 PARKSID</t>
  </si>
  <si>
    <t xml:space="preserve">Electricity Charges 01/01/26 to 19/02/26-31200578525-TOILETS BBQ &amp; STAGE AREA
Lot 902 PARKSID</t>
  </si>
  <si>
    <t xml:space="preserve">Ridgecrest Park 6 Ridgecrest Dr Flagston</t>
  </si>
  <si>
    <t xml:space="preserve">Electricity Charges 01/01/26 to 19/02/26-31201383405-Ridgecrest Park 6 Ridgecrest Dr Flagston</t>
  </si>
  <si>
    <t xml:space="preserve">Regents Park 21 Bennett Dr Regents Park</t>
  </si>
  <si>
    <t xml:space="preserve">Electricity Charges 12/11/25 to 31/12/25-QB094431341-Regents Park 21 Bennett Dr Regents Park</t>
  </si>
  <si>
    <t xml:space="preserve">Electricity Charges 01/07/25 to 19/08/25-QB135463179-4 TRINETTE ST
SHAILER PARK QLD 4128</t>
  </si>
  <si>
    <t xml:space="preserve">Electricity Charges 01/01/26 to 19/02/26-QB135463179-4 TRINETTE ST
SHAILER PARK QLD 4128</t>
  </si>
  <si>
    <t xml:space="preserve">Electricity Charges 28/02/26 to 27/03/26-31206418214-STURDEE PARK
73 STATION RD
LOGANLEA QLD</t>
  </si>
  <si>
    <t xml:space="preserve">16 FERMONT RD UNDERWOOD QLD 4119</t>
  </si>
  <si>
    <t xml:space="preserve">Electricity Charges 01/01/26 to 18/02/26-QB052516565-16 FERMONT RD
UNDERWOOD QLD 4119</t>
  </si>
  <si>
    <t xml:space="preserve">Electricity Charges 13/11/25 to 31/12/25-QB090084039-Oates Ave Woodridge QLD 4114</t>
  </si>
  <si>
    <t xml:space="preserve">CRESTMEAD PARK BBQ 35A ROYENA CT CRESTME</t>
  </si>
  <si>
    <t xml:space="preserve">Electricity Charges 28/01/26 to 31/03/26-31203421519-CRESTMEAD PARK BBQ
35A ROYENA CT
CRESTME</t>
  </si>
  <si>
    <t xml:space="preserve">150 FLESSER RD CHAMBERS FLAT QLD 4133</t>
  </si>
  <si>
    <t xml:space="preserve">Electricity Charges 14/11/25 to 31/12/25-31170225684-150 FLESSER RD
CHAMBERS FLAT QLD 4133</t>
  </si>
  <si>
    <t xml:space="preserve">BBQ STOTEN PARK 24A MONIVAE CCT EAGLEBY</t>
  </si>
  <si>
    <t xml:space="preserve">Electricity Charges 01/01/26 to 16/02/26-31201593053-BBQ STOTEN PARK
24A MONIVAE CCT
EAGLEBY</t>
  </si>
  <si>
    <t xml:space="preserve">CECIL CLARK PARK FRYAR RD EAGLEBY QLD 42</t>
  </si>
  <si>
    <t xml:space="preserve">Electricity Charges 01/01/26 to 16/02/26-QB100498519-CECIL CLARK PARK
FRYAR RD
EAGLEBY QLD 42</t>
  </si>
  <si>
    <t xml:space="preserve">Leawarra Park 30 Garrima Dr Loganholme Q</t>
  </si>
  <si>
    <t xml:space="preserve">Electricity Charges 01/01/26 to 15/02/26-QB086511672-Leawarra Park 30 Garrima Dr Loganholme Q</t>
  </si>
  <si>
    <t xml:space="preserve">Sturdee Park 11 Sturdee St Loganlea QLD</t>
  </si>
  <si>
    <t xml:space="preserve">Electricity Charges 01/01/26 to 15/02/26-QB094431005-Sturdee Park 11 Sturdee St Loganlea QLD</t>
  </si>
  <si>
    <t xml:space="preserve">WILLOW PARK 49 SUNRISE ST BEENLEIGH QLD</t>
  </si>
  <si>
    <t xml:space="preserve">Electricity Charges 01/01/26 to 15/02/26-QB110983500-WILLOW PARK
49 SUNRISE ST
BEENLEIGH QLD</t>
  </si>
  <si>
    <t xml:space="preserve">CAFE 982 UNDERWOOD RD PRIESTDALE QLD 412</t>
  </si>
  <si>
    <t xml:space="preserve">Electricity Charges 01/06/25 to 30/06/25-31206596489-CAFE
982 UNDERWOOD RD
PRIESTDALE QLD 412</t>
  </si>
  <si>
    <t xml:space="preserve">RIVERDALE PARK/MEADOWBROOK PAR 90-110 AR</t>
  </si>
  <si>
    <t xml:space="preserve">Electricity Charges 01/06/25 to 30/06/25-31143485943-RIVERDALE PARK/MEADOWBROOK PAR
90-110 AR</t>
  </si>
  <si>
    <t xml:space="preserve">Electricity Charges 01/01/00 to 01/01/00-31200942282-Bbq And Lghting 140 Tygum Rd Waterford W</t>
  </si>
  <si>
    <t xml:space="preserve">Electricity Charges 01/01/26 to 29/01/26-31162104503-LOGAN AND DISTRICT SERVICES CL
5 CROYDON</t>
  </si>
  <si>
    <t xml:space="preserve">169 BEAUDESERT-BEENLEIGH RD MOUNT WARREN</t>
  </si>
  <si>
    <t xml:space="preserve">Electricity Charges 17/11/25 to 31/12/25-31202492525-169 BEAUDESERT-BEENLEIGH RD
MOUNT WARREN</t>
  </si>
  <si>
    <t xml:space="preserve">Electricity Charges 17/11/25 to 31/12/25-QB086511672-Leawarra Park 30 Garrima Dr Loganholme Q</t>
  </si>
  <si>
    <t xml:space="preserve">Park Lighting Lot 802 Everleigh Dr Green</t>
  </si>
  <si>
    <t xml:space="preserve">Electricity Charges 01/01/00 to 01/01/00-31206666085-Park Lighting Lot 802 Everleigh Dr Green</t>
  </si>
  <si>
    <t xml:space="preserve">Electricity Charges 18/11/25 to 31/12/25-QB110983500-WILLOW PARK
49 SUNRISE ST
BEENLEIGH QLD</t>
  </si>
  <si>
    <t xml:space="preserve">Dog Park Lot 908 Homestead Dr Flagstone</t>
  </si>
  <si>
    <t xml:space="preserve">Electricity Charges 01/01/26 to 25/02/26-31203724851-Dog Park Lot 908 Homestead Dr Flagstone</t>
  </si>
  <si>
    <t xml:space="preserve">Electricity Charges 19/11/25 to 31/12/25-31201593053-BBQ STOTEN PARK
24A MONIVAE CCT
EAGLEBY</t>
  </si>
  <si>
    <t xml:space="preserve">Electricity Charges 19/11/25 to 31/12/25-QB094431005-Sturdee Park 11 Sturdee St Loganlea QLD</t>
  </si>
  <si>
    <t xml:space="preserve">CARETAKERS RESIDENCE 19 SOUTH ST JIMBOOM</t>
  </si>
  <si>
    <t xml:space="preserve">Electricity Charges 01/01/00 to 01/01/00-QB141152636-CARETAKERS RESIDENCE
19 SOUTH ST
JIMBOOM</t>
  </si>
  <si>
    <t xml:space="preserve">Electricity Charges 01/01/26 to 11/02/26-31202492525-169 BEAUDESERT-BEENLEIGH RD
MOUNT WARREN</t>
  </si>
  <si>
    <t xml:space="preserve">Electricity Charges 20/11/25 to 31/12/25-QB052516565-16 FERMONT RD
UNDERWOOD QLD 4119</t>
  </si>
  <si>
    <t xml:space="preserve">Electricity Charges 01/01/26 to 11/02/26-QB090084039-Oates Ave Woodridge QLD 4114</t>
  </si>
  <si>
    <t xml:space="preserve">Electricity Charges 20/08/25 to 30/09/25-QB135463179-4 TRINETTE ST
SHAILER PARK QLD 4128</t>
  </si>
  <si>
    <t xml:space="preserve">Electricity Charges 29/04/25 to 30/06/25-31203421519-CRESTMEAD PARK BBQ
35A ROYENA CT
CRESTME</t>
  </si>
  <si>
    <t xml:space="preserve">Electricity Charges 01/01/26 to 10/02/26-31163113452-Evergreen Park 70 Evergreen Ave Loganlea</t>
  </si>
  <si>
    <t xml:space="preserve">Electricity Charges 01/01/26 to 10/02/26-31170225684-150 FLESSER RD
CHAMBERS FLAT QLD 4133</t>
  </si>
  <si>
    <t xml:space="preserve">Electricity Charges 21/11/25 to 31/12/25-31174015515-71 Barbaralla Dr Springwood QLD 4127</t>
  </si>
  <si>
    <t xml:space="preserve">Electricity Charges 01/01/26 to 10/02/26-QB100515118-TENNIS COURTS
1 BISHOP ST
EAGLEBY QLD 42</t>
  </si>
  <si>
    <t xml:space="preserve">Electricity Charges 21/11/25 to 31/12/25-QB135463179-4 TRINETTE ST
SHAILER PARK QLD 4128</t>
  </si>
  <si>
    <t xml:space="preserve">Electricity Charges 01/01/25 to 17/02/25-QB135463179-4 TRINETTE ST
SHAILER PARK QLD 4128</t>
  </si>
  <si>
    <t xml:space="preserve">Electricity Charges 01/01/26 to 09/02/26-QB094431341-Regents Park 21 Bennett Dr Regents Park</t>
  </si>
  <si>
    <t xml:space="preserve">Electricity Charges 13/05/25 to 12/06/25-31206666085-Park Lighting Lot 802 Everleigh Dr Green</t>
  </si>
  <si>
    <t xml:space="preserve">Park) Lot 9042 Buxton Ave Yarrabilba QLD</t>
  </si>
  <si>
    <t xml:space="preserve">Electricity Charges 01/06/25 to 30/06/25-31203557450-Park) Lot 9042 Buxton Ave Yarrabilba QLD</t>
  </si>
  <si>
    <t xml:space="preserve">Electricity Charges 01/01/26 to 08/02/26-QB106306519-53 Plover Dr Eagleby QLD 4207</t>
  </si>
  <si>
    <t xml:space="preserve">Electricity Charges 12/11/25 to 31/12/25-31203096170-33 Copal Dr Logan Reserve QLD 4133</t>
  </si>
  <si>
    <t xml:space="preserve">Electricity Charges 30/05/25 to 09/06/25-31200942282-Bbq And Lghting 140 Tygum Rd Waterford W</t>
  </si>
  <si>
    <t xml:space="preserve">Electricity Charges 01/07/25 to 30/07/25-31203557450-Park) Lot 9042 Buxton Ave Yarrabilba QLD</t>
  </si>
  <si>
    <t xml:space="preserve">PEBBLE CREEK DISTRICT PARK Lot 9001 BLOO</t>
  </si>
  <si>
    <t xml:space="preserve">Electricity Charges 01/06/25 to 30/06/25-31207009277-PEBBLE CREEK DISTRICT PARK
Lot 9001 BLOO</t>
  </si>
  <si>
    <t xml:space="preserve">Electricity Charges 24/11/25 to 31/12/25-31200578525-TOILETS BBQ &amp; STAGE AREA
Lot 902 PARKSID</t>
  </si>
  <si>
    <t xml:space="preserve">Electricity Charges 25/11/25 to 31/12/25-31201383405-Ridgecrest Park 6 Ridgecrest Dr Flagston</t>
  </si>
  <si>
    <t xml:space="preserve">Electricity Charges 28/02/26 to 27/03/26-QB141152636-CARETAKERS RESIDENCE
19 SOUTH ST
JIMBOOM</t>
  </si>
  <si>
    <t xml:space="preserve">Electricity Charges 28/02/26 to 27/03/26-31206666085-Park Lighting Lot 802 Everleigh Dr Green</t>
  </si>
  <si>
    <t xml:space="preserve">Electricity Charges 19/05/25 to 30/06/25-QB135463179-4 TRINETTE ST
SHAILER PARK QLD 4128</t>
  </si>
  <si>
    <t xml:space="preserve">Electricity Charges 12/11/25 to 01/01/00-31160750727-Lot 806 TULLY CONNECTION RD
GREENBANK QL</t>
  </si>
  <si>
    <t xml:space="preserve">Electricity Charges 20/11/24 to 31/12/24-QB135463179-4 TRINETTE ST
SHAILER PARK QLD 4128</t>
  </si>
  <si>
    <t xml:space="preserve">Electricity Charges 27/11/25 to 31/12/25-31151450009-ALBERT ST
LOGAN VILLAGE QLD 4207</t>
  </si>
  <si>
    <t xml:space="preserve">Electricity Charges 27/11/25 to 31/12/25-31201868819-PARK AMENITIES
24 WHARF ST
LOGAN VILLAGE</t>
  </si>
  <si>
    <t xml:space="preserve">Electricity Charges 27/11/25 to 31/12/25-QB100498519-CECIL CLARK PARK
FRYAR RD
EAGLEBY QLD 42</t>
  </si>
  <si>
    <t xml:space="preserve">Electricity Charges 01/01/26 to 04/02/26-QB100514654-Ray Hackwood Park 2 Saverin Rd Eagleby Q</t>
  </si>
  <si>
    <t xml:space="preserve">Electricity Charges 01/01/26 to 04/02/26-QB136176138-16 Kiewa Dr Loganholme QLD 4129</t>
  </si>
  <si>
    <t xml:space="preserve">Electricity Charges 01/06/25 to 30/06/25-QB141152636-CARETAKERS RESIDENCE
19 SOUTH ST
JIMBOOM</t>
  </si>
  <si>
    <t xml:space="preserve">Electricity Charges 01/01/00 to 01/01/00-31201588013-720 Middle Rd Greenbank QLD 4124</t>
  </si>
  <si>
    <t xml:space="preserve">Electricity Charges 01/01/00 to 01/01/00-31207202251-29 Halcyon Way Logan Reserve QLD 4133</t>
  </si>
  <si>
    <t xml:space="preserve">Electricity Charges 01/10/25 to 03/11/25-31162104503-LOGAN AND DISTRICT SERVICES CL
5 CROYDON</t>
  </si>
  <si>
    <t xml:space="preserve">Bbq Underwood Park 956 Underwood Rd Prie</t>
  </si>
  <si>
    <t xml:space="preserve">Electricity Charges 05/03/26 to 06/04/26-QB080914391-Bbq Underwood Park 956 Underwood Rd Prie</t>
  </si>
  <si>
    <t xml:space="preserve">Magellan Park Raleigh St Springwood QLD</t>
  </si>
  <si>
    <t xml:space="preserve">Electricity Charges 02/06/26 to 03/09/26-QB135704210-Magellan Park Raleigh St Springwood QLD</t>
  </si>
  <si>
    <t xml:space="preserve">Electricity Charges 01/01/26 to 01/02/26-31143105973-Lansdown Park 32 Lansdown Rd Waterford W</t>
  </si>
  <si>
    <t xml:space="preserve">Electricity Charges 01/01/26 to 10/02/26-31203096170-33 Copal Dr Logan Reserve QLD 4133</t>
  </si>
  <si>
    <t xml:space="preserve">Electricity Charges 28/02/26 to 27/03/26-31206596489-CAFE
982 UNDERWOOD RD
PRIESTDALE QLD 412</t>
  </si>
  <si>
    <t xml:space="preserve">Electricity Charges 01/01/00 to 01/01/00-31143485943-RIVERDALE PARK/MEADOWBROOK PAR
90-110 AR</t>
  </si>
  <si>
    <t xml:space="preserve">Electric Bbq'S 77 Couldery Ct Cedar Grov</t>
  </si>
  <si>
    <t xml:space="preserve">Electricity Charges 01/01/00 to 01/01/00-31201031719-Electric Bbq'S 77 Couldery Ct Cedar Grov</t>
  </si>
  <si>
    <t xml:space="preserve">Electricity Charges 01/01/00 to 01/01/00-31202223855-138 School Rd Logan Reserve QLD 4133</t>
  </si>
  <si>
    <t xml:space="preserve">COLVILLE PARK Lot 3000 COLVILLE ST GREEN</t>
  </si>
  <si>
    <t xml:space="preserve">Electricity Charges 01/01/00 to 01/01/00-31206577068-COLVILLE PARK
Lot 3000 COLVILLE ST
GREEN</t>
  </si>
  <si>
    <t xml:space="preserve">Electricity Charges 01/01/00 to 01/01/00-31206596489-CAFE
982 UNDERWOOD RD
PRIESTDALE QLD 412</t>
  </si>
  <si>
    <t xml:space="preserve">Homestead Park 4 Jodie St Shailer Park Q</t>
  </si>
  <si>
    <t xml:space="preserve">Electricity Charges 01/01/00 to 01/01/00-31206750062-Homestead Park 4 Jodie St Shailer Park Q</t>
  </si>
  <si>
    <t xml:space="preserve">ALBERTA PARK Lot 235 BEAUDESERT-BEENLEIG</t>
  </si>
  <si>
    <t xml:space="preserve">Electricity Charges 01/01/00 to 01/01/00-31207911571-ALBERTA PARK
Lot 235 BEAUDESERT-BEENLEIG</t>
  </si>
  <si>
    <t xml:space="preserve">Homestead Park Toilet Block Lot 943 Home</t>
  </si>
  <si>
    <t xml:space="preserve">Electricity Charges 01/01/00 to 01/01/00-31208249481-Homestead Park Toilet Block Lot 943 Home</t>
  </si>
  <si>
    <t xml:space="preserve">Electricity Charges 01/01/00 to 01/01/00-31208360050-271 Bushman Dr Flagstone QLD 4280</t>
  </si>
  <si>
    <t xml:space="preserve">Amenities Lighting Lot 9003 Everleigh Dr</t>
  </si>
  <si>
    <t xml:space="preserve">Electricity Charges 01/01/00 to 01/01/00-31208397902-Amenities Lighting Lot 9003 Everleigh Dr</t>
  </si>
  <si>
    <t xml:space="preserve">Electricity Charges 01/01/00 to 01/01/00-31209485846-1 CUPANIA ST
DAISY HILL QLD 4127</t>
  </si>
  <si>
    <t xml:space="preserve">Electricity Charges 01/01/00 to 01/01/00-QB087442386-Loganlea Rd Loganlea QLD 4131</t>
  </si>
  <si>
    <t xml:space="preserve">Forestglen Park 118 Browns Plains Rd Bro</t>
  </si>
  <si>
    <t xml:space="preserve">Electricity Charges 01/01/00 to 01/01/00-QB090084384-Forestglen Park 118 Browns Plains Rd Bro</t>
  </si>
  <si>
    <t xml:space="preserve">SCOUTERS PARK 118 LYNDALE ST DAISY HILL</t>
  </si>
  <si>
    <t xml:space="preserve">Electricity Charges 01/01/00 to 01/01/00-QB094431185-SCOUTERS PARK
118 LYNDALE ST
DAISY HILL</t>
  </si>
  <si>
    <t xml:space="preserve">Brushwood Park Cedar Grove Rd Cedar Grov</t>
  </si>
  <si>
    <t xml:space="preserve">Electricity Charges 01/01/00 to 01/01/00-QB103902517-Brushwood Park Cedar Grove Rd Cedar Grov</t>
  </si>
  <si>
    <t xml:space="preserve">BEDFORD PARK 229-239 229-239 RIVER HILLS</t>
  </si>
  <si>
    <t xml:space="preserve">Electricity Charges 01/01/00 to 01/01/00-QB110983334-BEDFORD PARK
229-239 229-239 RIVER HILLS</t>
  </si>
  <si>
    <t xml:space="preserve">Electricity Charges 10/03/26 to 09/04/26-QB135704210-Magellan Park Raleigh St Springwood QLD</t>
  </si>
  <si>
    <t xml:space="preserve">Electricity Charges 10/01/26 to 09/02/26-31208388652-32 Turill St Shailer Park QLD 4128</t>
  </si>
  <si>
    <t xml:space="preserve">Electricity Charges 02/03/26 to 03/04/26-QB080914391-Bbq Underwood Park 956 Underwood Rd Prie</t>
  </si>
  <si>
    <t xml:space="preserve">Electricity Charges 12/03/25 to 01/01/00-QB110984225-NEXUS PARK
28 OVERLAND DR
EDENS LANDING</t>
  </si>
  <si>
    <t xml:space="preserve">Electricity Charges 01/01/26 to 29/01/26-31169793460-85 St Jude Cct Glenlogan QLD 4280</t>
  </si>
  <si>
    <t xml:space="preserve">Electricity Charges 01/07/25 to 29/07/25-31169793460-85 St Jude Cct Glenlogan QLD 4280</t>
  </si>
  <si>
    <t xml:space="preserve">Electricity Charges 25/11/25 to 31/12/25-31203724851-Dog Park Lot 908 Homestead Dr Flagstone</t>
  </si>
  <si>
    <t xml:space="preserve">Electricity Charges 28/02/26 to 27/03/26-QB110983334-BEDFORD PARK
229-239 229-239 RIVER HILLS</t>
  </si>
  <si>
    <t xml:space="preserve">Electricity Charges 28/02/26 to 27/03/26-31207009277-PEBBLE CREEK DISTRICT PARK
Lot 9001 BLOO</t>
  </si>
  <si>
    <t xml:space="preserve">Electricity Charges 28/02/26 to 27/03/26-31143485943-RIVERDALE PARK/MEADOWBROOK PAR
90-110 AR</t>
  </si>
  <si>
    <t xml:space="preserve">Electricity Charges 28/02/26 to 27/03/26-31201031719-Electric Bbq'S 77 Couldery Ct Cedar Grov</t>
  </si>
  <si>
    <t xml:space="preserve">Electricity Charges 28/02/26 to 27/03/26-31202223855-138 School Rd Logan Reserve QLD 4133</t>
  </si>
  <si>
    <t xml:space="preserve">Electricity Charges 28/02/26 to 27/03/26-31206430862-UNDERWOOD PARK - CONTEMPLATION
982 UNDER</t>
  </si>
  <si>
    <t xml:space="preserve">Electricity Charges 28/02/26 to 27/03/26-31206577068-COLVILLE PARK
Lot 3000 COLVILLE ST
GREEN</t>
  </si>
  <si>
    <t xml:space="preserve">Electricity Charges 28/02/26 to 27/03/26-31206750062-Homestead Park 4 Jodie St Shailer Park Q</t>
  </si>
  <si>
    <t xml:space="preserve">Electricity Charges 28/02/26 to 27/03/26-31207911571-ALBERTA PARK
Lot 235 BEAUDESERT-BEENLEIG</t>
  </si>
  <si>
    <t xml:space="preserve">Electricity Charges 28/02/26 to 27/03/26-31208249481-Homestead Park Toilet Block Lot 943 Home</t>
  </si>
  <si>
    <t xml:space="preserve">Electricity Charges 28/02/26 to 27/03/26-31208360050-271 Bushman Dr Flagstone QLD 4280</t>
  </si>
  <si>
    <t xml:space="preserve">Electricity Charges 28/02/26 to 27/03/26-31208388652-32 Turill St Shailer Park QLD 4128</t>
  </si>
  <si>
    <t xml:space="preserve">Electricity Charges 28/02/26 to 27/03/26-31208397902-Amenities Lighting Lot 9003 Everleigh Dr</t>
  </si>
  <si>
    <t xml:space="preserve">Electricity Charges 28/02/26 to 27/03/26-31209485846-1 CUPANIA ST
DAISY HILL QLD 4127</t>
  </si>
  <si>
    <t xml:space="preserve">Electricity Charges 28/02/26 to 27/03/26-QB087442386-Loganlea Rd Loganlea QLD 4131</t>
  </si>
  <si>
    <t xml:space="preserve">Electricity Charges 28/02/26 to 27/03/26-QB090084384-Forestglen Park 118 Browns Plains Rd Bro</t>
  </si>
  <si>
    <t xml:space="preserve">Electricity Charges 28/02/26 to 27/03/26-QB094431185-SCOUTERS PARK
118 LYNDALE ST
DAISY HILL</t>
  </si>
  <si>
    <t xml:space="preserve">Electricity Charges 28/02/26 to 27/03/26-QB103902517-Brushwood Park Cedar Grove Rd Cedar Grov</t>
  </si>
  <si>
    <t xml:space="preserve">Electricity Charges 01/01/26 to 28/01/26-31155142426-94 Brookvale Dr Underwood QLD 4119</t>
  </si>
  <si>
    <t xml:space="preserve">Electricity Charges 06/01/26 to 02/02/26-QB080914391-Bbq Underwood Park 956 Underwood Rd Prie</t>
  </si>
  <si>
    <t xml:space="preserve">Electricity Charges 01/07/25 to 28/07/25-31155142426-94 Brookvale Dr Underwood QLD 4119</t>
  </si>
  <si>
    <t xml:space="preserve">Electricity Charges 01/07/25 to 28/07/25-QB085036813-LANCASTER PARK
2 CHAMBERS FLAT RD
WATERF</t>
  </si>
  <si>
    <t xml:space="preserve">Electricity Charges 01/06/25 to 30/06/25-31207423681-Tbs 32 Logan St Logan Village QLD 4207</t>
  </si>
  <si>
    <t xml:space="preserve">Electricity Charges 13/05/25 to 12/06/25-31208249481-Homestead Park Toilet Block Lot 943 Home</t>
  </si>
  <si>
    <t xml:space="preserve">Electricity Charges 10/05/25 to 09/06/25-31208388652-32 Turill St Shailer Park QLD 4128</t>
  </si>
  <si>
    <t xml:space="preserve">Electricity Charges 06/05/25 to 05/06/25-31209485846-1 CUPANIA ST
DAISY HILL QLD 4127</t>
  </si>
  <si>
    <t xml:space="preserve">Electricity Charges 01/06/25 to 30/06/25-QB103902517-Brushwood Park Cedar Grove Rd Cedar Grov</t>
  </si>
  <si>
    <t xml:space="preserve">Electricity Charges 01/06/25 to 30/06/25-31201031719-Electric Bbq'S 77 Couldery Ct Cedar Grov</t>
  </si>
  <si>
    <t xml:space="preserve">Electricity Charges 01/06/25 to 30/06/25-31202223855-138 School Rd Logan Reserve QLD 4133</t>
  </si>
  <si>
    <t xml:space="preserve">Electricity Charges 01/06/25 to 30/06/25-31206430862-UNDERWOOD PARK - CONTEMPLATION
982 UNDER</t>
  </si>
  <si>
    <t xml:space="preserve">Electricity Charges 01/06/25 to 30/06/25-31206577068-COLVILLE PARK
Lot 3000 COLVILLE ST
GREEN</t>
  </si>
  <si>
    <t xml:space="preserve">Electricity Charges 01/06/25 to 30/06/25-31206750062-Homestead Park 4 Jodie St Shailer Park Q</t>
  </si>
  <si>
    <t xml:space="preserve">Electricity Charges 01/06/25 to 30/06/25-31207911571-ALBERTA PARK
Lot 235 BEAUDESERT-BEENLEIG</t>
  </si>
  <si>
    <t xml:space="preserve">Electricity Charges 01/06/25 to 30/06/25-31208360050-271 Bushman Dr Flagstone QLD 4280</t>
  </si>
  <si>
    <t xml:space="preserve">Electricity Charges 01/06/25 to 30/06/25-QB087442386-Loganlea Rd Loganlea QLD 4131</t>
  </si>
  <si>
    <t xml:space="preserve">Electricity Charges 01/06/25 to 30/06/25-QB090084384-Forestglen Park 118 Browns Plains Rd Bro</t>
  </si>
  <si>
    <t xml:space="preserve">Electricity Charges 01/06/25 to 30/06/25-QB094431185-SCOUTERS PARK
118 LYNDALE ST
DAISY HILL</t>
  </si>
  <si>
    <t xml:space="preserve">Electricity Charges 01/06/25 to 30/06/25-QB110983334-BEDFORD PARK
229-239 229-239 RIVER HILLS</t>
  </si>
  <si>
    <t xml:space="preserve">Electricity Charges 12/01/26 to 05/02/26-QB135704210-Magellan Park Raleigh St Springwood QLD</t>
  </si>
  <si>
    <t xml:space="preserve">Electricity Charges 01/01/00 to 01/01/00-31207009277-PEBBLE CREEK DISTRICT PARK
Lot 9001 BLOO</t>
  </si>
  <si>
    <t xml:space="preserve">Electricity Charges 01/01/00 to 01/01/00-31203557450-Park) Lot 9042 Buxton Ave Yarrabilba QLD</t>
  </si>
  <si>
    <t xml:space="preserve">34 FAIRBAIRN ST MARSDEN QLD 4132</t>
  </si>
  <si>
    <t xml:space="preserve">Electricity Charges 01/01/00 to 01/01/00-31203734850-34 FAIRBAIRN ST
MARSDEN QLD 4132</t>
  </si>
  <si>
    <t xml:space="preserve">ERIDANI PARK BBQ 21-31 21-31 ERIDANI AVE</t>
  </si>
  <si>
    <t xml:space="preserve">Electricity Charges 01/01/00 to 01/01/00-31206791775-ERIDANI PARK BBQ
21-31 21-31 ERIDANI AVE</t>
  </si>
  <si>
    <t xml:space="preserve">Electricity Charges 01/01/00 to 01/01/00-31207423681-Tbs 32 Logan St Logan Village QLD 4207</t>
  </si>
  <si>
    <t xml:space="preserve">Public Toilet Block 143 Meakin Rd Slacks</t>
  </si>
  <si>
    <t xml:space="preserve">Electricity Charges 01/01/00 to 01/01/00-31207690192-Public Toilet Block 143 Meakin Rd Slacks</t>
  </si>
  <si>
    <t xml:space="preserve">Sequana Central Park 2 Josh St Logan Res</t>
  </si>
  <si>
    <t xml:space="preserve">Electricity Charges 01/01/00 to 01/01/00-31207826316-Sequana Central Park 2 Josh St Logan Res</t>
  </si>
  <si>
    <t xml:space="preserve">Electricity Charges 01/01/00 to 01/01/00-31207851454-Bbq 49 Kenny Rd Chambers Flat QLD 4133</t>
  </si>
  <si>
    <t xml:space="preserve">LEAF PARK 89 KESSELS BVD GREENBANK QLD 4</t>
  </si>
  <si>
    <t xml:space="preserve">Electricity Charges 01/01/00 to 01/01/00-31209099598-LEAF PARK
89 KESSELS BVD
GREENBANK QLD 4</t>
  </si>
  <si>
    <t xml:space="preserve">PARK BBQ Lot 21 CHAMBERS RIDGE BVD PARK</t>
  </si>
  <si>
    <t xml:space="preserve">Electricity Charges 12/01/26 to 11/02/26-31206463904-PARK BBQ
Lot 21 CHAMBERS RIDGE BVD
PARK</t>
  </si>
  <si>
    <t xml:space="preserve">Electricity Charges 12/01/26 to 11/02/26-31208658583-Lot 90301 College Dr Flagstone QLD 4280</t>
  </si>
  <si>
    <t xml:space="preserve">PARK CANX L911 SP303089 2 VESPAR RD FLAG</t>
  </si>
  <si>
    <t xml:space="preserve">Electricity Charges 12/01/26 to 11/02/26-31208807059-PARK
CANX L911 SP303089 2 VESPAR RD
FLAG</t>
  </si>
  <si>
    <t xml:space="preserve">Logan Reserve Park Lot 900 Halcyon Way L</t>
  </si>
  <si>
    <t xml:space="preserve">Electricity Charges 13/03/26 to 27/03/26-31208778471-Logan Reserve Park Lot 900 Halcyon Way L</t>
  </si>
  <si>
    <t xml:space="preserve">Electricity Charges 12/08/25 to 01/01/00-31203520798-Demeio Park 116 Demeio Rd Marsden QLD 41</t>
  </si>
  <si>
    <t xml:space="preserve">Electricity Charges 01/07/25 to 24/07/25-QB080914558-SPRINGWOOD PARK
77 CINDERELLA DR
SPRINGW</t>
  </si>
  <si>
    <t xml:space="preserve">Electricity Charges 01/07/25 to 09/07/25-31200591613-Woodlands District Park 1 Grand Tce Wate</t>
  </si>
  <si>
    <t xml:space="preserve">Electricity Charges 09/05/25 to 05/06/25-QB135704210-Magellan Park Raleigh St Springwood QLD</t>
  </si>
  <si>
    <t xml:space="preserve">Electricity Charges 01/07/25 to 27/07/25-QB106345176-41 Logan St Beenleigh QLD 4207</t>
  </si>
  <si>
    <t xml:space="preserve">Electricity Charges 12/09/25 to 01/01/00-31201052191-CORNUBIA ADVENTURE PARK BBQ
6-14 6-14 CO</t>
  </si>
  <si>
    <t xml:space="preserve">Electricity Charges 12/09/25 to 01/01/00-QB100515891-ALBERT RIVER PARK
1 FRYAR RD
EAGLEBY QLD</t>
  </si>
  <si>
    <t xml:space="preserve">Electricity Charges 13/06/25 to 30/06/25-31206666085-Park Lighting Lot 802 Everleigh Dr Green</t>
  </si>
  <si>
    <t xml:space="preserve">Electricity Charges 28/02/26 to 27/03/26-31203557450-Park) Lot 9042 Buxton Ave Yarrabilba QLD</t>
  </si>
  <si>
    <t xml:space="preserve">Electricity Charges 28/02/26 to 27/03/26-31206463904-PARK BBQ
Lot 21 CHAMBERS RIDGE BVD
PARK</t>
  </si>
  <si>
    <t xml:space="preserve">Electricity Charges 28/02/26 to 27/03/26-31206791775-ERIDANI PARK BBQ
21-31 21-31 ERIDANI AVE</t>
  </si>
  <si>
    <t xml:space="preserve">Electricity Charges 28/02/26 to 27/03/26-31207423681-Tbs 32 Logan St Logan Village QLD 4207</t>
  </si>
  <si>
    <t xml:space="preserve">Electricity Charges 28/02/26 to 27/03/26-31207690192-Public Toilet Block 143 Meakin Rd Slacks</t>
  </si>
  <si>
    <t xml:space="preserve">Electricity Charges 28/02/26 to 27/03/26-31208658583-Lot 90301 College Dr Flagstone QLD 4280</t>
  </si>
  <si>
    <t xml:space="preserve">Electricity Charges 28/02/26 to 27/03/26-31208807059-PARK
CANX L911 SP303089 2 VESPAR RD
FLAG</t>
  </si>
  <si>
    <t xml:space="preserve">Electricity Charges 28/02/26 to 27/03/26-31209099598-LEAF PARK
89 KESSELS BVD
GREENBANK QLD 4</t>
  </si>
  <si>
    <t xml:space="preserve">Electricity Charges 28/02/26 to 27/03/26-31203734850-34 FAIRBAIRN ST
MARSDEN QLD 4132</t>
  </si>
  <si>
    <t xml:space="preserve">Electricity Charges 28/02/26 to 27/03/26-31207826316-Sequana Central Park 2 Josh St Logan Res</t>
  </si>
  <si>
    <t xml:space="preserve">Electricity Charges 28/02/26 to 27/03/26-31207851454-Bbq 49 Kenny Rd Chambers Flat QLD 4133</t>
  </si>
  <si>
    <t xml:space="preserve">Electricity Charges 01/07/25 to 21/07/25-QB080914391-Bbq Underwood Park 956 Underwood Rd Prie</t>
  </si>
  <si>
    <t xml:space="preserve">Electricity Charges 06/06/25 to 30/06/25-31209485846-1 CUPANIA ST
DAISY HILL QLD 4127</t>
  </si>
  <si>
    <t xml:space="preserve">Electricity Charges 06/06/25 to 30/06/25-QB135704210-Magellan Park Raleigh St Springwood QLD</t>
  </si>
  <si>
    <t xml:space="preserve">Electricity Charges 12/05/25 to 11/06/25-31206463904-PARK BBQ
Lot 21 CHAMBERS RIDGE BVD
PARK</t>
  </si>
  <si>
    <t xml:space="preserve">Electricity Charges 13/05/25 to 12/06/25-31207826316-Sequana Central Park 2 Josh St Logan Res</t>
  </si>
  <si>
    <t xml:space="preserve">Electricity Charges 18/05/25 to 17/06/25-31209099598-LEAF PARK
89 KESSELS BVD
GREENBANK QLD 4</t>
  </si>
  <si>
    <t xml:space="preserve">Electricity Charges 01/07/25 to 20/07/25-31155469777-JINGERI PARK
2 MERLUNA RD
PARK RIDGE SOU</t>
  </si>
  <si>
    <t xml:space="preserve">Electricity Charges 01/07/25 to 20/07/25-31200505415-Park Bbq Shelter 20 Outlook Dr Waterford</t>
  </si>
  <si>
    <t xml:space="preserve">Electricity Charges 01/07/25 to 20/07/25-QB097890493-20 Lincoln Green Dr Forestdale QLD 4118</t>
  </si>
  <si>
    <t xml:space="preserve">Electricity Charges 01/06/25 to 30/06/25-31203734850-34 FAIRBAIRN ST
MARSDEN QLD 4132</t>
  </si>
  <si>
    <t xml:space="preserve">Electricity Charges 01/06/25 to 30/06/25-31206791775-ERIDANI PARK BBQ
21-31 21-31 ERIDANI AVE</t>
  </si>
  <si>
    <t xml:space="preserve">Electricity Charges 01/06/25 to 30/06/25-31207690192-Public Toilet Block 143 Meakin Rd Slacks</t>
  </si>
  <si>
    <t xml:space="preserve">Electricity Charges 01/06/25 to 30/06/25-31207851454-Bbq 49 Kenny Rd Chambers Flat QLD 4133</t>
  </si>
  <si>
    <t xml:space="preserve">Electricity Charges 09/12/24 to 31/12/24-QB055679987-Atlantic Park 108 Atlantic Dr Loganholme</t>
  </si>
  <si>
    <t xml:space="preserve">Electricity Charges 02/10/26 to 01/01/00-31208388652-32 Turill St Shailer Park QLD 4128</t>
  </si>
  <si>
    <t xml:space="preserve">Electricity Charges 01/07/25 to 13/07/25-QB094096963-ROTARY PARK
1-27 1-27 JOHANNA ST
JIMBOOM</t>
  </si>
  <si>
    <t xml:space="preserve">Electricity Charges 10/06/25 to 30/06/25-31208388652-32 Turill St Shailer Park QLD 4128</t>
  </si>
  <si>
    <t xml:space="preserve">Electricity Charges 01/07/25 to 22/07/25-31203421519-CRESTMEAD PARK BBQ
35A ROYENA CT
CRESTME</t>
  </si>
  <si>
    <t xml:space="preserve">Electricity Charges 15/12/25 to 31/12/25-31203890539-Council Park Lot 501 Spring Mountain Dr</t>
  </si>
  <si>
    <t xml:space="preserve">Electricity Charges 01/01/00 to 01/01/00-QB055679987-Atlantic Park 108 Atlantic Dr Loganholme</t>
  </si>
  <si>
    <t xml:space="preserve">Electricity Charges 01/07/25 to 17/07/25-31200942300-SAUNDERS PARK
49-65 49-65 OLD BLUFF RD
C</t>
  </si>
  <si>
    <t xml:space="preserve">Electricity Charges 01/07/25 to 17/07/25-QB093791266-99 Ewing Rd Woodridge QLD 4114</t>
  </si>
  <si>
    <t xml:space="preserve">Electricity Charges 13/06/25 to 30/06/25-31208249481-Homestead Park Toilet Block Lot 943 Home</t>
  </si>
  <si>
    <t xml:space="preserve">Electricity Charges 01/07/25 to 12/07/25-31206666085-Park Lighting Lot 802 Everleigh Dr Green</t>
  </si>
  <si>
    <t xml:space="preserve">Electricity Charges 17/12/25 to 31/12/25-31201077552-PARK BBQ
SEE WP S0300205 256-282 256-282</t>
  </si>
  <si>
    <t xml:space="preserve">Electricity Charges 01/07/25 to 15/07/25-31164834815-Bbq 45A Woodlands Bvd Waterford QLD 4133</t>
  </si>
  <si>
    <t xml:space="preserve">Electricity Charges 01/07/25 to 15/07/25-31201394146-PUBLIC BBQ
38 RIDGEVALE BVD
HOLMVIEW QLD</t>
  </si>
  <si>
    <t xml:space="preserve">Electricity Charges 18/12/25 to 31/12/25-31166740144-2 ALBERT ST
WATERFORD QLD 4133</t>
  </si>
  <si>
    <t xml:space="preserve">Electricity Charges 01/07/25 to 14/07/25-31200318016-Millstream Retreat Park Bbqs Lot 990 Woo</t>
  </si>
  <si>
    <t xml:space="preserve">Electricity Charges 01/07/25 to 17/07/25-31209099598-LEAF PARK
89 KESSELS BVD
GREENBANK QLD 4</t>
  </si>
  <si>
    <t xml:space="preserve">Electricity Charges 17/11/25 to 26/11/25-QB100498519-CECIL CLARK PARK
FRYAR RD
EAGLEBY QLD 42</t>
  </si>
  <si>
    <t xml:space="preserve">Electricity Charges 28/12/25 to 31/12/25-31200942282-Bbq And Lghting 140 Tygum Rd Waterford W</t>
  </si>
  <si>
    <t xml:space="preserve">Electricity Charges 29/01/26 to 02/02/26-31156054003-Logan River Park Lot 2 Peacock Ave Beenl</t>
  </si>
  <si>
    <t xml:space="preserve">Electricity Charges 12/06/25 to 30/06/25-31206463904-PARK BBQ
Lot 21 CHAMBERS RIDGE BVD
PARK</t>
  </si>
  <si>
    <t xml:space="preserve">Electricity Charges 02/12/26 to 01/01/00-31206463904-PARK BBQ
Lot 21 CHAMBERS RIDGE BVD
PARK</t>
  </si>
  <si>
    <t xml:space="preserve">Electricity Charges 02/12/26 to 01/01/00-31208658583-Lot 90301 College Dr Flagstone QLD 4280</t>
  </si>
  <si>
    <t xml:space="preserve">Electricity Charges 02/12/26 to 01/01/00-31208807059-PARK
CANX L911 SP303089 2 VESPAR RD
FLAG</t>
  </si>
  <si>
    <t xml:space="preserve">Electricity Charges 01/07/25 to 12/07/25-31208249481-Homestead Park Toilet Block Lot 943 Home</t>
  </si>
  <si>
    <t xml:space="preserve">Electricity Charges 13/06/25 to 30/06/25-31207826316-Sequana Central Park 2 Josh St Logan Res</t>
  </si>
  <si>
    <t xml:space="preserve">Electricity Charges 10/06/25 to 14/06/25-31200942282-Bbq And Lghting 140 Tygum Rd Waterford W</t>
  </si>
  <si>
    <t xml:space="preserve">Electricity Charges 01/07/25 to 09/07/25-31202545607-BBQ AREA
380 PEPPERTREE DR
JIMBOOMBA QLD</t>
  </si>
  <si>
    <t xml:space="preserve">Electricity Charges 22/12/25 to 31/12/25-31151679257-101 PARADISE RD
SLACKS CREEK QLD 4127</t>
  </si>
  <si>
    <t xml:space="preserve">Electricity Charges 22/12/25 to 31/12/25-31168811416-12 VILLAGE DR
DAISY HILL QLD 4127</t>
  </si>
  <si>
    <t xml:space="preserve">Electricity Charges 01/07/25 to 10/07/25-QB004872873-PIONEER PARK
MT LINDESAY HWY
WOODHILL QL</t>
  </si>
  <si>
    <t xml:space="preserve">Electricity Charges 01/07/25 to 10/07/25-QB095851175-88 Station Rd Bethania QLD 4205</t>
  </si>
  <si>
    <t xml:space="preserve">Electricity Charges 01/07/25 to 12/07/25-31207826316-Sequana Central Park 2 Josh St Logan Res</t>
  </si>
  <si>
    <t xml:space="preserve">Electricity Charges 01/07/25 to 09/07/25-31174234730-BBQ SHELTER
1-61 1-61 SANCTUARY PKWY
WAT</t>
  </si>
  <si>
    <t xml:space="preserve">Electricity Charges 01/07/25 to 09/07/25-31174237164-Bbq Shelter 1 Sanctuary Pkwy Waterford Q</t>
  </si>
  <si>
    <t xml:space="preserve">Electricity Charges 01/07/25 to 09/07/25-31208388652-32 Turill St Shailer Park QLD 4128</t>
  </si>
  <si>
    <t xml:space="preserve">Electricity Charges 01/07/25 to 09/07/25-QB095059464-BBQ
150 FEDERATION DR
BETHANIA QLD 4205</t>
  </si>
  <si>
    <t xml:space="preserve">Electricity Charges 01/07/25 to 09/07/25-QB123775972-123 FEDERATION DR
BETHANIA QLD 4205</t>
  </si>
  <si>
    <t xml:space="preserve">Electricity Charges 18/06/25 to 30/06/25-31209099598-LEAF PARK
89 KESSELS BVD
GREENBANK QLD 4</t>
  </si>
  <si>
    <t xml:space="preserve">Electricity Charges 01/07/25 to 11/07/25-31206463904-PARK BBQ
Lot 21 CHAMBERS RIDGE BVD
PARK</t>
  </si>
  <si>
    <t xml:space="preserve">Electricity Charges 24/12/25 to 31/12/25-QB083337005-Council Pump 1 Carl Heck Bvd Windaroo QL</t>
  </si>
  <si>
    <t xml:space="preserve">Electricity Charges 30/01/26 to 03/02/26-31162104503-LOGAN AND DISTRICT SERVICES CL
5 CROYDON</t>
  </si>
  <si>
    <t xml:space="preserve">Electricity Charges 01/07/25 to 10/07/25-31200504853-COALSTON CRSG PARK BBQ SHELTER
Lot 107 C</t>
  </si>
  <si>
    <t xml:space="preserve">Electricity Charges 01/04/26 to 07/04/26-31200093948-PLAYGROUND AREA
370 BROWNS PLAINS RD
BER</t>
  </si>
  <si>
    <t xml:space="preserve">Electricity Charges 01/07/25 to 07/07/25-QB135704210-Magellan Park Raleigh St Springwood QLD</t>
  </si>
  <si>
    <t xml:space="preserve">Electricity Charges 16/02/26 to 21/02/26-QB094431005-Sturdee Park 11 Sturdee St Loganlea QLD</t>
  </si>
  <si>
    <t xml:space="preserve">Electricity Charges 30/04/25 to 05/05/25-31162104503-LOGAN AND DISTRICT SERVICES CL
5 CROYDON</t>
  </si>
  <si>
    <t xml:space="preserve">Electricity Charges 01/01/00 to 01/01/00-31151679257-101 PARADISE RD
SLACKS CREEK QLD 4127</t>
  </si>
  <si>
    <t xml:space="preserve">Electricity Charges 01/01/00 to 03/01/26-31201588013-720 Middle Rd Greenbank QLD 4124</t>
  </si>
  <si>
    <t xml:space="preserve">Electricity Charges 01/04/26 to 06/04/26-31203421519-CRESTMEAD PARK BBQ
35A ROYENA CT
CRESTME</t>
  </si>
  <si>
    <t xml:space="preserve">Electricity Charges 29/01/26 to 02/02/26-31155142426-94 Brookvale Dr Underwood QLD 4119</t>
  </si>
  <si>
    <t xml:space="preserve">Electricity Charges 30/01/26 to 03/02/26-31169793460-85 St Jude Cct Glenlogan QLD 4280</t>
  </si>
  <si>
    <t xml:space="preserve">Electricity Charges 11/02/26 to 15/02/26-31170225684-150 FLESSER RD
CHAMBERS FLAT QLD 4133</t>
  </si>
  <si>
    <t xml:space="preserve">Electricity Charges 12/02/26 to 16/02/26-31202492525-169 BEAUDESERT-BEENLEIGH RD
MOUNT WARREN</t>
  </si>
  <si>
    <t xml:space="preserve">Electricity Charges 01/07/25 to 05/07/25-31209485846-1 CUPANIA ST
DAISY HILL QLD 4127</t>
  </si>
  <si>
    <t xml:space="preserve">Electricity Charges 28/12/25 to 31/12/25-31203019750-TOILET BLOCK
71 CLARKS RD
LOGANHOLME QLD</t>
  </si>
  <si>
    <t xml:space="preserve">Electricity Charges 01/07/25 to 02/07/25-QB140732009-SOUTH ST
JIMBOOMBA QLD 4280</t>
  </si>
  <si>
    <t xml:space="preserve">Electricity Charges 01/07/25 to 03/07/25-QB120654635-149 Greenhill Rd Munruben QLD 4125</t>
  </si>
  <si>
    <t xml:space="preserve">Electricity Charges 01/07/25 to 02/07/25-QB133433272-LAVELLE PARK
17 ARGYLE RD
GREENBANK QLD</t>
  </si>
  <si>
    <t xml:space="preserve">Electricity Charges 31/12/25 to 31/12/25-31203854055-Rachael Lee Art Work Lot 9010 Garragull</t>
  </si>
  <si>
    <t xml:space="preserve">Electricity Charges 31/12/25 to 31/12/25-31203145168-Park Lot 951 Foxx Ct Yarrabilba QLD 4207</t>
  </si>
  <si>
    <t xml:space="preserve">Electricity Charges 31/12/25 to 31/12/25-31203232863-PARK BBQ
2-10 2-10 DARNELL ST
YARRABILBA</t>
  </si>
</sst>
</file>

<file path=xl/styles.xml><?xml version="1.0" encoding="utf-8"?>
<styleSheet xmlns="http://schemas.openxmlformats.org/spreadsheetml/2006/main">
  <numFmts count="6">
    <numFmt numFmtId="164" formatCode="General"/>
    <numFmt numFmtId="165" formatCode="\$#,##0;&quot;($&quot;#,##0\);\-"/>
    <numFmt numFmtId="166" formatCode="@"/>
    <numFmt numFmtId="167" formatCode="#,##0;\-#,##0;\-"/>
    <numFmt numFmtId="168" formatCode="\$#,##0.00;&quot;($&quot;#,##0.00\);\-"/>
    <numFmt numFmtId="169" formatCode="0.0%;[RED]\-0.0%;\-"/>
  </numFmts>
  <fonts count="14">
    <font>
      <sz val="11"/>
      <color theme="1"/>
      <name val="Calibri"/>
      <family val="2"/>
      <charset val="1"/>
    </font>
    <font>
      <sz val="10"/>
      <name val="Arial"/>
      <family val="0"/>
    </font>
    <font>
      <sz val="10"/>
      <name val="Arial"/>
      <family val="0"/>
    </font>
    <font>
      <sz val="10"/>
      <name val="Arial"/>
      <family val="0"/>
    </font>
    <font>
      <b val="true"/>
      <sz val="14"/>
      <color rgb="FFFFFFFF"/>
      <name val="Cambria"/>
      <family val="0"/>
      <charset val="1"/>
    </font>
    <font>
      <sz val="9"/>
      <color rgb="FFD6E4F0"/>
      <name val="Cambria"/>
      <family val="0"/>
      <charset val="1"/>
    </font>
    <font>
      <sz val="9"/>
      <color rgb="FFFFFFFF"/>
      <name val="Cambria"/>
      <family val="0"/>
      <charset val="1"/>
    </font>
    <font>
      <b val="true"/>
      <sz val="16"/>
      <color rgb="FFFFFFFF"/>
      <name val="Cambria"/>
      <family val="0"/>
      <charset val="1"/>
    </font>
    <font>
      <b val="true"/>
      <sz val="11"/>
      <color rgb="FF1F3864"/>
      <name val="Cambria"/>
      <family val="0"/>
      <charset val="1"/>
    </font>
    <font>
      <b val="true"/>
      <sz val="9"/>
      <color rgb="FFFFFFFF"/>
      <name val="Cambria"/>
      <family val="0"/>
      <charset val="1"/>
    </font>
    <font>
      <b val="true"/>
      <sz val="9"/>
      <color rgb="FF000000"/>
      <name val="Cambria"/>
      <family val="0"/>
      <charset val="1"/>
    </font>
    <font>
      <sz val="9"/>
      <color rgb="FF000000"/>
      <name val="Cambria"/>
      <family val="0"/>
      <charset val="1"/>
    </font>
    <font>
      <b val="true"/>
      <sz val="10"/>
      <color rgb="FF000000"/>
      <name val="Cambria"/>
      <family val="0"/>
      <charset val="1"/>
    </font>
    <font>
      <sz val="9"/>
      <color rgb="FFC00000"/>
      <name val="Cambria"/>
      <family val="0"/>
      <charset val="1"/>
    </font>
  </fonts>
  <fills count="7">
    <fill>
      <patternFill patternType="none"/>
    </fill>
    <fill>
      <patternFill patternType="gray125"/>
    </fill>
    <fill>
      <patternFill patternType="solid">
        <fgColor rgb="FF1A2236"/>
        <bgColor rgb="FF1F3864"/>
      </patternFill>
    </fill>
    <fill>
      <patternFill patternType="solid">
        <fgColor rgb="FF1F3864"/>
        <bgColor rgb="FF333399"/>
      </patternFill>
    </fill>
    <fill>
      <patternFill patternType="solid">
        <fgColor rgb="FFF4F6FA"/>
        <bgColor rgb="FFFFFFFF"/>
      </patternFill>
    </fill>
    <fill>
      <patternFill patternType="solid">
        <fgColor rgb="FFD9D9D9"/>
        <bgColor rgb="FFD6E4F0"/>
      </patternFill>
    </fill>
    <fill>
      <patternFill patternType="solid">
        <fgColor rgb="FFFFF2CC"/>
        <bgColor rgb="FFF4F6FA"/>
      </patternFill>
    </fill>
  </fills>
  <borders count="2">
    <border diagonalUp="false" diagonalDown="false">
      <left/>
      <right/>
      <top/>
      <bottom/>
      <diagonal/>
    </border>
    <border diagonalUp="false" diagonalDown="false">
      <left style="thin">
        <color rgb="FFAAAAAA"/>
      </left>
      <right style="thin">
        <color rgb="FFAAAAAA"/>
      </right>
      <top style="thin">
        <color rgb="FFAAAAAA"/>
      </top>
      <bottom style="thin">
        <color rgb="FFAAAAA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2" borderId="0" xfId="0" applyFont="true" applyBorder="true" applyAlignment="true" applyProtection="false">
      <alignment horizontal="left" vertical="center"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5" fontId="7" fillId="2" borderId="0" xfId="0" applyFont="true" applyBorder="false" applyAlignment="true" applyProtection="false">
      <alignment horizontal="center" vertical="center" textRotation="0" wrapText="false" indent="0" shrinkToFit="false"/>
      <protection locked="true" hidden="false"/>
    </xf>
    <xf numFmtId="166" fontId="7" fillId="2" borderId="0" xfId="0" applyFont="true" applyBorder="false" applyAlignment="true" applyProtection="false">
      <alignment horizontal="center" vertical="center" textRotation="0" wrapText="false" indent="0" shrinkToFit="false"/>
      <protection locked="true" hidden="false"/>
    </xf>
    <xf numFmtId="167" fontId="7" fillId="2" borderId="0" xfId="0" applyFont="true" applyBorder="false" applyAlignment="true" applyProtection="false">
      <alignment horizontal="center" vertical="center"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8" fontId="11" fillId="4" borderId="1" xfId="0" applyFont="true" applyBorder="true" applyAlignment="true" applyProtection="false">
      <alignment horizontal="right" vertical="center" textRotation="0" wrapText="false" indent="0" shrinkToFit="false"/>
      <protection locked="true" hidden="false"/>
    </xf>
    <xf numFmtId="168" fontId="10" fillId="4" borderId="1" xfId="0" applyFont="true" applyBorder="true" applyAlignment="true" applyProtection="false">
      <alignment horizontal="right" vertical="center"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8" fontId="11" fillId="0" borderId="1" xfId="0" applyFont="true" applyBorder="true" applyAlignment="true" applyProtection="false">
      <alignment horizontal="right" vertical="center" textRotation="0" wrapText="false" indent="0" shrinkToFit="false"/>
      <protection locked="true" hidden="false"/>
    </xf>
    <xf numFmtId="168" fontId="10" fillId="0" borderId="1" xfId="0" applyFont="true" applyBorder="true" applyAlignment="true" applyProtection="false">
      <alignment horizontal="right" vertical="center" textRotation="0" wrapText="false" indent="0" shrinkToFit="false"/>
      <protection locked="true" hidden="false"/>
    </xf>
    <xf numFmtId="169" fontId="11" fillId="0" borderId="1" xfId="0" applyFont="true" applyBorder="true" applyAlignment="true" applyProtection="false">
      <alignment horizontal="right" vertical="center" textRotation="0" wrapText="false" indent="0" shrinkToFit="false"/>
      <protection locked="true" hidden="false"/>
    </xf>
    <xf numFmtId="169" fontId="11" fillId="4" borderId="1" xfId="0" applyFont="true" applyBorder="true" applyAlignment="true" applyProtection="false">
      <alignment horizontal="right" vertical="center" textRotation="0" wrapText="false" indent="0" shrinkToFit="false"/>
      <protection locked="true" hidden="false"/>
    </xf>
    <xf numFmtId="164" fontId="12" fillId="5" borderId="1" xfId="0" applyFont="true" applyBorder="true" applyAlignment="false" applyProtection="false">
      <alignment horizontal="general" vertical="bottom" textRotation="0" wrapText="false" indent="0" shrinkToFit="false"/>
      <protection locked="true" hidden="false"/>
    </xf>
    <xf numFmtId="168" fontId="12" fillId="5" borderId="1" xfId="0" applyFont="true" applyBorder="true" applyAlignment="true" applyProtection="false">
      <alignment horizontal="right" vertical="center"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left" vertical="center" textRotation="0" wrapText="fals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11" fillId="4" borderId="1" xfId="0" applyFont="true" applyBorder="true" applyAlignment="true" applyProtection="false">
      <alignment horizontal="left" vertical="top" textRotation="0" wrapText="true" indent="0" shrinkToFit="false"/>
      <protection locked="true" hidden="false"/>
    </xf>
    <xf numFmtId="164" fontId="10" fillId="4" borderId="1" xfId="0" applyFont="true" applyBorder="true" applyAlignment="true" applyProtection="false">
      <alignment horizontal="left" vertical="top" textRotation="0" wrapText="tru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7" fontId="11" fillId="0" borderId="1" xfId="0" applyFont="true" applyBorder="true" applyAlignment="true" applyProtection="false">
      <alignment horizontal="right" vertical="center" textRotation="0" wrapText="fals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4" borderId="1" xfId="0" applyFont="true" applyBorder="true" applyAlignment="false" applyProtection="false">
      <alignment horizontal="general" vertical="bottom" textRotation="0" wrapText="false" indent="0" shrinkToFit="false"/>
      <protection locked="true" hidden="false"/>
    </xf>
    <xf numFmtId="167" fontId="11" fillId="4" borderId="1" xfId="0" applyFont="true" applyBorder="true" applyAlignment="true" applyProtection="false">
      <alignment horizontal="right" vertical="center" textRotation="0" wrapText="false" indent="0" shrinkToFit="false"/>
      <protection locked="true" hidden="false"/>
    </xf>
    <xf numFmtId="164" fontId="11" fillId="4" borderId="1" xfId="0" applyFont="true" applyBorder="true" applyAlignment="true" applyProtection="false">
      <alignment horizontal="left" vertical="center" textRotation="0" wrapText="true" indent="0" shrinkToFit="false"/>
      <protection locked="true" hidden="false"/>
    </xf>
    <xf numFmtId="167" fontId="12" fillId="5" borderId="1" xfId="0" applyFont="true" applyBorder="true" applyAlignment="true" applyProtection="false">
      <alignment horizontal="right" vertical="center"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right" vertical="center" textRotation="0" wrapText="false" indent="0" shrinkToFit="false"/>
      <protection locked="true" hidden="false"/>
    </xf>
    <xf numFmtId="168" fontId="0" fillId="0" borderId="0" xfId="0" applyFont="false" applyBorder="false" applyAlignment="true" applyProtection="false">
      <alignment horizontal="right" vertical="center"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true" applyProtection="false">
      <alignment horizontal="right" vertical="center" textRotation="0" wrapText="false" indent="0" shrinkToFit="false"/>
      <protection locked="true" hidden="false"/>
    </xf>
    <xf numFmtId="168" fontId="12" fillId="0" borderId="0" xfId="0" applyFont="true" applyBorder="false" applyAlignment="true" applyProtection="false">
      <alignment horizontal="right" vertical="center" textRotation="0" wrapText="false" indent="0" shrinkToFit="false"/>
      <protection locked="true" hidden="false"/>
    </xf>
    <xf numFmtId="164" fontId="11" fillId="0" borderId="1" xfId="0" applyFont="true" applyBorder="true" applyAlignment="true" applyProtection="false">
      <alignment horizontal="left" vertical="center" textRotation="0" wrapText="false" indent="0" shrinkToFit="false"/>
      <protection locked="true" hidden="false"/>
    </xf>
    <xf numFmtId="164" fontId="11" fillId="4" borderId="1" xfId="0" applyFont="true" applyBorder="true" applyAlignment="true" applyProtection="false">
      <alignment horizontal="left" vertical="center" textRotation="0" wrapText="false" indent="0" shrinkToFit="false"/>
      <protection locked="true" hidden="false"/>
    </xf>
    <xf numFmtId="169" fontId="12" fillId="5" borderId="1" xfId="0" applyFont="true" applyBorder="tru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8" fontId="12" fillId="5" borderId="1" xfId="0" applyFont="true" applyBorder="true" applyAlignment="false" applyProtection="false">
      <alignment horizontal="general" vertical="bottom" textRotation="0" wrapText="false" indent="0" shrinkToFit="false"/>
      <protection locked="true" hidden="false"/>
    </xf>
    <xf numFmtId="164" fontId="11" fillId="6" borderId="1" xfId="0" applyFont="true" applyBorder="true" applyAlignment="true" applyProtection="false">
      <alignment horizontal="left" vertical="center" textRotation="0" wrapText="false" indent="0" shrinkToFit="false"/>
      <protection locked="true" hidden="false"/>
    </xf>
    <xf numFmtId="164" fontId="11" fillId="6" borderId="1" xfId="0" applyFont="true" applyBorder="true" applyAlignment="true" applyProtection="false">
      <alignment horizontal="left" vertical="center" textRotation="0" wrapText="true" indent="0" shrinkToFit="false"/>
      <protection locked="true" hidden="false"/>
    </xf>
    <xf numFmtId="168" fontId="11" fillId="6" borderId="1" xfId="0" applyFont="true" applyBorder="true" applyAlignment="true" applyProtection="false">
      <alignment horizontal="right" vertical="center" textRotation="0" wrapText="false" indent="0" shrinkToFit="false"/>
      <protection locked="true" hidden="false"/>
    </xf>
    <xf numFmtId="168" fontId="11" fillId="0" borderId="0" xfId="0" applyFont="true" applyBorder="false" applyAlignment="true" applyProtection="false">
      <alignment horizontal="right"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true" indent="0" shrinkToFit="false"/>
      <protection locked="true" hidden="false"/>
    </xf>
    <xf numFmtId="169" fontId="11" fillId="0" borderId="0" xfId="0" applyFont="true" applyBorder="false" applyAlignment="true" applyProtection="false">
      <alignment horizontal="right" vertical="center"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6E4F0"/>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4F6FA"/>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AAAAA"/>
      <rgbColor rgb="FF1F3864"/>
      <rgbColor rgb="FF339966"/>
      <rgbColor rgb="FF003300"/>
      <rgbColor rgb="FF333300"/>
      <rgbColor rgb="FF993300"/>
      <rgbColor rgb="FF993366"/>
      <rgbColor rgb="FF333399"/>
      <rgbColor rgb="FF1A223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7" min="3" style="0" width="20"/>
    <col collapsed="false" customWidth="true" hidden="false" outlineLevel="0" max="8" min="8" style="0" width="4"/>
  </cols>
  <sheetData>
    <row r="1" customFormat="false" ht="25.5" hidden="false" customHeight="true" outlineLevel="0" collapsed="false">
      <c r="A1" s="1" t="s">
        <v>0</v>
      </c>
      <c r="B1" s="1"/>
      <c r="C1" s="1"/>
      <c r="D1" s="1"/>
      <c r="E1" s="1"/>
      <c r="F1" s="1"/>
      <c r="G1" s="1"/>
      <c r="H1" s="1"/>
    </row>
    <row r="2" customFormat="false" ht="15.75" hidden="false" customHeight="true" outlineLevel="0" collapsed="false">
      <c r="A2" s="2" t="s">
        <v>1</v>
      </c>
      <c r="B2" s="2"/>
      <c r="C2" s="2"/>
      <c r="D2" s="2"/>
      <c r="E2" s="2"/>
      <c r="F2" s="2"/>
      <c r="G2" s="2"/>
      <c r="H2" s="2"/>
    </row>
    <row r="4" customFormat="false" ht="27.75" hidden="false" customHeight="true" outlineLevel="0" collapsed="false">
      <c r="B4" s="3" t="s">
        <v>2</v>
      </c>
      <c r="C4" s="3" t="s">
        <v>3</v>
      </c>
      <c r="D4" s="3" t="s">
        <v>4</v>
      </c>
      <c r="E4" s="3" t="s">
        <v>5</v>
      </c>
      <c r="F4" s="3" t="s">
        <v>6</v>
      </c>
      <c r="G4" s="3" t="s">
        <v>7</v>
      </c>
    </row>
    <row r="5" customFormat="false" ht="37.5" hidden="false" customHeight="true" outlineLevel="0" collapsed="false">
      <c r="B5" s="4" t="n">
        <v>3081808.08</v>
      </c>
      <c r="C5" s="4" t="n">
        <v>1123128.88</v>
      </c>
      <c r="D5" s="5" t="s">
        <v>8</v>
      </c>
      <c r="E5" s="5" t="s">
        <v>9</v>
      </c>
      <c r="F5" s="6" t="n">
        <v>746</v>
      </c>
      <c r="G5" s="4" t="n">
        <v>27621.35</v>
      </c>
    </row>
    <row r="8" customFormat="false" ht="15" hidden="false" customHeight="false" outlineLevel="0" collapsed="false">
      <c r="B8" s="7" t="s">
        <v>10</v>
      </c>
    </row>
    <row r="9" customFormat="false" ht="30" hidden="false" customHeight="true" outlineLevel="0" collapsed="false">
      <c r="A9" s="8"/>
      <c r="B9" s="8" t="s">
        <v>11</v>
      </c>
      <c r="C9" s="8" t="s">
        <v>12</v>
      </c>
      <c r="D9" s="8" t="s">
        <v>13</v>
      </c>
      <c r="E9" s="8" t="s">
        <v>14</v>
      </c>
      <c r="F9" s="8" t="s">
        <v>15</v>
      </c>
      <c r="G9" s="8" t="s">
        <v>16</v>
      </c>
    </row>
    <row r="10" customFormat="false" ht="15" hidden="false" customHeight="false" outlineLevel="0" collapsed="false">
      <c r="A10" s="9"/>
      <c r="B10" s="10" t="s">
        <v>17</v>
      </c>
      <c r="C10" s="11" t="n">
        <v>923218.84</v>
      </c>
      <c r="D10" s="11" t="n">
        <v>0</v>
      </c>
      <c r="E10" s="11" t="n">
        <v>2205.18</v>
      </c>
      <c r="F10" s="12" t="n">
        <f aca="false">SUM(C10:E10)</f>
        <v>925424.02</v>
      </c>
      <c r="G10" s="13"/>
    </row>
    <row r="11" customFormat="false" ht="15" hidden="false" customHeight="false" outlineLevel="0" collapsed="false">
      <c r="B11" s="14" t="s">
        <v>18</v>
      </c>
      <c r="C11" s="15" t="n">
        <v>999917.8</v>
      </c>
      <c r="D11" s="15" t="n">
        <v>0</v>
      </c>
      <c r="E11" s="15" t="n">
        <v>3881.39</v>
      </c>
      <c r="F11" s="16" t="n">
        <f aca="false">SUM(C11:E11)</f>
        <v>1003799.19</v>
      </c>
      <c r="G11" s="17" t="n">
        <f aca="false">IFERROR(F11/F10-1,"")</f>
        <v>0.0846910911173453</v>
      </c>
    </row>
    <row r="12" customFormat="false" ht="15" hidden="false" customHeight="false" outlineLevel="0" collapsed="false">
      <c r="A12" s="9"/>
      <c r="B12" s="10" t="s">
        <v>19</v>
      </c>
      <c r="C12" s="11" t="n">
        <v>1123128.88</v>
      </c>
      <c r="D12" s="11" t="n">
        <v>24702.17</v>
      </c>
      <c r="E12" s="11" t="n">
        <v>4753.82</v>
      </c>
      <c r="F12" s="12" t="n">
        <f aca="false">SUM(C12:E12)</f>
        <v>1152584.87</v>
      </c>
      <c r="G12" s="18" t="n">
        <f aca="false">IFERROR(F12/F11-1,"")</f>
        <v>0.148222554353725</v>
      </c>
    </row>
    <row r="13" customFormat="false" ht="15" hidden="false" customHeight="false" outlineLevel="0" collapsed="false">
      <c r="B13" s="14" t="s">
        <v>20</v>
      </c>
      <c r="C13" s="15" t="n">
        <v>0</v>
      </c>
      <c r="D13" s="15" t="n">
        <v>0</v>
      </c>
      <c r="E13" s="15" t="n">
        <v>209074</v>
      </c>
      <c r="F13" s="16" t="n">
        <f aca="false">SUM(C13:E13)</f>
        <v>209074</v>
      </c>
      <c r="G13" s="17" t="n">
        <f aca="false">IFERROR(F13/F12-1,"")</f>
        <v>-0.818604247338419</v>
      </c>
    </row>
    <row r="14" customFormat="false" ht="15" hidden="false" customHeight="false" outlineLevel="0" collapsed="false">
      <c r="B14" s="19" t="s">
        <v>21</v>
      </c>
      <c r="C14" s="20" t="n">
        <f aca="false">SUM(C10:C13)</f>
        <v>3046265.52</v>
      </c>
      <c r="D14" s="20" t="n">
        <f aca="false">SUM(D10:D13)</f>
        <v>24702.17</v>
      </c>
      <c r="E14" s="20" t="n">
        <f aca="false">SUM(E10:E13)</f>
        <v>219914.39</v>
      </c>
      <c r="F14" s="20" t="n">
        <f aca="false">SUM(F10:F13)</f>
        <v>3290882.08</v>
      </c>
      <c r="G14" s="21"/>
    </row>
    <row r="15" customFormat="false" ht="15" hidden="false" customHeight="false" outlineLevel="0" collapsed="false">
      <c r="B15" s="22" t="s">
        <v>22</v>
      </c>
    </row>
    <row r="17" customFormat="false" ht="15" hidden="false" customHeight="false" outlineLevel="0" collapsed="false">
      <c r="B17" s="7" t="s">
        <v>23</v>
      </c>
    </row>
    <row r="18" customFormat="false" ht="15" hidden="false" customHeight="false" outlineLevel="0" collapsed="false">
      <c r="B18" s="23" t="s">
        <v>24</v>
      </c>
      <c r="C18" s="23"/>
      <c r="D18" s="23"/>
      <c r="E18" s="23"/>
      <c r="F18" s="23"/>
      <c r="G18" s="23"/>
    </row>
    <row r="19" customFormat="false" ht="15" hidden="false" customHeight="false" outlineLevel="0" collapsed="false">
      <c r="B19" s="23" t="s">
        <v>25</v>
      </c>
      <c r="C19" s="23"/>
      <c r="D19" s="23"/>
      <c r="E19" s="23"/>
      <c r="F19" s="23"/>
      <c r="G19" s="23"/>
    </row>
    <row r="20" customFormat="false" ht="15" hidden="false" customHeight="false" outlineLevel="0" collapsed="false">
      <c r="B20" s="23" t="s">
        <v>26</v>
      </c>
      <c r="C20" s="23"/>
      <c r="D20" s="23"/>
      <c r="E20" s="23"/>
      <c r="F20" s="23"/>
      <c r="G20" s="23"/>
    </row>
  </sheetData>
  <mergeCells count="5">
    <mergeCell ref="A1:H1"/>
    <mergeCell ref="A2:H2"/>
    <mergeCell ref="B18:G18"/>
    <mergeCell ref="B19:G19"/>
    <mergeCell ref="B20:G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90"/>
    <col collapsed="false" customWidth="true" hidden="false" outlineLevel="0" max="4" min="4" style="0" width="18"/>
  </cols>
  <sheetData>
    <row r="1" customFormat="false" ht="25.5" hidden="false" customHeight="true" outlineLevel="0" collapsed="false">
      <c r="A1" s="1" t="s">
        <v>27</v>
      </c>
      <c r="B1" s="1"/>
      <c r="C1" s="1"/>
      <c r="D1" s="1"/>
    </row>
    <row r="2" customFormat="false" ht="15.75" hidden="false" customHeight="true" outlineLevel="0" collapsed="false">
      <c r="A2" s="2" t="s">
        <v>28</v>
      </c>
      <c r="B2" s="2"/>
      <c r="C2" s="2"/>
      <c r="D2" s="2"/>
    </row>
    <row r="4" customFormat="false" ht="30" hidden="false" customHeight="true" outlineLevel="0" collapsed="false">
      <c r="A4" s="8" t="s">
        <v>29</v>
      </c>
      <c r="B4" s="8" t="s">
        <v>30</v>
      </c>
      <c r="C4" s="8" t="s">
        <v>31</v>
      </c>
      <c r="D4" s="8" t="s">
        <v>32</v>
      </c>
    </row>
    <row r="5" customFormat="false" ht="61.5" hidden="false" customHeight="true" outlineLevel="0" collapsed="false">
      <c r="A5" s="24" t="s">
        <v>33</v>
      </c>
      <c r="B5" s="25" t="s">
        <v>34</v>
      </c>
      <c r="C5" s="24" t="s">
        <v>35</v>
      </c>
      <c r="D5" s="24" t="s">
        <v>36</v>
      </c>
    </row>
    <row r="6" customFormat="false" ht="61.5" hidden="false" customHeight="true" outlineLevel="0" collapsed="false">
      <c r="A6" s="26" t="s">
        <v>37</v>
      </c>
      <c r="B6" s="27" t="s">
        <v>38</v>
      </c>
      <c r="C6" s="26" t="s">
        <v>39</v>
      </c>
      <c r="D6" s="26" t="s">
        <v>40</v>
      </c>
    </row>
    <row r="7" customFormat="false" ht="61.5" hidden="false" customHeight="true" outlineLevel="0" collapsed="false">
      <c r="A7" s="24" t="s">
        <v>41</v>
      </c>
      <c r="B7" s="25" t="s">
        <v>42</v>
      </c>
      <c r="C7" s="24" t="s">
        <v>43</v>
      </c>
      <c r="D7" s="24" t="s">
        <v>44</v>
      </c>
    </row>
    <row r="8" customFormat="false" ht="61.5" hidden="false" customHeight="true" outlineLevel="0" collapsed="false">
      <c r="A8" s="26" t="s">
        <v>45</v>
      </c>
      <c r="B8" s="27" t="s">
        <v>46</v>
      </c>
      <c r="C8" s="26" t="s">
        <v>47</v>
      </c>
      <c r="D8" s="26" t="s">
        <v>48</v>
      </c>
    </row>
    <row r="9" customFormat="false" ht="61.5" hidden="false" customHeight="true" outlineLevel="0" collapsed="false">
      <c r="A9" s="24" t="s">
        <v>49</v>
      </c>
      <c r="B9" s="25" t="s">
        <v>50</v>
      </c>
      <c r="C9" s="24" t="s">
        <v>51</v>
      </c>
      <c r="D9" s="24" t="s">
        <v>52</v>
      </c>
    </row>
    <row r="10" customFormat="false" ht="61.5" hidden="false" customHeight="true" outlineLevel="0" collapsed="false">
      <c r="A10" s="26" t="s">
        <v>53</v>
      </c>
      <c r="B10" s="27" t="s">
        <v>54</v>
      </c>
      <c r="C10" s="26" t="s">
        <v>55</v>
      </c>
      <c r="D10" s="26" t="s">
        <v>56</v>
      </c>
    </row>
    <row r="11" customFormat="false" ht="61.5" hidden="false" customHeight="true" outlineLevel="0" collapsed="false">
      <c r="A11" s="24" t="s">
        <v>57</v>
      </c>
      <c r="B11" s="25" t="s">
        <v>58</v>
      </c>
      <c r="C11" s="24" t="s">
        <v>59</v>
      </c>
      <c r="D11" s="24" t="s">
        <v>60</v>
      </c>
    </row>
    <row r="12" customFormat="false" ht="61.5" hidden="false" customHeight="true" outlineLevel="0" collapsed="false">
      <c r="A12" s="26" t="s">
        <v>61</v>
      </c>
      <c r="B12" s="27" t="s">
        <v>62</v>
      </c>
      <c r="C12" s="26" t="s">
        <v>63</v>
      </c>
      <c r="D12" s="26" t="s">
        <v>64</v>
      </c>
    </row>
    <row r="13" customFormat="false" ht="61.5" hidden="false" customHeight="true" outlineLevel="0" collapsed="false">
      <c r="A13" s="24" t="s">
        <v>65</v>
      </c>
      <c r="B13" s="25" t="s">
        <v>66</v>
      </c>
      <c r="C13" s="24" t="s">
        <v>67</v>
      </c>
      <c r="D13" s="24" t="s">
        <v>68</v>
      </c>
    </row>
    <row r="14" customFormat="false" ht="61.5" hidden="false" customHeight="true" outlineLevel="0" collapsed="false">
      <c r="A14" s="26" t="s">
        <v>69</v>
      </c>
      <c r="B14" s="27" t="s">
        <v>70</v>
      </c>
      <c r="C14" s="26" t="s">
        <v>71</v>
      </c>
      <c r="D14" s="26" t="s">
        <v>72</v>
      </c>
    </row>
    <row r="15" customFormat="false" ht="61.5" hidden="false" customHeight="true" outlineLevel="0" collapsed="false">
      <c r="A15" s="24" t="s">
        <v>73</v>
      </c>
      <c r="B15" s="25" t="s">
        <v>74</v>
      </c>
      <c r="C15" s="24" t="s">
        <v>75</v>
      </c>
      <c r="D15" s="24" t="s">
        <v>76</v>
      </c>
    </row>
    <row r="16" customFormat="false" ht="61.5" hidden="false" customHeight="true" outlineLevel="0" collapsed="false">
      <c r="A16" s="26" t="s">
        <v>77</v>
      </c>
      <c r="B16" s="27" t="s">
        <v>78</v>
      </c>
      <c r="C16" s="26" t="s">
        <v>79</v>
      </c>
      <c r="D16" s="26" t="s">
        <v>80</v>
      </c>
    </row>
    <row r="17" customFormat="false" ht="61.5" hidden="false" customHeight="true" outlineLevel="0" collapsed="false">
      <c r="A17" s="24" t="s">
        <v>81</v>
      </c>
      <c r="B17" s="25" t="s">
        <v>82</v>
      </c>
      <c r="C17" s="24" t="s">
        <v>83</v>
      </c>
      <c r="D17" s="24" t="s">
        <v>84</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9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1"/>
    <col collapsed="false" customWidth="true" hidden="false" outlineLevel="0" max="7" min="3" style="0" width="15"/>
    <col collapsed="false" customWidth="true" hidden="false" outlineLevel="0" max="8" min="8" style="0" width="13"/>
    <col collapsed="false" customWidth="true" hidden="false" outlineLevel="0" max="9" min="9" style="0" width="32"/>
  </cols>
  <sheetData>
    <row r="1" customFormat="false" ht="25.5" hidden="false" customHeight="true" outlineLevel="0" collapsed="false">
      <c r="A1" s="1" t="s">
        <v>85</v>
      </c>
      <c r="B1" s="1"/>
      <c r="C1" s="1"/>
      <c r="D1" s="1"/>
      <c r="E1" s="1"/>
      <c r="F1" s="1"/>
      <c r="G1" s="1"/>
      <c r="H1" s="1"/>
      <c r="I1" s="1"/>
    </row>
    <row r="2" customFormat="false" ht="15.75" hidden="false" customHeight="true" outlineLevel="0" collapsed="false">
      <c r="A2" s="2" t="s">
        <v>86</v>
      </c>
      <c r="B2" s="2"/>
      <c r="C2" s="2"/>
      <c r="D2" s="2"/>
      <c r="E2" s="2"/>
      <c r="F2" s="2"/>
      <c r="G2" s="2"/>
      <c r="H2" s="2"/>
      <c r="I2" s="2"/>
    </row>
    <row r="4" customFormat="false" ht="30" hidden="false" customHeight="true" outlineLevel="0" collapsed="false">
      <c r="A4" s="8" t="s">
        <v>87</v>
      </c>
      <c r="B4" s="8" t="s">
        <v>88</v>
      </c>
      <c r="C4" s="8" t="s">
        <v>17</v>
      </c>
      <c r="D4" s="8" t="s">
        <v>18</v>
      </c>
      <c r="E4" s="8" t="s">
        <v>19</v>
      </c>
      <c r="F4" s="8" t="s">
        <v>89</v>
      </c>
      <c r="G4" s="8" t="s">
        <v>90</v>
      </c>
      <c r="H4" s="8" t="s">
        <v>91</v>
      </c>
      <c r="I4" s="8" t="s">
        <v>92</v>
      </c>
    </row>
    <row r="5" customFormat="false" ht="15" hidden="false" customHeight="false" outlineLevel="0" collapsed="false">
      <c r="A5" s="28" t="s">
        <v>93</v>
      </c>
      <c r="B5" s="29" t="n">
        <v>3</v>
      </c>
      <c r="C5" s="15" t="n">
        <v>0</v>
      </c>
      <c r="D5" s="15" t="n">
        <v>10585.74</v>
      </c>
      <c r="E5" s="15" t="n">
        <v>116900</v>
      </c>
      <c r="F5" s="15" t="n">
        <v>0</v>
      </c>
      <c r="G5" s="16" t="n">
        <f aca="false">SUM(C5:F5)</f>
        <v>127485.74</v>
      </c>
      <c r="H5" s="28" t="s">
        <v>94</v>
      </c>
      <c r="I5" s="30" t="s">
        <v>95</v>
      </c>
    </row>
    <row r="6" customFormat="false" ht="15" hidden="false" customHeight="false" outlineLevel="0" collapsed="false">
      <c r="A6" s="31" t="s">
        <v>96</v>
      </c>
      <c r="B6" s="32" t="n">
        <v>11</v>
      </c>
      <c r="C6" s="11" t="n">
        <v>0</v>
      </c>
      <c r="D6" s="11" t="n">
        <v>61180.09</v>
      </c>
      <c r="E6" s="11" t="n">
        <v>14335</v>
      </c>
      <c r="F6" s="11" t="n">
        <v>16803.47</v>
      </c>
      <c r="G6" s="12" t="n">
        <f aca="false">SUM(C6:F6)</f>
        <v>92318.56</v>
      </c>
      <c r="H6" s="31" t="s">
        <v>97</v>
      </c>
      <c r="I6" s="33" t="s">
        <v>95</v>
      </c>
    </row>
    <row r="7" customFormat="false" ht="15" hidden="false" customHeight="false" outlineLevel="0" collapsed="false">
      <c r="A7" s="28" t="s">
        <v>98</v>
      </c>
      <c r="B7" s="29" t="n">
        <v>12</v>
      </c>
      <c r="C7" s="15" t="n">
        <v>443.6</v>
      </c>
      <c r="D7" s="15" t="n">
        <v>81841.98</v>
      </c>
      <c r="E7" s="15" t="n">
        <v>0</v>
      </c>
      <c r="F7" s="15" t="n">
        <v>990.17</v>
      </c>
      <c r="G7" s="16" t="n">
        <f aca="false">SUM(C7:F7)</f>
        <v>83275.75</v>
      </c>
      <c r="H7" s="28" t="s">
        <v>97</v>
      </c>
      <c r="I7" s="30" t="s">
        <v>95</v>
      </c>
    </row>
    <row r="8" customFormat="false" ht="15" hidden="false" customHeight="false" outlineLevel="0" collapsed="false">
      <c r="A8" s="31" t="s">
        <v>99</v>
      </c>
      <c r="B8" s="32" t="n">
        <v>7</v>
      </c>
      <c r="C8" s="11" t="n">
        <v>4199.14</v>
      </c>
      <c r="D8" s="11" t="n">
        <v>78010</v>
      </c>
      <c r="E8" s="11" t="n">
        <v>0</v>
      </c>
      <c r="F8" s="11" t="n">
        <v>566.79</v>
      </c>
      <c r="G8" s="12" t="n">
        <f aca="false">SUM(C8:F8)</f>
        <v>82775.93</v>
      </c>
      <c r="H8" s="31" t="s">
        <v>100</v>
      </c>
      <c r="I8" s="33" t="s">
        <v>95</v>
      </c>
    </row>
    <row r="9" customFormat="false" ht="15" hidden="false" customHeight="false" outlineLevel="0" collapsed="false">
      <c r="A9" s="28" t="s">
        <v>101</v>
      </c>
      <c r="B9" s="29" t="n">
        <v>112</v>
      </c>
      <c r="C9" s="15" t="n">
        <v>22531.64</v>
      </c>
      <c r="D9" s="15" t="n">
        <v>27876.41</v>
      </c>
      <c r="E9" s="15" t="n">
        <v>20703.15</v>
      </c>
      <c r="F9" s="15" t="n">
        <v>9428.66</v>
      </c>
      <c r="G9" s="16" t="n">
        <f aca="false">SUM(C9:F9)</f>
        <v>80539.86</v>
      </c>
      <c r="H9" s="28" t="s">
        <v>97</v>
      </c>
      <c r="I9" s="30" t="s">
        <v>102</v>
      </c>
    </row>
    <row r="10" customFormat="false" ht="15" hidden="false" customHeight="false" outlineLevel="0" collapsed="false">
      <c r="A10" s="31" t="s">
        <v>103</v>
      </c>
      <c r="B10" s="32" t="n">
        <v>21</v>
      </c>
      <c r="C10" s="11" t="n">
        <v>4411.54</v>
      </c>
      <c r="D10" s="11" t="n">
        <v>20355.41</v>
      </c>
      <c r="E10" s="11" t="n">
        <v>24205.44</v>
      </c>
      <c r="F10" s="11" t="n">
        <v>17600.4</v>
      </c>
      <c r="G10" s="12" t="n">
        <f aca="false">SUM(C10:F10)</f>
        <v>66572.79</v>
      </c>
      <c r="H10" s="31" t="s">
        <v>97</v>
      </c>
      <c r="I10" s="33" t="s">
        <v>95</v>
      </c>
    </row>
    <row r="11" customFormat="false" ht="15" hidden="false" customHeight="false" outlineLevel="0" collapsed="false">
      <c r="A11" s="28" t="s">
        <v>104</v>
      </c>
      <c r="B11" s="29" t="n">
        <v>13</v>
      </c>
      <c r="C11" s="15" t="n">
        <v>3981.3</v>
      </c>
      <c r="D11" s="15" t="n">
        <v>44032.98</v>
      </c>
      <c r="E11" s="15" t="n">
        <v>15683.96</v>
      </c>
      <c r="F11" s="15" t="n">
        <v>174.25</v>
      </c>
      <c r="G11" s="16" t="n">
        <f aca="false">SUM(C11:F11)</f>
        <v>63872.49</v>
      </c>
      <c r="H11" s="28" t="s">
        <v>100</v>
      </c>
      <c r="I11" s="30" t="s">
        <v>95</v>
      </c>
    </row>
    <row r="12" customFormat="false" ht="15" hidden="false" customHeight="false" outlineLevel="0" collapsed="false">
      <c r="A12" s="31" t="s">
        <v>105</v>
      </c>
      <c r="B12" s="32" t="n">
        <v>26</v>
      </c>
      <c r="C12" s="11" t="n">
        <v>1091.31</v>
      </c>
      <c r="D12" s="11" t="n">
        <v>27996.26</v>
      </c>
      <c r="E12" s="11" t="n">
        <v>21098.92</v>
      </c>
      <c r="F12" s="11" t="n">
        <v>13527.76</v>
      </c>
      <c r="G12" s="12" t="n">
        <f aca="false">SUM(C12:F12)</f>
        <v>63714.25</v>
      </c>
      <c r="H12" s="31" t="s">
        <v>97</v>
      </c>
      <c r="I12" s="33" t="s">
        <v>95</v>
      </c>
    </row>
    <row r="13" customFormat="false" ht="15" hidden="false" customHeight="false" outlineLevel="0" collapsed="false">
      <c r="A13" s="28" t="s">
        <v>106</v>
      </c>
      <c r="B13" s="29" t="n">
        <v>8</v>
      </c>
      <c r="C13" s="15" t="n">
        <v>0</v>
      </c>
      <c r="D13" s="15" t="n">
        <v>45106.65</v>
      </c>
      <c r="E13" s="15" t="n">
        <v>0</v>
      </c>
      <c r="F13" s="15" t="n">
        <v>12870.31</v>
      </c>
      <c r="G13" s="16" t="n">
        <f aca="false">SUM(C13:F13)</f>
        <v>57976.96</v>
      </c>
      <c r="H13" s="28" t="s">
        <v>107</v>
      </c>
      <c r="I13" s="30" t="s">
        <v>108</v>
      </c>
    </row>
    <row r="14" customFormat="false" ht="15" hidden="false" customHeight="false" outlineLevel="0" collapsed="false">
      <c r="A14" s="31" t="s">
        <v>109</v>
      </c>
      <c r="B14" s="32" t="n">
        <v>10</v>
      </c>
      <c r="C14" s="11" t="n">
        <v>2503.05</v>
      </c>
      <c r="D14" s="11" t="n">
        <v>16491.58</v>
      </c>
      <c r="E14" s="11" t="n">
        <v>33900</v>
      </c>
      <c r="F14" s="11" t="n">
        <v>2880.74</v>
      </c>
      <c r="G14" s="12" t="n">
        <f aca="false">SUM(C14:F14)</f>
        <v>55775.37</v>
      </c>
      <c r="H14" s="31" t="s">
        <v>110</v>
      </c>
      <c r="I14" s="33" t="s">
        <v>95</v>
      </c>
    </row>
    <row r="15" customFormat="false" ht="15" hidden="false" customHeight="false" outlineLevel="0" collapsed="false">
      <c r="A15" s="28" t="s">
        <v>111</v>
      </c>
      <c r="B15" s="29" t="n">
        <v>11</v>
      </c>
      <c r="C15" s="15" t="n">
        <v>236.42</v>
      </c>
      <c r="D15" s="15" t="n">
        <v>1560</v>
      </c>
      <c r="E15" s="15" t="n">
        <v>52505</v>
      </c>
      <c r="F15" s="15" t="n">
        <v>17.65</v>
      </c>
      <c r="G15" s="16" t="n">
        <f aca="false">SUM(C15:F15)</f>
        <v>54319.07</v>
      </c>
      <c r="H15" s="28" t="s">
        <v>97</v>
      </c>
      <c r="I15" s="30" t="s">
        <v>102</v>
      </c>
    </row>
    <row r="16" customFormat="false" ht="15" hidden="false" customHeight="false" outlineLevel="0" collapsed="false">
      <c r="A16" s="31" t="s">
        <v>112</v>
      </c>
      <c r="B16" s="32" t="n">
        <v>16</v>
      </c>
      <c r="C16" s="11" t="n">
        <v>1354.71</v>
      </c>
      <c r="D16" s="11" t="n">
        <v>9076.36</v>
      </c>
      <c r="E16" s="11" t="n">
        <v>11267.82</v>
      </c>
      <c r="F16" s="11" t="n">
        <v>31223.34</v>
      </c>
      <c r="G16" s="12" t="n">
        <f aca="false">SUM(C16:F16)</f>
        <v>52922.23</v>
      </c>
      <c r="H16" s="31" t="s">
        <v>97</v>
      </c>
      <c r="I16" s="33" t="s">
        <v>95</v>
      </c>
    </row>
    <row r="17" customFormat="false" ht="15" hidden="false" customHeight="false" outlineLevel="0" collapsed="false">
      <c r="A17" s="28" t="s">
        <v>113</v>
      </c>
      <c r="B17" s="29" t="n">
        <v>62</v>
      </c>
      <c r="C17" s="15" t="n">
        <v>10413.16</v>
      </c>
      <c r="D17" s="15" t="n">
        <v>15358.81</v>
      </c>
      <c r="E17" s="15" t="n">
        <v>20682.58</v>
      </c>
      <c r="F17" s="15" t="n">
        <v>3200.63</v>
      </c>
      <c r="G17" s="16" t="n">
        <f aca="false">SUM(C17:F17)</f>
        <v>49655.18</v>
      </c>
      <c r="H17" s="28" t="s">
        <v>97</v>
      </c>
      <c r="I17" s="30" t="s">
        <v>102</v>
      </c>
    </row>
    <row r="18" customFormat="false" ht="15" hidden="false" customHeight="false" outlineLevel="0" collapsed="false">
      <c r="A18" s="31" t="s">
        <v>114</v>
      </c>
      <c r="B18" s="32" t="n">
        <v>51</v>
      </c>
      <c r="C18" s="11" t="n">
        <v>0</v>
      </c>
      <c r="D18" s="11" t="n">
        <v>30098.01</v>
      </c>
      <c r="E18" s="11" t="n">
        <v>8989.97</v>
      </c>
      <c r="F18" s="11" t="n">
        <v>0</v>
      </c>
      <c r="G18" s="12" t="n">
        <f aca="false">SUM(C18:F18)</f>
        <v>39087.98</v>
      </c>
      <c r="H18" s="31" t="s">
        <v>97</v>
      </c>
      <c r="I18" s="33" t="s">
        <v>115</v>
      </c>
    </row>
    <row r="19" customFormat="false" ht="15" hidden="false" customHeight="false" outlineLevel="0" collapsed="false">
      <c r="A19" s="28" t="s">
        <v>116</v>
      </c>
      <c r="B19" s="29" t="n">
        <v>8</v>
      </c>
      <c r="C19" s="15" t="n">
        <v>420</v>
      </c>
      <c r="D19" s="15" t="n">
        <v>5381.6</v>
      </c>
      <c r="E19" s="15" t="n">
        <v>29080</v>
      </c>
      <c r="F19" s="15" t="n">
        <v>1287.33</v>
      </c>
      <c r="G19" s="16" t="n">
        <f aca="false">SUM(C19:F19)</f>
        <v>36168.93</v>
      </c>
      <c r="H19" s="28" t="s">
        <v>110</v>
      </c>
      <c r="I19" s="30" t="s">
        <v>95</v>
      </c>
    </row>
    <row r="20" customFormat="false" ht="15" hidden="false" customHeight="false" outlineLevel="0" collapsed="false">
      <c r="A20" s="31" t="s">
        <v>117</v>
      </c>
      <c r="B20" s="32" t="n">
        <v>142</v>
      </c>
      <c r="C20" s="11" t="n">
        <v>10383.72</v>
      </c>
      <c r="D20" s="11" t="n">
        <v>11974.43</v>
      </c>
      <c r="E20" s="11" t="n">
        <v>5526.74</v>
      </c>
      <c r="F20" s="11" t="n">
        <v>4132.04</v>
      </c>
      <c r="G20" s="12" t="n">
        <f aca="false">SUM(C20:F20)</f>
        <v>32016.93</v>
      </c>
      <c r="H20" s="31" t="s">
        <v>97</v>
      </c>
      <c r="I20" s="33" t="s">
        <v>102</v>
      </c>
    </row>
    <row r="21" customFormat="false" ht="15" hidden="false" customHeight="false" outlineLevel="0" collapsed="false">
      <c r="A21" s="28" t="s">
        <v>118</v>
      </c>
      <c r="B21" s="29" t="n">
        <v>28</v>
      </c>
      <c r="C21" s="15" t="n">
        <v>7284.85</v>
      </c>
      <c r="D21" s="15" t="n">
        <v>1507.59</v>
      </c>
      <c r="E21" s="15" t="n">
        <v>19258.05</v>
      </c>
      <c r="F21" s="15" t="n">
        <v>3415.21</v>
      </c>
      <c r="G21" s="16" t="n">
        <f aca="false">SUM(C21:F21)</f>
        <v>31465.7</v>
      </c>
      <c r="H21" s="28" t="s">
        <v>110</v>
      </c>
      <c r="I21" s="30" t="s">
        <v>108</v>
      </c>
    </row>
    <row r="22" customFormat="false" ht="15" hidden="false" customHeight="false" outlineLevel="0" collapsed="false">
      <c r="A22" s="31" t="s">
        <v>119</v>
      </c>
      <c r="B22" s="32" t="n">
        <v>20</v>
      </c>
      <c r="C22" s="11" t="n">
        <v>353.09</v>
      </c>
      <c r="D22" s="11" t="n">
        <v>22621.62</v>
      </c>
      <c r="E22" s="11" t="n">
        <v>5314.47</v>
      </c>
      <c r="F22" s="11" t="n">
        <v>1698.94</v>
      </c>
      <c r="G22" s="12" t="n">
        <f aca="false">SUM(C22:F22)</f>
        <v>29988.12</v>
      </c>
      <c r="H22" s="31" t="s">
        <v>97</v>
      </c>
      <c r="I22" s="33" t="s">
        <v>102</v>
      </c>
    </row>
    <row r="23" customFormat="false" ht="15" hidden="false" customHeight="false" outlineLevel="0" collapsed="false">
      <c r="A23" s="28" t="s">
        <v>120</v>
      </c>
      <c r="B23" s="29" t="n">
        <v>29</v>
      </c>
      <c r="C23" s="15" t="n">
        <v>2912.19</v>
      </c>
      <c r="D23" s="15" t="n">
        <v>15160</v>
      </c>
      <c r="E23" s="15" t="n">
        <v>-4131.28</v>
      </c>
      <c r="F23" s="15" t="n">
        <v>16033.61</v>
      </c>
      <c r="G23" s="16" t="n">
        <f aca="false">SUM(C23:F23)</f>
        <v>29974.52</v>
      </c>
      <c r="H23" s="28" t="s">
        <v>110</v>
      </c>
      <c r="I23" s="30" t="s">
        <v>108</v>
      </c>
    </row>
    <row r="24" customFormat="false" ht="15" hidden="false" customHeight="false" outlineLevel="0" collapsed="false">
      <c r="A24" s="31" t="s">
        <v>121</v>
      </c>
      <c r="B24" s="32" t="n">
        <v>5</v>
      </c>
      <c r="C24" s="11" t="n">
        <v>0</v>
      </c>
      <c r="D24" s="11" t="n">
        <v>28067</v>
      </c>
      <c r="E24" s="11" t="n">
        <v>0</v>
      </c>
      <c r="F24" s="11" t="n">
        <v>290.38</v>
      </c>
      <c r="G24" s="12" t="n">
        <f aca="false">SUM(C24:F24)</f>
        <v>28357.38</v>
      </c>
      <c r="H24" s="31" t="s">
        <v>110</v>
      </c>
      <c r="I24" s="33" t="s">
        <v>108</v>
      </c>
    </row>
    <row r="25" customFormat="false" ht="15" hidden="false" customHeight="false" outlineLevel="0" collapsed="false">
      <c r="A25" s="28" t="s">
        <v>122</v>
      </c>
      <c r="B25" s="29" t="n">
        <v>85</v>
      </c>
      <c r="C25" s="15" t="n">
        <v>1713.61</v>
      </c>
      <c r="D25" s="15" t="n">
        <v>8632.22</v>
      </c>
      <c r="E25" s="15" t="n">
        <v>10504.23</v>
      </c>
      <c r="F25" s="15" t="n">
        <v>7172.96</v>
      </c>
      <c r="G25" s="16" t="n">
        <f aca="false">SUM(C25:F25)</f>
        <v>28023.02</v>
      </c>
      <c r="H25" s="28" t="s">
        <v>97</v>
      </c>
      <c r="I25" s="30" t="s">
        <v>102</v>
      </c>
    </row>
    <row r="26" customFormat="false" ht="15" hidden="false" customHeight="false" outlineLevel="0" collapsed="false">
      <c r="A26" s="31" t="s">
        <v>123</v>
      </c>
      <c r="B26" s="32" t="n">
        <v>96</v>
      </c>
      <c r="C26" s="11" t="n">
        <v>6899.74</v>
      </c>
      <c r="D26" s="11" t="n">
        <v>2966.36</v>
      </c>
      <c r="E26" s="11" t="n">
        <v>17695.65</v>
      </c>
      <c r="F26" s="11" t="n">
        <v>0</v>
      </c>
      <c r="G26" s="12" t="n">
        <f aca="false">SUM(C26:F26)</f>
        <v>27561.75</v>
      </c>
      <c r="H26" s="31" t="s">
        <v>97</v>
      </c>
      <c r="I26" s="33" t="s">
        <v>102</v>
      </c>
    </row>
    <row r="27" customFormat="false" ht="15" hidden="false" customHeight="false" outlineLevel="0" collapsed="false">
      <c r="A27" s="28" t="s">
        <v>124</v>
      </c>
      <c r="B27" s="29" t="n">
        <v>64</v>
      </c>
      <c r="C27" s="15" t="n">
        <v>2837.22</v>
      </c>
      <c r="D27" s="15" t="n">
        <v>12644.63</v>
      </c>
      <c r="E27" s="15" t="n">
        <v>8601.51</v>
      </c>
      <c r="F27" s="15" t="n">
        <v>2801.85</v>
      </c>
      <c r="G27" s="16" t="n">
        <f aca="false">SUM(C27:F27)</f>
        <v>26885.21</v>
      </c>
      <c r="H27" s="28" t="s">
        <v>97</v>
      </c>
      <c r="I27" s="30" t="s">
        <v>102</v>
      </c>
    </row>
    <row r="28" customFormat="false" ht="15" hidden="false" customHeight="false" outlineLevel="0" collapsed="false">
      <c r="A28" s="31" t="s">
        <v>125</v>
      </c>
      <c r="B28" s="32" t="n">
        <v>3</v>
      </c>
      <c r="C28" s="11" t="n">
        <v>0</v>
      </c>
      <c r="D28" s="11" t="n">
        <v>9217.75</v>
      </c>
      <c r="E28" s="11" t="n">
        <v>6223.8</v>
      </c>
      <c r="F28" s="11" t="n">
        <v>9016.15</v>
      </c>
      <c r="G28" s="12" t="n">
        <f aca="false">SUM(C28:F28)</f>
        <v>24457.7</v>
      </c>
      <c r="H28" s="31" t="s">
        <v>100</v>
      </c>
      <c r="I28" s="33" t="s">
        <v>95</v>
      </c>
    </row>
    <row r="29" customFormat="false" ht="15" hidden="false" customHeight="false" outlineLevel="0" collapsed="false">
      <c r="A29" s="28" t="s">
        <v>126</v>
      </c>
      <c r="B29" s="29" t="n">
        <v>60</v>
      </c>
      <c r="C29" s="15" t="n">
        <v>3898.29</v>
      </c>
      <c r="D29" s="15" t="n">
        <v>12250.36</v>
      </c>
      <c r="E29" s="15" t="n">
        <v>3693.95</v>
      </c>
      <c r="F29" s="15" t="n">
        <v>4121.6</v>
      </c>
      <c r="G29" s="16" t="n">
        <f aca="false">SUM(C29:F29)</f>
        <v>23964.2</v>
      </c>
      <c r="H29" s="28" t="s">
        <v>97</v>
      </c>
      <c r="I29" s="30" t="s">
        <v>102</v>
      </c>
    </row>
    <row r="30" customFormat="false" ht="15" hidden="false" customHeight="false" outlineLevel="0" collapsed="false">
      <c r="A30" s="31" t="s">
        <v>127</v>
      </c>
      <c r="B30" s="32" t="n">
        <v>27</v>
      </c>
      <c r="C30" s="11" t="n">
        <v>6144.92</v>
      </c>
      <c r="D30" s="11" t="n">
        <v>5919.12</v>
      </c>
      <c r="E30" s="11" t="n">
        <v>2170</v>
      </c>
      <c r="F30" s="11" t="n">
        <v>9045.39</v>
      </c>
      <c r="G30" s="12" t="n">
        <f aca="false">SUM(C30:F30)</f>
        <v>23279.43</v>
      </c>
      <c r="H30" s="31" t="s">
        <v>110</v>
      </c>
      <c r="I30" s="33" t="s">
        <v>108</v>
      </c>
    </row>
    <row r="31" customFormat="false" ht="15" hidden="false" customHeight="false" outlineLevel="0" collapsed="false">
      <c r="A31" s="28" t="s">
        <v>128</v>
      </c>
      <c r="B31" s="29" t="n">
        <v>19</v>
      </c>
      <c r="C31" s="15" t="n">
        <v>0</v>
      </c>
      <c r="D31" s="15" t="n">
        <v>0</v>
      </c>
      <c r="E31" s="15" t="n">
        <v>18318</v>
      </c>
      <c r="F31" s="15" t="n">
        <v>2865.55</v>
      </c>
      <c r="G31" s="16" t="n">
        <f aca="false">SUM(C31:F31)</f>
        <v>21183.55</v>
      </c>
      <c r="H31" s="28" t="s">
        <v>97</v>
      </c>
      <c r="I31" s="30" t="s">
        <v>95</v>
      </c>
    </row>
    <row r="32" customFormat="false" ht="15" hidden="false" customHeight="false" outlineLevel="0" collapsed="false">
      <c r="A32" s="31" t="s">
        <v>129</v>
      </c>
      <c r="B32" s="32" t="n">
        <v>2</v>
      </c>
      <c r="C32" s="11" t="n">
        <v>0</v>
      </c>
      <c r="D32" s="11" t="n">
        <v>2020.31</v>
      </c>
      <c r="E32" s="11" t="n">
        <v>17900</v>
      </c>
      <c r="F32" s="11" t="n">
        <v>0</v>
      </c>
      <c r="G32" s="12" t="n">
        <f aca="false">SUM(C32:F32)</f>
        <v>19920.31</v>
      </c>
      <c r="H32" s="31" t="s">
        <v>97</v>
      </c>
      <c r="I32" s="33" t="s">
        <v>95</v>
      </c>
    </row>
    <row r="33" customFormat="false" ht="15" hidden="false" customHeight="false" outlineLevel="0" collapsed="false">
      <c r="A33" s="28" t="s">
        <v>130</v>
      </c>
      <c r="B33" s="29" t="n">
        <v>14</v>
      </c>
      <c r="C33" s="15" t="n">
        <v>320.65</v>
      </c>
      <c r="D33" s="15" t="n">
        <v>15670</v>
      </c>
      <c r="E33" s="15" t="n">
        <v>0</v>
      </c>
      <c r="F33" s="15" t="n">
        <v>3860.63</v>
      </c>
      <c r="G33" s="16" t="n">
        <f aca="false">SUM(C33:F33)</f>
        <v>19851.28</v>
      </c>
      <c r="H33" s="28" t="s">
        <v>97</v>
      </c>
      <c r="I33" s="30" t="s">
        <v>108</v>
      </c>
    </row>
    <row r="34" customFormat="false" ht="15" hidden="false" customHeight="false" outlineLevel="0" collapsed="false">
      <c r="A34" s="31" t="s">
        <v>131</v>
      </c>
      <c r="B34" s="32" t="n">
        <v>15</v>
      </c>
      <c r="C34" s="11" t="n">
        <v>3663.83</v>
      </c>
      <c r="D34" s="11" t="n">
        <v>9696.6</v>
      </c>
      <c r="E34" s="11" t="n">
        <v>3730</v>
      </c>
      <c r="F34" s="11" t="n">
        <v>2180.35</v>
      </c>
      <c r="G34" s="12" t="n">
        <f aca="false">SUM(C34:F34)</f>
        <v>19270.78</v>
      </c>
      <c r="H34" s="31" t="s">
        <v>97</v>
      </c>
      <c r="I34" s="33" t="s">
        <v>108</v>
      </c>
    </row>
    <row r="35" customFormat="false" ht="15" hidden="false" customHeight="false" outlineLevel="0" collapsed="false">
      <c r="A35" s="28" t="s">
        <v>132</v>
      </c>
      <c r="B35" s="29" t="n">
        <v>10</v>
      </c>
      <c r="C35" s="15" t="n">
        <v>2673.5</v>
      </c>
      <c r="D35" s="15" t="n">
        <v>0</v>
      </c>
      <c r="E35" s="15" t="n">
        <v>0</v>
      </c>
      <c r="F35" s="15" t="n">
        <v>16521.94</v>
      </c>
      <c r="G35" s="16" t="n">
        <f aca="false">SUM(C35:F35)</f>
        <v>19195.44</v>
      </c>
      <c r="H35" s="28" t="s">
        <v>133</v>
      </c>
      <c r="I35" s="30" t="s">
        <v>108</v>
      </c>
    </row>
    <row r="36" customFormat="false" ht="15" hidden="false" customHeight="false" outlineLevel="0" collapsed="false">
      <c r="A36" s="31" t="s">
        <v>134</v>
      </c>
      <c r="B36" s="32" t="n">
        <v>5</v>
      </c>
      <c r="C36" s="11" t="n">
        <v>0</v>
      </c>
      <c r="D36" s="11" t="n">
        <v>15680</v>
      </c>
      <c r="E36" s="11" t="n">
        <v>1802.5</v>
      </c>
      <c r="F36" s="11" t="n">
        <v>480.49</v>
      </c>
      <c r="G36" s="12" t="n">
        <f aca="false">SUM(C36:F36)</f>
        <v>17962.99</v>
      </c>
      <c r="H36" s="31" t="s">
        <v>110</v>
      </c>
      <c r="I36" s="33" t="s">
        <v>108</v>
      </c>
    </row>
    <row r="37" customFormat="false" ht="15" hidden="false" customHeight="false" outlineLevel="0" collapsed="false">
      <c r="A37" s="28" t="s">
        <v>135</v>
      </c>
      <c r="B37" s="29" t="n">
        <v>9</v>
      </c>
      <c r="C37" s="15" t="n">
        <v>3693.51</v>
      </c>
      <c r="D37" s="15" t="n">
        <v>905.13</v>
      </c>
      <c r="E37" s="15" t="n">
        <v>13140</v>
      </c>
      <c r="F37" s="15" t="n">
        <v>156.1</v>
      </c>
      <c r="G37" s="16" t="n">
        <f aca="false">SUM(C37:F37)</f>
        <v>17894.74</v>
      </c>
      <c r="H37" s="28" t="s">
        <v>110</v>
      </c>
      <c r="I37" s="30" t="s">
        <v>108</v>
      </c>
    </row>
    <row r="38" customFormat="false" ht="15" hidden="false" customHeight="false" outlineLevel="0" collapsed="false">
      <c r="A38" s="31" t="s">
        <v>136</v>
      </c>
      <c r="B38" s="32" t="n">
        <v>3</v>
      </c>
      <c r="C38" s="11" t="n">
        <v>0</v>
      </c>
      <c r="D38" s="11" t="n">
        <v>2542.08</v>
      </c>
      <c r="E38" s="11" t="n">
        <v>15124.5</v>
      </c>
      <c r="F38" s="11" t="n">
        <v>0</v>
      </c>
      <c r="G38" s="12" t="n">
        <f aca="false">SUM(C38:F38)</f>
        <v>17666.58</v>
      </c>
      <c r="H38" s="31" t="s">
        <v>137</v>
      </c>
      <c r="I38" s="33" t="s">
        <v>95</v>
      </c>
    </row>
    <row r="39" customFormat="false" ht="15" hidden="false" customHeight="false" outlineLevel="0" collapsed="false">
      <c r="A39" s="28" t="s">
        <v>138</v>
      </c>
      <c r="B39" s="29" t="n">
        <v>61</v>
      </c>
      <c r="C39" s="15" t="n">
        <v>4961.63</v>
      </c>
      <c r="D39" s="15" t="n">
        <v>11000.35</v>
      </c>
      <c r="E39" s="15" t="n">
        <v>1221.34</v>
      </c>
      <c r="F39" s="15" t="n">
        <v>115.96</v>
      </c>
      <c r="G39" s="16" t="n">
        <f aca="false">SUM(C39:F39)</f>
        <v>17299.28</v>
      </c>
      <c r="H39" s="28" t="s">
        <v>97</v>
      </c>
      <c r="I39" s="30" t="s">
        <v>102</v>
      </c>
    </row>
    <row r="40" customFormat="false" ht="15" hidden="false" customHeight="false" outlineLevel="0" collapsed="false">
      <c r="A40" s="31" t="s">
        <v>139</v>
      </c>
      <c r="B40" s="32" t="n">
        <v>4</v>
      </c>
      <c r="C40" s="11" t="n">
        <v>0</v>
      </c>
      <c r="D40" s="11" t="n">
        <v>15945</v>
      </c>
      <c r="E40" s="11" t="n">
        <v>0</v>
      </c>
      <c r="F40" s="11" t="n">
        <v>380.69</v>
      </c>
      <c r="G40" s="12" t="n">
        <f aca="false">SUM(C40:F40)</f>
        <v>16325.69</v>
      </c>
      <c r="H40" s="31" t="s">
        <v>110</v>
      </c>
      <c r="I40" s="33" t="s">
        <v>108</v>
      </c>
    </row>
    <row r="41" customFormat="false" ht="15" hidden="false" customHeight="false" outlineLevel="0" collapsed="false">
      <c r="A41" s="28" t="s">
        <v>140</v>
      </c>
      <c r="B41" s="29" t="n">
        <v>5</v>
      </c>
      <c r="C41" s="15" t="n">
        <v>0</v>
      </c>
      <c r="D41" s="15" t="n">
        <v>3360</v>
      </c>
      <c r="E41" s="15" t="n">
        <v>11885</v>
      </c>
      <c r="F41" s="15" t="n">
        <v>783.38</v>
      </c>
      <c r="G41" s="16" t="n">
        <f aca="false">SUM(C41:F41)</f>
        <v>16028.38</v>
      </c>
      <c r="H41" s="28" t="s">
        <v>97</v>
      </c>
      <c r="I41" s="30" t="s">
        <v>95</v>
      </c>
    </row>
    <row r="42" customFormat="false" ht="15" hidden="false" customHeight="false" outlineLevel="0" collapsed="false">
      <c r="A42" s="31" t="s">
        <v>141</v>
      </c>
      <c r="B42" s="32" t="n">
        <v>14</v>
      </c>
      <c r="C42" s="11" t="n">
        <v>1149.91</v>
      </c>
      <c r="D42" s="11" t="n">
        <v>2555.86</v>
      </c>
      <c r="E42" s="11" t="n">
        <v>0</v>
      </c>
      <c r="F42" s="11" t="n">
        <v>11742.02</v>
      </c>
      <c r="G42" s="12" t="n">
        <f aca="false">SUM(C42:F42)</f>
        <v>15447.79</v>
      </c>
      <c r="H42" s="31" t="s">
        <v>110</v>
      </c>
      <c r="I42" s="33" t="s">
        <v>108</v>
      </c>
    </row>
    <row r="43" customFormat="false" ht="15" hidden="false" customHeight="false" outlineLevel="0" collapsed="false">
      <c r="A43" s="28" t="s">
        <v>142</v>
      </c>
      <c r="B43" s="29" t="n">
        <v>89</v>
      </c>
      <c r="C43" s="15" t="n">
        <v>2098.7</v>
      </c>
      <c r="D43" s="15" t="n">
        <v>9072.94</v>
      </c>
      <c r="E43" s="15" t="n">
        <v>535.99</v>
      </c>
      <c r="F43" s="15" t="n">
        <v>2882.76</v>
      </c>
      <c r="G43" s="16" t="n">
        <f aca="false">SUM(C43:F43)</f>
        <v>14590.39</v>
      </c>
      <c r="H43" s="28" t="s">
        <v>97</v>
      </c>
      <c r="I43" s="30" t="s">
        <v>102</v>
      </c>
    </row>
    <row r="44" customFormat="false" ht="15" hidden="false" customHeight="false" outlineLevel="0" collapsed="false">
      <c r="A44" s="31" t="s">
        <v>143</v>
      </c>
      <c r="B44" s="32" t="n">
        <v>13</v>
      </c>
      <c r="C44" s="11" t="n">
        <v>5820.31</v>
      </c>
      <c r="D44" s="11" t="n">
        <v>5236</v>
      </c>
      <c r="E44" s="11" t="n">
        <v>0</v>
      </c>
      <c r="F44" s="11" t="n">
        <v>3513.7</v>
      </c>
      <c r="G44" s="12" t="n">
        <f aca="false">SUM(C44:F44)</f>
        <v>14570.01</v>
      </c>
      <c r="H44" s="31" t="s">
        <v>97</v>
      </c>
      <c r="I44" s="33" t="s">
        <v>95</v>
      </c>
    </row>
    <row r="45" customFormat="false" ht="15" hidden="false" customHeight="false" outlineLevel="0" collapsed="false">
      <c r="A45" s="28" t="s">
        <v>144</v>
      </c>
      <c r="B45" s="29" t="n">
        <v>11</v>
      </c>
      <c r="C45" s="15" t="n">
        <v>1790</v>
      </c>
      <c r="D45" s="15" t="n">
        <v>5600</v>
      </c>
      <c r="E45" s="15" t="n">
        <v>2464.14</v>
      </c>
      <c r="F45" s="15" t="n">
        <v>4437.11</v>
      </c>
      <c r="G45" s="16" t="n">
        <f aca="false">SUM(C45:F45)</f>
        <v>14291.25</v>
      </c>
      <c r="H45" s="28" t="s">
        <v>110</v>
      </c>
      <c r="I45" s="30" t="s">
        <v>108</v>
      </c>
    </row>
    <row r="46" customFormat="false" ht="15" hidden="false" customHeight="false" outlineLevel="0" collapsed="false">
      <c r="A46" s="31" t="s">
        <v>145</v>
      </c>
      <c r="B46" s="32" t="n">
        <v>5</v>
      </c>
      <c r="C46" s="11" t="n">
        <v>0</v>
      </c>
      <c r="D46" s="11" t="n">
        <v>14094.12</v>
      </c>
      <c r="E46" s="11" t="n">
        <v>0</v>
      </c>
      <c r="F46" s="11" t="n">
        <v>0</v>
      </c>
      <c r="G46" s="12" t="n">
        <f aca="false">SUM(C46:F46)</f>
        <v>14094.12</v>
      </c>
      <c r="H46" s="31" t="s">
        <v>100</v>
      </c>
      <c r="I46" s="33" t="s">
        <v>95</v>
      </c>
    </row>
    <row r="47" customFormat="false" ht="15" hidden="false" customHeight="false" outlineLevel="0" collapsed="false">
      <c r="A47" s="28" t="s">
        <v>146</v>
      </c>
      <c r="B47" s="29" t="n">
        <v>6</v>
      </c>
      <c r="C47" s="15" t="n">
        <v>0</v>
      </c>
      <c r="D47" s="15" t="n">
        <v>615</v>
      </c>
      <c r="E47" s="15" t="n">
        <v>6695</v>
      </c>
      <c r="F47" s="15" t="n">
        <v>6243.81</v>
      </c>
      <c r="G47" s="16" t="n">
        <f aca="false">SUM(C47:F47)</f>
        <v>13553.81</v>
      </c>
      <c r="H47" s="28" t="s">
        <v>97</v>
      </c>
      <c r="I47" s="30" t="s">
        <v>95</v>
      </c>
    </row>
    <row r="48" customFormat="false" ht="15" hidden="false" customHeight="false" outlineLevel="0" collapsed="false">
      <c r="A48" s="31" t="s">
        <v>147</v>
      </c>
      <c r="B48" s="32" t="n">
        <v>17</v>
      </c>
      <c r="C48" s="11" t="n">
        <v>850.01</v>
      </c>
      <c r="D48" s="11" t="n">
        <v>6302.9</v>
      </c>
      <c r="E48" s="11" t="n">
        <v>964.99</v>
      </c>
      <c r="F48" s="11" t="n">
        <v>5222.43</v>
      </c>
      <c r="G48" s="12" t="n">
        <f aca="false">SUM(C48:F48)</f>
        <v>13340.33</v>
      </c>
      <c r="H48" s="31" t="s">
        <v>97</v>
      </c>
      <c r="I48" s="33" t="s">
        <v>108</v>
      </c>
    </row>
    <row r="49" customFormat="false" ht="15" hidden="false" customHeight="false" outlineLevel="0" collapsed="false">
      <c r="A49" s="28" t="s">
        <v>148</v>
      </c>
      <c r="B49" s="29" t="n">
        <v>6</v>
      </c>
      <c r="C49" s="15" t="n">
        <v>0</v>
      </c>
      <c r="D49" s="15" t="n">
        <v>12239.27</v>
      </c>
      <c r="E49" s="15" t="n">
        <v>0</v>
      </c>
      <c r="F49" s="15" t="n">
        <v>859.65</v>
      </c>
      <c r="G49" s="16" t="n">
        <f aca="false">SUM(C49:F49)</f>
        <v>13098.92</v>
      </c>
      <c r="H49" s="28" t="s">
        <v>110</v>
      </c>
      <c r="I49" s="30" t="s">
        <v>108</v>
      </c>
    </row>
    <row r="50" customFormat="false" ht="15" hidden="false" customHeight="false" outlineLevel="0" collapsed="false">
      <c r="A50" s="31" t="s">
        <v>149</v>
      </c>
      <c r="B50" s="32" t="n">
        <v>13</v>
      </c>
      <c r="C50" s="11" t="n">
        <v>7146.69</v>
      </c>
      <c r="D50" s="11" t="n">
        <v>0</v>
      </c>
      <c r="E50" s="11" t="n">
        <v>0</v>
      </c>
      <c r="F50" s="11" t="n">
        <v>5382.88</v>
      </c>
      <c r="G50" s="12" t="n">
        <f aca="false">SUM(C50:F50)</f>
        <v>12529.57</v>
      </c>
      <c r="H50" s="31" t="s">
        <v>110</v>
      </c>
      <c r="I50" s="33" t="s">
        <v>108</v>
      </c>
    </row>
    <row r="51" customFormat="false" ht="15" hidden="false" customHeight="false" outlineLevel="0" collapsed="false">
      <c r="A51" s="28" t="s">
        <v>150</v>
      </c>
      <c r="B51" s="29" t="n">
        <v>11</v>
      </c>
      <c r="C51" s="15" t="n">
        <v>145.66</v>
      </c>
      <c r="D51" s="15" t="n">
        <v>9304</v>
      </c>
      <c r="E51" s="15" t="n">
        <v>2276.57</v>
      </c>
      <c r="F51" s="15" t="n">
        <v>472.7</v>
      </c>
      <c r="G51" s="16" t="n">
        <f aca="false">SUM(C51:F51)</f>
        <v>12198.93</v>
      </c>
      <c r="H51" s="28" t="s">
        <v>97</v>
      </c>
      <c r="I51" s="30" t="s">
        <v>108</v>
      </c>
    </row>
    <row r="52" customFormat="false" ht="15" hidden="false" customHeight="false" outlineLevel="0" collapsed="false">
      <c r="A52" s="31" t="s">
        <v>151</v>
      </c>
      <c r="B52" s="32" t="n">
        <v>17</v>
      </c>
      <c r="C52" s="11" t="n">
        <v>2592.22</v>
      </c>
      <c r="D52" s="11" t="n">
        <v>4126.06</v>
      </c>
      <c r="E52" s="11" t="n">
        <v>0</v>
      </c>
      <c r="F52" s="11" t="n">
        <v>5352.56</v>
      </c>
      <c r="G52" s="12" t="n">
        <f aca="false">SUM(C52:F52)</f>
        <v>12070.84</v>
      </c>
      <c r="H52" s="31" t="s">
        <v>97</v>
      </c>
      <c r="I52" s="33" t="s">
        <v>95</v>
      </c>
    </row>
    <row r="53" customFormat="false" ht="15" hidden="false" customHeight="false" outlineLevel="0" collapsed="false">
      <c r="A53" s="28" t="s">
        <v>152</v>
      </c>
      <c r="B53" s="29" t="n">
        <v>7</v>
      </c>
      <c r="C53" s="15" t="n">
        <v>1850</v>
      </c>
      <c r="D53" s="15" t="n">
        <v>3618</v>
      </c>
      <c r="E53" s="15" t="n">
        <v>5745</v>
      </c>
      <c r="F53" s="15" t="n">
        <v>587.33</v>
      </c>
      <c r="G53" s="16" t="n">
        <f aca="false">SUM(C53:F53)</f>
        <v>11800.33</v>
      </c>
      <c r="H53" s="28" t="s">
        <v>97</v>
      </c>
      <c r="I53" s="30" t="s">
        <v>108</v>
      </c>
    </row>
    <row r="54" customFormat="false" ht="15" hidden="false" customHeight="false" outlineLevel="0" collapsed="false">
      <c r="A54" s="31" t="s">
        <v>153</v>
      </c>
      <c r="B54" s="32" t="n">
        <v>6</v>
      </c>
      <c r="C54" s="11" t="n">
        <v>0</v>
      </c>
      <c r="D54" s="11" t="n">
        <v>7624.76</v>
      </c>
      <c r="E54" s="11" t="n">
        <v>4104.3</v>
      </c>
      <c r="F54" s="11" t="n">
        <v>0</v>
      </c>
      <c r="G54" s="12" t="n">
        <f aca="false">SUM(C54:F54)</f>
        <v>11729.06</v>
      </c>
      <c r="H54" s="31" t="s">
        <v>154</v>
      </c>
      <c r="I54" s="33" t="s">
        <v>95</v>
      </c>
    </row>
    <row r="55" customFormat="false" ht="15" hidden="false" customHeight="false" outlineLevel="0" collapsed="false">
      <c r="A55" s="28" t="s">
        <v>155</v>
      </c>
      <c r="B55" s="29" t="n">
        <v>13</v>
      </c>
      <c r="C55" s="15" t="n">
        <v>1989</v>
      </c>
      <c r="D55" s="15" t="n">
        <v>6278</v>
      </c>
      <c r="E55" s="15" t="n">
        <v>1989</v>
      </c>
      <c r="F55" s="15" t="n">
        <v>791.98</v>
      </c>
      <c r="G55" s="16" t="n">
        <f aca="false">SUM(C55:F55)</f>
        <v>11047.98</v>
      </c>
      <c r="H55" s="28" t="s">
        <v>110</v>
      </c>
      <c r="I55" s="30" t="s">
        <v>108</v>
      </c>
    </row>
    <row r="56" customFormat="false" ht="15" hidden="false" customHeight="false" outlineLevel="0" collapsed="false">
      <c r="A56" s="31" t="s">
        <v>156</v>
      </c>
      <c r="B56" s="32" t="n">
        <v>2</v>
      </c>
      <c r="C56" s="11" t="n">
        <v>6730</v>
      </c>
      <c r="D56" s="11" t="n">
        <v>3950</v>
      </c>
      <c r="E56" s="11" t="n">
        <v>0</v>
      </c>
      <c r="F56" s="11" t="n">
        <v>0</v>
      </c>
      <c r="G56" s="12" t="n">
        <f aca="false">SUM(C56:F56)</f>
        <v>10680</v>
      </c>
      <c r="H56" s="31" t="s">
        <v>97</v>
      </c>
      <c r="I56" s="33" t="s">
        <v>95</v>
      </c>
    </row>
    <row r="57" customFormat="false" ht="15" hidden="false" customHeight="false" outlineLevel="0" collapsed="false">
      <c r="A57" s="28" t="s">
        <v>157</v>
      </c>
      <c r="B57" s="29" t="n">
        <v>5</v>
      </c>
      <c r="C57" s="15" t="n">
        <v>570</v>
      </c>
      <c r="D57" s="15" t="n">
        <v>0</v>
      </c>
      <c r="E57" s="15" t="n">
        <v>1614.43</v>
      </c>
      <c r="F57" s="15" t="n">
        <v>8112.14</v>
      </c>
      <c r="G57" s="16" t="n">
        <f aca="false">SUM(C57:F57)</f>
        <v>10296.57</v>
      </c>
      <c r="H57" s="28" t="s">
        <v>97</v>
      </c>
      <c r="I57" s="30" t="s">
        <v>95</v>
      </c>
    </row>
    <row r="58" customFormat="false" ht="15" hidden="false" customHeight="false" outlineLevel="0" collapsed="false">
      <c r="A58" s="31" t="s">
        <v>158</v>
      </c>
      <c r="B58" s="32" t="n">
        <v>38</v>
      </c>
      <c r="C58" s="11" t="n">
        <v>67.71</v>
      </c>
      <c r="D58" s="11" t="n">
        <v>405.7</v>
      </c>
      <c r="E58" s="11" t="n">
        <v>453.44</v>
      </c>
      <c r="F58" s="11" t="n">
        <v>9055.3</v>
      </c>
      <c r="G58" s="12" t="n">
        <f aca="false">SUM(C58:F58)</f>
        <v>9982.15</v>
      </c>
      <c r="H58" s="31" t="s">
        <v>97</v>
      </c>
      <c r="I58" s="33" t="s">
        <v>102</v>
      </c>
    </row>
    <row r="59" customFormat="false" ht="15" hidden="false" customHeight="false" outlineLevel="0" collapsed="false">
      <c r="A59" s="28" t="s">
        <v>159</v>
      </c>
      <c r="B59" s="29" t="n">
        <v>46</v>
      </c>
      <c r="C59" s="15" t="n">
        <v>1722.24</v>
      </c>
      <c r="D59" s="15" t="n">
        <v>4633.08</v>
      </c>
      <c r="E59" s="15" t="n">
        <v>2487.59</v>
      </c>
      <c r="F59" s="15" t="n">
        <v>888.74</v>
      </c>
      <c r="G59" s="16" t="n">
        <f aca="false">SUM(C59:F59)</f>
        <v>9731.65</v>
      </c>
      <c r="H59" s="28" t="s">
        <v>97</v>
      </c>
      <c r="I59" s="30" t="s">
        <v>102</v>
      </c>
    </row>
    <row r="60" customFormat="false" ht="15" hidden="false" customHeight="false" outlineLevel="0" collapsed="false">
      <c r="A60" s="31" t="s">
        <v>160</v>
      </c>
      <c r="B60" s="32" t="n">
        <v>7</v>
      </c>
      <c r="C60" s="11" t="n">
        <v>0</v>
      </c>
      <c r="D60" s="11" t="n">
        <v>8279.96</v>
      </c>
      <c r="E60" s="11" t="n">
        <v>0</v>
      </c>
      <c r="F60" s="11" t="n">
        <v>1430.72</v>
      </c>
      <c r="G60" s="12" t="n">
        <f aca="false">SUM(C60:F60)</f>
        <v>9710.68</v>
      </c>
      <c r="H60" s="31" t="s">
        <v>110</v>
      </c>
      <c r="I60" s="33" t="s">
        <v>108</v>
      </c>
    </row>
    <row r="61" customFormat="false" ht="15" hidden="false" customHeight="false" outlineLevel="0" collapsed="false">
      <c r="A61" s="28" t="s">
        <v>161</v>
      </c>
      <c r="B61" s="29" t="n">
        <v>2</v>
      </c>
      <c r="C61" s="15" t="n">
        <v>2161</v>
      </c>
      <c r="D61" s="15" t="n">
        <v>7300</v>
      </c>
      <c r="E61" s="15" t="n">
        <v>0</v>
      </c>
      <c r="F61" s="15" t="n">
        <v>0</v>
      </c>
      <c r="G61" s="16" t="n">
        <f aca="false">SUM(C61:F61)</f>
        <v>9461</v>
      </c>
      <c r="H61" s="28" t="s">
        <v>97</v>
      </c>
      <c r="I61" s="30" t="s">
        <v>95</v>
      </c>
    </row>
    <row r="62" customFormat="false" ht="15" hidden="false" customHeight="false" outlineLevel="0" collapsed="false">
      <c r="A62" s="31" t="s">
        <v>162</v>
      </c>
      <c r="B62" s="32" t="n">
        <v>7</v>
      </c>
      <c r="C62" s="11" t="n">
        <v>2046</v>
      </c>
      <c r="D62" s="11" t="n">
        <v>3798</v>
      </c>
      <c r="E62" s="11" t="n">
        <v>1200</v>
      </c>
      <c r="F62" s="11" t="n">
        <v>2352.71</v>
      </c>
      <c r="G62" s="12" t="n">
        <f aca="false">SUM(C62:F62)</f>
        <v>9396.71</v>
      </c>
      <c r="H62" s="31" t="s">
        <v>110</v>
      </c>
      <c r="I62" s="33" t="s">
        <v>95</v>
      </c>
    </row>
    <row r="63" customFormat="false" ht="15" hidden="false" customHeight="false" outlineLevel="0" collapsed="false">
      <c r="A63" s="28" t="s">
        <v>163</v>
      </c>
      <c r="B63" s="29" t="n">
        <v>8</v>
      </c>
      <c r="C63" s="15" t="n">
        <v>3640</v>
      </c>
      <c r="D63" s="15" t="n">
        <v>1771.88</v>
      </c>
      <c r="E63" s="15" t="n">
        <v>1465.19</v>
      </c>
      <c r="F63" s="15" t="n">
        <v>2258.15</v>
      </c>
      <c r="G63" s="16" t="n">
        <f aca="false">SUM(C63:F63)</f>
        <v>9135.22</v>
      </c>
      <c r="H63" s="28" t="s">
        <v>110</v>
      </c>
      <c r="I63" s="30" t="s">
        <v>108</v>
      </c>
    </row>
    <row r="64" customFormat="false" ht="15" hidden="false" customHeight="false" outlineLevel="0" collapsed="false">
      <c r="A64" s="31" t="s">
        <v>164</v>
      </c>
      <c r="B64" s="32" t="n">
        <v>60</v>
      </c>
      <c r="C64" s="11" t="n">
        <v>1597.83</v>
      </c>
      <c r="D64" s="11" t="n">
        <v>4540.28</v>
      </c>
      <c r="E64" s="11" t="n">
        <v>271.23</v>
      </c>
      <c r="F64" s="11" t="n">
        <v>2506.99</v>
      </c>
      <c r="G64" s="12" t="n">
        <f aca="false">SUM(C64:F64)</f>
        <v>8916.33</v>
      </c>
      <c r="H64" s="31" t="s">
        <v>97</v>
      </c>
      <c r="I64" s="33" t="s">
        <v>102</v>
      </c>
    </row>
    <row r="65" customFormat="false" ht="15" hidden="false" customHeight="false" outlineLevel="0" collapsed="false">
      <c r="A65" s="28" t="s">
        <v>165</v>
      </c>
      <c r="B65" s="29" t="n">
        <v>12</v>
      </c>
      <c r="C65" s="15" t="n">
        <v>2748.17</v>
      </c>
      <c r="D65" s="15" t="n">
        <v>4847.61</v>
      </c>
      <c r="E65" s="15" t="n">
        <v>600</v>
      </c>
      <c r="F65" s="15" t="n">
        <v>560.58</v>
      </c>
      <c r="G65" s="16" t="n">
        <f aca="false">SUM(C65:F65)</f>
        <v>8756.36</v>
      </c>
      <c r="H65" s="28" t="s">
        <v>110</v>
      </c>
      <c r="I65" s="30" t="s">
        <v>108</v>
      </c>
    </row>
    <row r="66" customFormat="false" ht="15" hidden="false" customHeight="false" outlineLevel="0" collapsed="false">
      <c r="A66" s="31" t="s">
        <v>166</v>
      </c>
      <c r="B66" s="32" t="n">
        <v>12</v>
      </c>
      <c r="C66" s="11" t="n">
        <v>180.98</v>
      </c>
      <c r="D66" s="11" t="n">
        <v>5780.83</v>
      </c>
      <c r="E66" s="11" t="n">
        <v>0</v>
      </c>
      <c r="F66" s="11" t="n">
        <v>2719.49</v>
      </c>
      <c r="G66" s="12" t="n">
        <f aca="false">SUM(C66:F66)</f>
        <v>8681.3</v>
      </c>
      <c r="H66" s="31" t="s">
        <v>97</v>
      </c>
      <c r="I66" s="33" t="s">
        <v>108</v>
      </c>
    </row>
    <row r="67" customFormat="false" ht="15" hidden="false" customHeight="false" outlineLevel="0" collapsed="false">
      <c r="A67" s="28" t="s">
        <v>167</v>
      </c>
      <c r="B67" s="29" t="n">
        <v>14</v>
      </c>
      <c r="C67" s="15" t="n">
        <v>178.44</v>
      </c>
      <c r="D67" s="15" t="n">
        <v>1893.18</v>
      </c>
      <c r="E67" s="15" t="n">
        <v>2979.85</v>
      </c>
      <c r="F67" s="15" t="n">
        <v>3577.89</v>
      </c>
      <c r="G67" s="16" t="n">
        <f aca="false">SUM(C67:F67)</f>
        <v>8629.36</v>
      </c>
      <c r="H67" s="28" t="s">
        <v>97</v>
      </c>
      <c r="I67" s="30" t="s">
        <v>108</v>
      </c>
    </row>
    <row r="68" customFormat="false" ht="15" hidden="false" customHeight="false" outlineLevel="0" collapsed="false">
      <c r="A68" s="31" t="s">
        <v>168</v>
      </c>
      <c r="B68" s="32" t="n">
        <v>11</v>
      </c>
      <c r="C68" s="11" t="n">
        <v>175.28</v>
      </c>
      <c r="D68" s="11" t="n">
        <v>4924.5</v>
      </c>
      <c r="E68" s="11" t="n">
        <v>2202.52</v>
      </c>
      <c r="F68" s="11" t="n">
        <v>1187.85</v>
      </c>
      <c r="G68" s="12" t="n">
        <f aca="false">SUM(C68:F68)</f>
        <v>8490.15</v>
      </c>
      <c r="H68" s="31" t="s">
        <v>97</v>
      </c>
      <c r="I68" s="33" t="s">
        <v>95</v>
      </c>
    </row>
    <row r="69" customFormat="false" ht="15" hidden="false" customHeight="false" outlineLevel="0" collapsed="false">
      <c r="A69" s="28" t="s">
        <v>169</v>
      </c>
      <c r="B69" s="29" t="n">
        <v>50</v>
      </c>
      <c r="C69" s="15" t="n">
        <v>2752.85</v>
      </c>
      <c r="D69" s="15" t="n">
        <v>1042.34</v>
      </c>
      <c r="E69" s="15" t="n">
        <v>520.61</v>
      </c>
      <c r="F69" s="15" t="n">
        <v>3727.09</v>
      </c>
      <c r="G69" s="16" t="n">
        <f aca="false">SUM(C69:F69)</f>
        <v>8042.89</v>
      </c>
      <c r="H69" s="28" t="s">
        <v>97</v>
      </c>
      <c r="I69" s="30" t="s">
        <v>102</v>
      </c>
    </row>
    <row r="70" customFormat="false" ht="15" hidden="false" customHeight="false" outlineLevel="0" collapsed="false">
      <c r="A70" s="31" t="s">
        <v>170</v>
      </c>
      <c r="B70" s="32" t="n">
        <v>9</v>
      </c>
      <c r="C70" s="11" t="n">
        <v>2654.61</v>
      </c>
      <c r="D70" s="11" t="n">
        <v>5054.66</v>
      </c>
      <c r="E70" s="11" t="n">
        <v>0</v>
      </c>
      <c r="F70" s="11" t="n">
        <v>313.36</v>
      </c>
      <c r="G70" s="12" t="n">
        <f aca="false">SUM(C70:F70)</f>
        <v>8022.63</v>
      </c>
      <c r="H70" s="31" t="s">
        <v>110</v>
      </c>
      <c r="I70" s="33" t="s">
        <v>95</v>
      </c>
    </row>
    <row r="71" customFormat="false" ht="15" hidden="false" customHeight="false" outlineLevel="0" collapsed="false">
      <c r="A71" s="28" t="s">
        <v>171</v>
      </c>
      <c r="B71" s="29" t="n">
        <v>5</v>
      </c>
      <c r="C71" s="15" t="n">
        <v>0</v>
      </c>
      <c r="D71" s="15" t="n">
        <v>7234.14</v>
      </c>
      <c r="E71" s="15" t="n">
        <v>0</v>
      </c>
      <c r="F71" s="15" t="n">
        <v>767.48</v>
      </c>
      <c r="G71" s="16" t="n">
        <f aca="false">SUM(C71:F71)</f>
        <v>8001.62</v>
      </c>
      <c r="H71" s="28" t="s">
        <v>110</v>
      </c>
      <c r="I71" s="30" t="s">
        <v>108</v>
      </c>
    </row>
    <row r="72" customFormat="false" ht="15" hidden="false" customHeight="false" outlineLevel="0" collapsed="false">
      <c r="A72" s="31" t="s">
        <v>172</v>
      </c>
      <c r="B72" s="32" t="n">
        <v>104</v>
      </c>
      <c r="C72" s="11" t="n">
        <v>2353.45</v>
      </c>
      <c r="D72" s="11" t="n">
        <v>2667.21</v>
      </c>
      <c r="E72" s="11" t="n">
        <v>2493.04</v>
      </c>
      <c r="F72" s="11" t="n">
        <v>437.75</v>
      </c>
      <c r="G72" s="12" t="n">
        <f aca="false">SUM(C72:F72)</f>
        <v>7951.45</v>
      </c>
      <c r="H72" s="31" t="s">
        <v>97</v>
      </c>
      <c r="I72" s="33" t="s">
        <v>102</v>
      </c>
    </row>
    <row r="73" customFormat="false" ht="15" hidden="false" customHeight="false" outlineLevel="0" collapsed="false">
      <c r="A73" s="28" t="s">
        <v>173</v>
      </c>
      <c r="B73" s="29" t="n">
        <v>81</v>
      </c>
      <c r="C73" s="15" t="n">
        <v>1188.11</v>
      </c>
      <c r="D73" s="15" t="n">
        <v>1950.55</v>
      </c>
      <c r="E73" s="15" t="n">
        <v>3632.82</v>
      </c>
      <c r="F73" s="15" t="n">
        <v>890.05</v>
      </c>
      <c r="G73" s="16" t="n">
        <f aca="false">SUM(C73:F73)</f>
        <v>7661.53</v>
      </c>
      <c r="H73" s="28" t="s">
        <v>97</v>
      </c>
      <c r="I73" s="30" t="s">
        <v>102</v>
      </c>
    </row>
    <row r="74" customFormat="false" ht="15" hidden="false" customHeight="false" outlineLevel="0" collapsed="false">
      <c r="A74" s="31" t="s">
        <v>174</v>
      </c>
      <c r="B74" s="32" t="n">
        <v>6</v>
      </c>
      <c r="C74" s="11" t="n">
        <v>0</v>
      </c>
      <c r="D74" s="11" t="n">
        <v>1616.5</v>
      </c>
      <c r="E74" s="11" t="n">
        <v>2710.82</v>
      </c>
      <c r="F74" s="11" t="n">
        <v>3277.91</v>
      </c>
      <c r="G74" s="12" t="n">
        <f aca="false">SUM(C74:F74)</f>
        <v>7605.23</v>
      </c>
      <c r="H74" s="31" t="s">
        <v>110</v>
      </c>
      <c r="I74" s="33" t="s">
        <v>95</v>
      </c>
    </row>
    <row r="75" customFormat="false" ht="15" hidden="false" customHeight="false" outlineLevel="0" collapsed="false">
      <c r="A75" s="28" t="s">
        <v>175</v>
      </c>
      <c r="B75" s="29" t="n">
        <v>48</v>
      </c>
      <c r="C75" s="15" t="n">
        <v>479.17</v>
      </c>
      <c r="D75" s="15" t="n">
        <v>458.04</v>
      </c>
      <c r="E75" s="15" t="n">
        <v>5717.01</v>
      </c>
      <c r="F75" s="15" t="n">
        <v>704.45</v>
      </c>
      <c r="G75" s="16" t="n">
        <f aca="false">SUM(C75:F75)</f>
        <v>7358.67</v>
      </c>
      <c r="H75" s="28" t="s">
        <v>97</v>
      </c>
      <c r="I75" s="30" t="s">
        <v>102</v>
      </c>
    </row>
    <row r="76" customFormat="false" ht="15" hidden="false" customHeight="false" outlineLevel="0" collapsed="false">
      <c r="A76" s="31" t="s">
        <v>176</v>
      </c>
      <c r="B76" s="32" t="n">
        <v>5</v>
      </c>
      <c r="C76" s="11" t="n">
        <v>3540</v>
      </c>
      <c r="D76" s="11" t="n">
        <v>0</v>
      </c>
      <c r="E76" s="11" t="n">
        <v>3425.97</v>
      </c>
      <c r="F76" s="11" t="n">
        <v>295.5</v>
      </c>
      <c r="G76" s="12" t="n">
        <f aca="false">SUM(C76:F76)</f>
        <v>7261.47</v>
      </c>
      <c r="H76" s="31" t="s">
        <v>97</v>
      </c>
      <c r="I76" s="33" t="s">
        <v>95</v>
      </c>
    </row>
    <row r="77" customFormat="false" ht="15" hidden="false" customHeight="false" outlineLevel="0" collapsed="false">
      <c r="A77" s="28" t="s">
        <v>177</v>
      </c>
      <c r="B77" s="29" t="n">
        <v>5</v>
      </c>
      <c r="C77" s="15" t="n">
        <v>0</v>
      </c>
      <c r="D77" s="15" t="n">
        <v>4325.78</v>
      </c>
      <c r="E77" s="15" t="n">
        <v>2745</v>
      </c>
      <c r="F77" s="15" t="n">
        <v>17.65</v>
      </c>
      <c r="G77" s="16" t="n">
        <f aca="false">SUM(C77:F77)</f>
        <v>7088.43</v>
      </c>
      <c r="H77" s="28" t="s">
        <v>97</v>
      </c>
      <c r="I77" s="30" t="s">
        <v>95</v>
      </c>
    </row>
    <row r="78" customFormat="false" ht="15" hidden="false" customHeight="false" outlineLevel="0" collapsed="false">
      <c r="A78" s="31" t="s">
        <v>178</v>
      </c>
      <c r="B78" s="32" t="n">
        <v>58</v>
      </c>
      <c r="C78" s="11" t="n">
        <v>1499.18</v>
      </c>
      <c r="D78" s="11" t="n">
        <v>3557.61</v>
      </c>
      <c r="E78" s="11" t="n">
        <v>647.14</v>
      </c>
      <c r="F78" s="11" t="n">
        <v>1335.39</v>
      </c>
      <c r="G78" s="12" t="n">
        <f aca="false">SUM(C78:F78)</f>
        <v>7039.32</v>
      </c>
      <c r="H78" s="31" t="s">
        <v>97</v>
      </c>
      <c r="I78" s="33" t="s">
        <v>102</v>
      </c>
    </row>
    <row r="79" customFormat="false" ht="15" hidden="false" customHeight="false" outlineLevel="0" collapsed="false">
      <c r="A79" s="28" t="s">
        <v>179</v>
      </c>
      <c r="B79" s="29" t="n">
        <v>5</v>
      </c>
      <c r="C79" s="15" t="n">
        <v>1212.3</v>
      </c>
      <c r="D79" s="15" t="n">
        <v>5423.42</v>
      </c>
      <c r="E79" s="15" t="n">
        <v>0</v>
      </c>
      <c r="F79" s="15" t="n">
        <v>376.1</v>
      </c>
      <c r="G79" s="16" t="n">
        <f aca="false">SUM(C79:F79)</f>
        <v>7011.82</v>
      </c>
      <c r="H79" s="28" t="s">
        <v>110</v>
      </c>
      <c r="I79" s="30" t="s">
        <v>108</v>
      </c>
    </row>
    <row r="80" customFormat="false" ht="15" hidden="false" customHeight="false" outlineLevel="0" collapsed="false">
      <c r="A80" s="31" t="s">
        <v>180</v>
      </c>
      <c r="B80" s="32" t="n">
        <v>2</v>
      </c>
      <c r="C80" s="11" t="n">
        <v>2368.88</v>
      </c>
      <c r="D80" s="11" t="n">
        <v>4553</v>
      </c>
      <c r="E80" s="11" t="n">
        <v>0</v>
      </c>
      <c r="F80" s="11" t="n">
        <v>0</v>
      </c>
      <c r="G80" s="12" t="n">
        <f aca="false">SUM(C80:F80)</f>
        <v>6921.88</v>
      </c>
      <c r="H80" s="31" t="s">
        <v>97</v>
      </c>
      <c r="I80" s="33" t="s">
        <v>95</v>
      </c>
    </row>
    <row r="81" customFormat="false" ht="15" hidden="false" customHeight="false" outlineLevel="0" collapsed="false">
      <c r="A81" s="28" t="s">
        <v>181</v>
      </c>
      <c r="B81" s="29" t="n">
        <v>16</v>
      </c>
      <c r="C81" s="15" t="n">
        <v>143.21</v>
      </c>
      <c r="D81" s="15" t="n">
        <v>-100.59</v>
      </c>
      <c r="E81" s="15" t="n">
        <v>1756.99</v>
      </c>
      <c r="F81" s="15" t="n">
        <v>5076.68</v>
      </c>
      <c r="G81" s="16" t="n">
        <f aca="false">SUM(C81:F81)</f>
        <v>6876.29</v>
      </c>
      <c r="H81" s="28" t="s">
        <v>97</v>
      </c>
      <c r="I81" s="30" t="s">
        <v>108</v>
      </c>
    </row>
    <row r="82" customFormat="false" ht="15" hidden="false" customHeight="false" outlineLevel="0" collapsed="false">
      <c r="A82" s="31" t="s">
        <v>182</v>
      </c>
      <c r="B82" s="32" t="n">
        <v>11</v>
      </c>
      <c r="C82" s="11" t="n">
        <v>147.75</v>
      </c>
      <c r="D82" s="11" t="n">
        <v>2482.6</v>
      </c>
      <c r="E82" s="11" t="n">
        <v>1782.14</v>
      </c>
      <c r="F82" s="11" t="n">
        <v>2439.63</v>
      </c>
      <c r="G82" s="12" t="n">
        <f aca="false">SUM(C82:F82)</f>
        <v>6852.12</v>
      </c>
      <c r="H82" s="31" t="s">
        <v>97</v>
      </c>
      <c r="I82" s="33" t="s">
        <v>108</v>
      </c>
    </row>
    <row r="83" customFormat="false" ht="15" hidden="false" customHeight="false" outlineLevel="0" collapsed="false">
      <c r="A83" s="28" t="s">
        <v>183</v>
      </c>
      <c r="B83" s="29" t="n">
        <v>3</v>
      </c>
      <c r="C83" s="15" t="n">
        <v>2858.88</v>
      </c>
      <c r="D83" s="15" t="n">
        <v>3930</v>
      </c>
      <c r="E83" s="15" t="n">
        <v>0</v>
      </c>
      <c r="F83" s="15" t="n">
        <v>0</v>
      </c>
      <c r="G83" s="16" t="n">
        <f aca="false">SUM(C83:F83)</f>
        <v>6788.88</v>
      </c>
      <c r="H83" s="28" t="s">
        <v>97</v>
      </c>
      <c r="I83" s="30" t="s">
        <v>184</v>
      </c>
    </row>
    <row r="84" customFormat="false" ht="15" hidden="false" customHeight="false" outlineLevel="0" collapsed="false">
      <c r="A84" s="31" t="s">
        <v>185</v>
      </c>
      <c r="B84" s="32" t="n">
        <v>3</v>
      </c>
      <c r="C84" s="11" t="n">
        <v>1137</v>
      </c>
      <c r="D84" s="11" t="n">
        <v>5523.21</v>
      </c>
      <c r="E84" s="11" t="n">
        <v>0</v>
      </c>
      <c r="F84" s="11" t="n">
        <v>17.65</v>
      </c>
      <c r="G84" s="12" t="n">
        <f aca="false">SUM(C84:F84)</f>
        <v>6677.86</v>
      </c>
      <c r="H84" s="31" t="s">
        <v>137</v>
      </c>
      <c r="I84" s="33" t="s">
        <v>95</v>
      </c>
    </row>
    <row r="85" customFormat="false" ht="15" hidden="false" customHeight="false" outlineLevel="0" collapsed="false">
      <c r="A85" s="28" t="s">
        <v>186</v>
      </c>
      <c r="B85" s="29" t="n">
        <v>8</v>
      </c>
      <c r="C85" s="15" t="n">
        <v>0</v>
      </c>
      <c r="D85" s="15" t="n">
        <v>0</v>
      </c>
      <c r="E85" s="15" t="n">
        <v>2092.96</v>
      </c>
      <c r="F85" s="15" t="n">
        <v>4513.83</v>
      </c>
      <c r="G85" s="16" t="n">
        <f aca="false">SUM(C85:F85)</f>
        <v>6606.79</v>
      </c>
      <c r="H85" s="28" t="s">
        <v>110</v>
      </c>
      <c r="I85" s="30" t="s">
        <v>108</v>
      </c>
    </row>
    <row r="86" customFormat="false" ht="15" hidden="false" customHeight="false" outlineLevel="0" collapsed="false">
      <c r="A86" s="31" t="s">
        <v>187</v>
      </c>
      <c r="B86" s="32" t="n">
        <v>6</v>
      </c>
      <c r="C86" s="11" t="n">
        <v>255</v>
      </c>
      <c r="D86" s="11" t="n">
        <v>5624.65</v>
      </c>
      <c r="E86" s="11" t="n">
        <v>0</v>
      </c>
      <c r="F86" s="11" t="n">
        <v>445.69</v>
      </c>
      <c r="G86" s="12" t="n">
        <f aca="false">SUM(C86:F86)</f>
        <v>6325.34</v>
      </c>
      <c r="H86" s="31" t="s">
        <v>110</v>
      </c>
      <c r="I86" s="33" t="s">
        <v>108</v>
      </c>
    </row>
    <row r="87" customFormat="false" ht="15" hidden="false" customHeight="false" outlineLevel="0" collapsed="false">
      <c r="A87" s="28" t="s">
        <v>188</v>
      </c>
      <c r="B87" s="29" t="n">
        <v>8</v>
      </c>
      <c r="C87" s="15" t="n">
        <v>0</v>
      </c>
      <c r="D87" s="15" t="n">
        <v>0</v>
      </c>
      <c r="E87" s="15" t="n">
        <v>3157.22</v>
      </c>
      <c r="F87" s="15" t="n">
        <v>3156.67</v>
      </c>
      <c r="G87" s="16" t="n">
        <f aca="false">SUM(C87:F87)</f>
        <v>6313.89</v>
      </c>
      <c r="H87" s="28" t="s">
        <v>110</v>
      </c>
      <c r="I87" s="30" t="s">
        <v>108</v>
      </c>
    </row>
    <row r="88" customFormat="false" ht="15" hidden="false" customHeight="false" outlineLevel="0" collapsed="false">
      <c r="A88" s="31" t="s">
        <v>189</v>
      </c>
      <c r="B88" s="32" t="n">
        <v>6</v>
      </c>
      <c r="C88" s="11" t="n">
        <v>5375</v>
      </c>
      <c r="D88" s="11" t="n">
        <v>0</v>
      </c>
      <c r="E88" s="11" t="n">
        <v>0</v>
      </c>
      <c r="F88" s="11" t="n">
        <v>796.05</v>
      </c>
      <c r="G88" s="12" t="n">
        <f aca="false">SUM(C88:F88)</f>
        <v>6171.05</v>
      </c>
      <c r="H88" s="31" t="s">
        <v>110</v>
      </c>
      <c r="I88" s="33" t="s">
        <v>108</v>
      </c>
    </row>
    <row r="89" customFormat="false" ht="15" hidden="false" customHeight="false" outlineLevel="0" collapsed="false">
      <c r="A89" s="28" t="s">
        <v>190</v>
      </c>
      <c r="B89" s="29" t="n">
        <v>4</v>
      </c>
      <c r="C89" s="15" t="n">
        <v>0</v>
      </c>
      <c r="D89" s="15" t="n">
        <v>0</v>
      </c>
      <c r="E89" s="15" t="n">
        <v>0</v>
      </c>
      <c r="F89" s="15" t="n">
        <v>6144.7</v>
      </c>
      <c r="G89" s="16" t="n">
        <f aca="false">SUM(C89:F89)</f>
        <v>6144.7</v>
      </c>
      <c r="H89" s="28" t="s">
        <v>107</v>
      </c>
      <c r="I89" s="30" t="s">
        <v>102</v>
      </c>
    </row>
    <row r="90" customFormat="false" ht="15" hidden="false" customHeight="false" outlineLevel="0" collapsed="false">
      <c r="A90" s="31" t="s">
        <v>191</v>
      </c>
      <c r="B90" s="32" t="n">
        <v>7</v>
      </c>
      <c r="C90" s="11" t="n">
        <v>1288.14</v>
      </c>
      <c r="D90" s="11" t="n">
        <v>452.75</v>
      </c>
      <c r="E90" s="11" t="n">
        <v>4315</v>
      </c>
      <c r="F90" s="11" t="n">
        <v>0</v>
      </c>
      <c r="G90" s="12" t="n">
        <f aca="false">SUM(C90:F90)</f>
        <v>6055.89</v>
      </c>
      <c r="H90" s="31" t="s">
        <v>97</v>
      </c>
      <c r="I90" s="33" t="s">
        <v>95</v>
      </c>
    </row>
    <row r="91" customFormat="false" ht="15" hidden="false" customHeight="false" outlineLevel="0" collapsed="false">
      <c r="A91" s="28" t="s">
        <v>192</v>
      </c>
      <c r="B91" s="29" t="n">
        <v>3</v>
      </c>
      <c r="C91" s="15" t="n">
        <v>0</v>
      </c>
      <c r="D91" s="15" t="n">
        <v>0</v>
      </c>
      <c r="E91" s="15" t="n">
        <v>5893.9</v>
      </c>
      <c r="F91" s="15" t="n">
        <v>160.65</v>
      </c>
      <c r="G91" s="16" t="n">
        <f aca="false">SUM(C91:F91)</f>
        <v>6054.55</v>
      </c>
      <c r="H91" s="28" t="s">
        <v>110</v>
      </c>
      <c r="I91" s="30" t="s">
        <v>108</v>
      </c>
    </row>
    <row r="92" customFormat="false" ht="15" hidden="false" customHeight="false" outlineLevel="0" collapsed="false">
      <c r="A92" s="31" t="s">
        <v>193</v>
      </c>
      <c r="B92" s="32" t="n">
        <v>6</v>
      </c>
      <c r="C92" s="11" t="n">
        <v>0</v>
      </c>
      <c r="D92" s="11" t="n">
        <v>4185</v>
      </c>
      <c r="E92" s="11" t="n">
        <v>0</v>
      </c>
      <c r="F92" s="11" t="n">
        <v>1855.98</v>
      </c>
      <c r="G92" s="12" t="n">
        <f aca="false">SUM(C92:F92)</f>
        <v>6040.98</v>
      </c>
      <c r="H92" s="31" t="s">
        <v>110</v>
      </c>
      <c r="I92" s="33" t="s">
        <v>108</v>
      </c>
    </row>
    <row r="93" customFormat="false" ht="15" hidden="false" customHeight="false" outlineLevel="0" collapsed="false">
      <c r="A93" s="28" t="s">
        <v>194</v>
      </c>
      <c r="B93" s="29" t="n">
        <v>191</v>
      </c>
      <c r="C93" s="15" t="n">
        <v>743.52</v>
      </c>
      <c r="D93" s="15" t="n">
        <v>512.29</v>
      </c>
      <c r="E93" s="15" t="n">
        <v>3625.21</v>
      </c>
      <c r="F93" s="15" t="n">
        <v>1126.45</v>
      </c>
      <c r="G93" s="16" t="n">
        <f aca="false">SUM(C93:F93)</f>
        <v>6007.47</v>
      </c>
      <c r="H93" s="28" t="s">
        <v>97</v>
      </c>
      <c r="I93" s="30" t="s">
        <v>102</v>
      </c>
    </row>
    <row r="94" customFormat="false" ht="15" hidden="false" customHeight="false" outlineLevel="0" collapsed="false">
      <c r="A94" s="31" t="s">
        <v>195</v>
      </c>
      <c r="B94" s="32" t="n">
        <v>103</v>
      </c>
      <c r="C94" s="11" t="n">
        <v>1769.02</v>
      </c>
      <c r="D94" s="11" t="n">
        <v>2230.08</v>
      </c>
      <c r="E94" s="11" t="n">
        <v>1718.06</v>
      </c>
      <c r="F94" s="11" t="n">
        <v>279.65</v>
      </c>
      <c r="G94" s="12" t="n">
        <f aca="false">SUM(C94:F94)</f>
        <v>5996.81</v>
      </c>
      <c r="H94" s="31" t="s">
        <v>97</v>
      </c>
      <c r="I94" s="33" t="s">
        <v>102</v>
      </c>
    </row>
    <row r="95" customFormat="false" ht="15" hidden="false" customHeight="false" outlineLevel="0" collapsed="false">
      <c r="A95" s="28" t="s">
        <v>196</v>
      </c>
      <c r="B95" s="29" t="n">
        <v>5</v>
      </c>
      <c r="C95" s="15" t="n">
        <v>0</v>
      </c>
      <c r="D95" s="15" t="n">
        <v>5857.97</v>
      </c>
      <c r="E95" s="15" t="n">
        <v>0</v>
      </c>
      <c r="F95" s="15" t="n">
        <v>90.1</v>
      </c>
      <c r="G95" s="16" t="n">
        <f aca="false">SUM(C95:F95)</f>
        <v>5948.07</v>
      </c>
      <c r="H95" s="28" t="s">
        <v>97</v>
      </c>
      <c r="I95" s="30" t="s">
        <v>95</v>
      </c>
    </row>
    <row r="96" customFormat="false" ht="15" hidden="false" customHeight="false" outlineLevel="0" collapsed="false">
      <c r="A96" s="31" t="s">
        <v>197</v>
      </c>
      <c r="B96" s="32" t="n">
        <v>5</v>
      </c>
      <c r="C96" s="11" t="n">
        <v>0</v>
      </c>
      <c r="D96" s="11" t="n">
        <v>0</v>
      </c>
      <c r="E96" s="11" t="n">
        <v>5439.01</v>
      </c>
      <c r="F96" s="11" t="n">
        <v>505.19</v>
      </c>
      <c r="G96" s="12" t="n">
        <f aca="false">SUM(C96:F96)</f>
        <v>5944.2</v>
      </c>
      <c r="H96" s="31" t="s">
        <v>110</v>
      </c>
      <c r="I96" s="33" t="s">
        <v>108</v>
      </c>
    </row>
    <row r="97" customFormat="false" ht="15" hidden="false" customHeight="false" outlineLevel="0" collapsed="false">
      <c r="A97" s="28" t="s">
        <v>198</v>
      </c>
      <c r="B97" s="29" t="n">
        <v>3</v>
      </c>
      <c r="C97" s="15" t="n">
        <v>5643.5</v>
      </c>
      <c r="D97" s="15" t="n">
        <v>0</v>
      </c>
      <c r="E97" s="15" t="n">
        <v>0</v>
      </c>
      <c r="F97" s="15" t="n">
        <v>0</v>
      </c>
      <c r="G97" s="16" t="n">
        <f aca="false">SUM(C97:F97)</f>
        <v>5643.5</v>
      </c>
      <c r="H97" s="28" t="s">
        <v>97</v>
      </c>
      <c r="I97" s="30" t="s">
        <v>184</v>
      </c>
    </row>
    <row r="98" customFormat="false" ht="15" hidden="false" customHeight="false" outlineLevel="0" collapsed="false">
      <c r="A98" s="31" t="s">
        <v>199</v>
      </c>
      <c r="B98" s="32" t="n">
        <v>2</v>
      </c>
      <c r="C98" s="11" t="n">
        <v>0</v>
      </c>
      <c r="D98" s="11" t="n">
        <v>5624</v>
      </c>
      <c r="E98" s="11" t="n">
        <v>0</v>
      </c>
      <c r="F98" s="11" t="n">
        <v>17.65</v>
      </c>
      <c r="G98" s="12" t="n">
        <f aca="false">SUM(C98:F98)</f>
        <v>5641.65</v>
      </c>
      <c r="H98" s="31" t="s">
        <v>97</v>
      </c>
      <c r="I98" s="33" t="s">
        <v>95</v>
      </c>
    </row>
    <row r="99" customFormat="false" ht="15" hidden="false" customHeight="false" outlineLevel="0" collapsed="false">
      <c r="A99" s="28" t="s">
        <v>200</v>
      </c>
      <c r="B99" s="29" t="n">
        <v>14</v>
      </c>
      <c r="C99" s="15" t="n">
        <v>152.1</v>
      </c>
      <c r="D99" s="15" t="n">
        <v>982.35</v>
      </c>
      <c r="E99" s="15" t="n">
        <v>4299.3</v>
      </c>
      <c r="F99" s="15" t="n">
        <v>88.25</v>
      </c>
      <c r="G99" s="16" t="n">
        <f aca="false">SUM(C99:F99)</f>
        <v>5522</v>
      </c>
      <c r="H99" s="28" t="s">
        <v>97</v>
      </c>
      <c r="I99" s="30" t="s">
        <v>108</v>
      </c>
    </row>
    <row r="100" customFormat="false" ht="15" hidden="false" customHeight="false" outlineLevel="0" collapsed="false">
      <c r="A100" s="31" t="s">
        <v>201</v>
      </c>
      <c r="B100" s="32" t="n">
        <v>2</v>
      </c>
      <c r="C100" s="11" t="n">
        <v>0</v>
      </c>
      <c r="D100" s="11" t="n">
        <v>3190.84</v>
      </c>
      <c r="E100" s="11" t="n">
        <v>2206.54</v>
      </c>
      <c r="F100" s="11" t="n">
        <v>0</v>
      </c>
      <c r="G100" s="12" t="n">
        <f aca="false">SUM(C100:F100)</f>
        <v>5397.38</v>
      </c>
      <c r="H100" s="31" t="s">
        <v>202</v>
      </c>
      <c r="I100" s="33" t="s">
        <v>95</v>
      </c>
    </row>
    <row r="101" customFormat="false" ht="15" hidden="false" customHeight="false" outlineLevel="0" collapsed="false">
      <c r="A101" s="28" t="s">
        <v>203</v>
      </c>
      <c r="B101" s="29" t="n">
        <v>16</v>
      </c>
      <c r="C101" s="15" t="n">
        <v>5368.42</v>
      </c>
      <c r="D101" s="15" t="n">
        <v>0</v>
      </c>
      <c r="E101" s="15" t="n">
        <v>0</v>
      </c>
      <c r="F101" s="15" t="n">
        <v>0</v>
      </c>
      <c r="G101" s="16" t="n">
        <f aca="false">SUM(C101:F101)</f>
        <v>5368.42</v>
      </c>
      <c r="H101" s="28" t="s">
        <v>100</v>
      </c>
      <c r="I101" s="30" t="s">
        <v>204</v>
      </c>
    </row>
    <row r="102" customFormat="false" ht="15" hidden="false" customHeight="false" outlineLevel="0" collapsed="false">
      <c r="A102" s="31" t="s">
        <v>205</v>
      </c>
      <c r="B102" s="32" t="n">
        <v>36</v>
      </c>
      <c r="C102" s="11" t="n">
        <v>1293.96</v>
      </c>
      <c r="D102" s="11" t="n">
        <v>383.64</v>
      </c>
      <c r="E102" s="11" t="n">
        <v>2445.42</v>
      </c>
      <c r="F102" s="11" t="n">
        <v>1081.25</v>
      </c>
      <c r="G102" s="12" t="n">
        <f aca="false">SUM(C102:F102)</f>
        <v>5204.27</v>
      </c>
      <c r="H102" s="31" t="s">
        <v>97</v>
      </c>
      <c r="I102" s="33" t="s">
        <v>108</v>
      </c>
    </row>
    <row r="103" customFormat="false" ht="15" hidden="false" customHeight="false" outlineLevel="0" collapsed="false">
      <c r="A103" s="28" t="s">
        <v>206</v>
      </c>
      <c r="B103" s="29" t="n">
        <v>3</v>
      </c>
      <c r="C103" s="15" t="n">
        <v>1668.68</v>
      </c>
      <c r="D103" s="15" t="n">
        <v>3500</v>
      </c>
      <c r="E103" s="15" t="n">
        <v>0</v>
      </c>
      <c r="F103" s="15" t="n">
        <v>17.65</v>
      </c>
      <c r="G103" s="16" t="n">
        <f aca="false">SUM(C103:F103)</f>
        <v>5186.33</v>
      </c>
      <c r="H103" s="28" t="s">
        <v>97</v>
      </c>
      <c r="I103" s="30" t="s">
        <v>95</v>
      </c>
    </row>
    <row r="104" customFormat="false" ht="15" hidden="false" customHeight="false" outlineLevel="0" collapsed="false">
      <c r="A104" s="31" t="s">
        <v>207</v>
      </c>
      <c r="B104" s="32" t="n">
        <v>2</v>
      </c>
      <c r="C104" s="11" t="n">
        <v>1622.7</v>
      </c>
      <c r="D104" s="11" t="n">
        <v>0</v>
      </c>
      <c r="E104" s="11" t="n">
        <v>3519.91</v>
      </c>
      <c r="F104" s="11" t="n">
        <v>0</v>
      </c>
      <c r="G104" s="12" t="n">
        <f aca="false">SUM(C104:F104)</f>
        <v>5142.61</v>
      </c>
      <c r="H104" s="31" t="s">
        <v>97</v>
      </c>
      <c r="I104" s="33" t="s">
        <v>95</v>
      </c>
    </row>
    <row r="105" customFormat="false" ht="15" hidden="false" customHeight="false" outlineLevel="0" collapsed="false">
      <c r="A105" s="28" t="s">
        <v>208</v>
      </c>
      <c r="B105" s="29" t="n">
        <v>11</v>
      </c>
      <c r="C105" s="15" t="n">
        <v>2410</v>
      </c>
      <c r="D105" s="15" t="n">
        <v>0</v>
      </c>
      <c r="E105" s="15" t="n">
        <v>1636.72</v>
      </c>
      <c r="F105" s="15" t="n">
        <v>1052.51</v>
      </c>
      <c r="G105" s="16" t="n">
        <f aca="false">SUM(C105:F105)</f>
        <v>5099.23</v>
      </c>
      <c r="H105" s="28" t="s">
        <v>110</v>
      </c>
      <c r="I105" s="30" t="s">
        <v>108</v>
      </c>
    </row>
    <row r="106" customFormat="false" ht="15" hidden="false" customHeight="false" outlineLevel="0" collapsed="false">
      <c r="A106" s="31" t="s">
        <v>209</v>
      </c>
      <c r="B106" s="32" t="n">
        <v>45</v>
      </c>
      <c r="C106" s="11" t="n">
        <v>1898.86</v>
      </c>
      <c r="D106" s="11" t="n">
        <v>1718.16</v>
      </c>
      <c r="E106" s="11" t="n">
        <v>1161.77</v>
      </c>
      <c r="F106" s="11" t="n">
        <v>312.33</v>
      </c>
      <c r="G106" s="12" t="n">
        <f aca="false">SUM(C106:F106)</f>
        <v>5091.12</v>
      </c>
      <c r="H106" s="31" t="s">
        <v>97</v>
      </c>
      <c r="I106" s="33" t="s">
        <v>102</v>
      </c>
    </row>
    <row r="107" customFormat="false" ht="15" hidden="false" customHeight="false" outlineLevel="0" collapsed="false">
      <c r="A107" s="28" t="s">
        <v>210</v>
      </c>
      <c r="B107" s="29" t="n">
        <v>2</v>
      </c>
      <c r="C107" s="15" t="n">
        <v>0</v>
      </c>
      <c r="D107" s="15" t="n">
        <v>3950.25</v>
      </c>
      <c r="E107" s="15" t="n">
        <v>0</v>
      </c>
      <c r="F107" s="15" t="n">
        <v>1112.74</v>
      </c>
      <c r="G107" s="16" t="n">
        <f aca="false">SUM(C107:F107)</f>
        <v>5062.99</v>
      </c>
      <c r="H107" s="28" t="s">
        <v>202</v>
      </c>
      <c r="I107" s="30" t="s">
        <v>95</v>
      </c>
    </row>
    <row r="108" customFormat="false" ht="15" hidden="false" customHeight="false" outlineLevel="0" collapsed="false">
      <c r="A108" s="31" t="s">
        <v>211</v>
      </c>
      <c r="B108" s="32" t="n">
        <v>11</v>
      </c>
      <c r="C108" s="11" t="n">
        <v>0</v>
      </c>
      <c r="D108" s="11" t="n">
        <v>0</v>
      </c>
      <c r="E108" s="11" t="n">
        <v>4600</v>
      </c>
      <c r="F108" s="11" t="n">
        <v>176.5</v>
      </c>
      <c r="G108" s="12" t="n">
        <f aca="false">SUM(C108:F108)</f>
        <v>4776.5</v>
      </c>
      <c r="H108" s="31" t="s">
        <v>110</v>
      </c>
      <c r="I108" s="33" t="s">
        <v>108</v>
      </c>
    </row>
    <row r="109" customFormat="false" ht="15" hidden="false" customHeight="false" outlineLevel="0" collapsed="false">
      <c r="A109" s="28" t="s">
        <v>212</v>
      </c>
      <c r="B109" s="29" t="n">
        <v>54</v>
      </c>
      <c r="C109" s="15" t="n">
        <v>872.08</v>
      </c>
      <c r="D109" s="15" t="n">
        <v>845.08</v>
      </c>
      <c r="E109" s="15" t="n">
        <v>663.33</v>
      </c>
      <c r="F109" s="15" t="n">
        <v>2280.15</v>
      </c>
      <c r="G109" s="16" t="n">
        <f aca="false">SUM(C109:F109)</f>
        <v>4660.64</v>
      </c>
      <c r="H109" s="28" t="s">
        <v>97</v>
      </c>
      <c r="I109" s="30" t="s">
        <v>102</v>
      </c>
    </row>
    <row r="110" customFormat="false" ht="15" hidden="false" customHeight="false" outlineLevel="0" collapsed="false">
      <c r="A110" s="31" t="s">
        <v>213</v>
      </c>
      <c r="B110" s="32" t="n">
        <v>2</v>
      </c>
      <c r="C110" s="11" t="n">
        <v>4542.12</v>
      </c>
      <c r="D110" s="11" t="n">
        <v>0</v>
      </c>
      <c r="E110" s="11" t="n">
        <v>0</v>
      </c>
      <c r="F110" s="11" t="n">
        <v>0</v>
      </c>
      <c r="G110" s="12" t="n">
        <f aca="false">SUM(C110:F110)</f>
        <v>4542.12</v>
      </c>
      <c r="H110" s="31" t="s">
        <v>97</v>
      </c>
      <c r="I110" s="33" t="s">
        <v>95</v>
      </c>
    </row>
    <row r="111" customFormat="false" ht="15" hidden="false" customHeight="false" outlineLevel="0" collapsed="false">
      <c r="A111" s="28" t="s">
        <v>214</v>
      </c>
      <c r="B111" s="29" t="n">
        <v>2</v>
      </c>
      <c r="C111" s="15" t="n">
        <v>557.8</v>
      </c>
      <c r="D111" s="15" t="n">
        <v>3959.5</v>
      </c>
      <c r="E111" s="15" t="n">
        <v>0</v>
      </c>
      <c r="F111" s="15" t="n">
        <v>0</v>
      </c>
      <c r="G111" s="16" t="n">
        <f aca="false">SUM(C111:F111)</f>
        <v>4517.3</v>
      </c>
      <c r="H111" s="28" t="s">
        <v>97</v>
      </c>
      <c r="I111" s="30" t="s">
        <v>95</v>
      </c>
    </row>
    <row r="112" customFormat="false" ht="15" hidden="false" customHeight="false" outlineLevel="0" collapsed="false">
      <c r="A112" s="31" t="s">
        <v>215</v>
      </c>
      <c r="B112" s="32" t="n">
        <v>10</v>
      </c>
      <c r="C112" s="11" t="n">
        <v>157.67</v>
      </c>
      <c r="D112" s="11" t="n">
        <v>1840</v>
      </c>
      <c r="E112" s="11" t="n">
        <v>1954.1</v>
      </c>
      <c r="F112" s="11" t="n">
        <v>379.9</v>
      </c>
      <c r="G112" s="12" t="n">
        <f aca="false">SUM(C112:F112)</f>
        <v>4331.67</v>
      </c>
      <c r="H112" s="31" t="s">
        <v>97</v>
      </c>
      <c r="I112" s="33" t="s">
        <v>102</v>
      </c>
    </row>
    <row r="113" customFormat="false" ht="15" hidden="false" customHeight="false" outlineLevel="0" collapsed="false">
      <c r="A113" s="28" t="s">
        <v>216</v>
      </c>
      <c r="B113" s="29" t="n">
        <v>2</v>
      </c>
      <c r="C113" s="15" t="n">
        <v>3360.82</v>
      </c>
      <c r="D113" s="15" t="n">
        <v>940.5</v>
      </c>
      <c r="E113" s="15" t="n">
        <v>0</v>
      </c>
      <c r="F113" s="15" t="n">
        <v>0</v>
      </c>
      <c r="G113" s="16" t="n">
        <f aca="false">SUM(C113:F113)</f>
        <v>4301.32</v>
      </c>
      <c r="H113" s="28" t="s">
        <v>97</v>
      </c>
      <c r="I113" s="30" t="s">
        <v>95</v>
      </c>
    </row>
    <row r="114" customFormat="false" ht="15" hidden="false" customHeight="false" outlineLevel="0" collapsed="false">
      <c r="A114" s="31" t="s">
        <v>217</v>
      </c>
      <c r="B114" s="32" t="n">
        <v>2</v>
      </c>
      <c r="C114" s="11" t="n">
        <v>0</v>
      </c>
      <c r="D114" s="11" t="n">
        <v>3002.72</v>
      </c>
      <c r="E114" s="11" t="n">
        <v>0</v>
      </c>
      <c r="F114" s="11" t="n">
        <v>1275</v>
      </c>
      <c r="G114" s="12" t="n">
        <f aca="false">SUM(C114:F114)</f>
        <v>4277.72</v>
      </c>
      <c r="H114" s="31" t="s">
        <v>97</v>
      </c>
      <c r="I114" s="33" t="s">
        <v>95</v>
      </c>
    </row>
    <row r="115" customFormat="false" ht="15" hidden="false" customHeight="false" outlineLevel="0" collapsed="false">
      <c r="A115" s="28" t="s">
        <v>218</v>
      </c>
      <c r="B115" s="29" t="n">
        <v>2</v>
      </c>
      <c r="C115" s="15" t="n">
        <v>0</v>
      </c>
      <c r="D115" s="15" t="n">
        <v>4245.78</v>
      </c>
      <c r="E115" s="15" t="n">
        <v>0</v>
      </c>
      <c r="F115" s="15" t="n">
        <v>0</v>
      </c>
      <c r="G115" s="16" t="n">
        <f aca="false">SUM(C115:F115)</f>
        <v>4245.78</v>
      </c>
      <c r="H115" s="28" t="s">
        <v>97</v>
      </c>
      <c r="I115" s="30" t="s">
        <v>95</v>
      </c>
    </row>
    <row r="116" customFormat="false" ht="15" hidden="false" customHeight="false" outlineLevel="0" collapsed="false">
      <c r="A116" s="31" t="s">
        <v>219</v>
      </c>
      <c r="B116" s="32" t="n">
        <v>4</v>
      </c>
      <c r="C116" s="11" t="n">
        <v>0</v>
      </c>
      <c r="D116" s="11" t="n">
        <v>3505</v>
      </c>
      <c r="E116" s="11" t="n">
        <v>0</v>
      </c>
      <c r="F116" s="11" t="n">
        <v>696.28</v>
      </c>
      <c r="G116" s="12" t="n">
        <f aca="false">SUM(C116:F116)</f>
        <v>4201.28</v>
      </c>
      <c r="H116" s="31" t="s">
        <v>110</v>
      </c>
      <c r="I116" s="33" t="s">
        <v>108</v>
      </c>
    </row>
    <row r="117" customFormat="false" ht="15" hidden="false" customHeight="false" outlineLevel="0" collapsed="false">
      <c r="A117" s="28" t="s">
        <v>220</v>
      </c>
      <c r="B117" s="29" t="n">
        <v>6</v>
      </c>
      <c r="C117" s="15" t="n">
        <v>0</v>
      </c>
      <c r="D117" s="15" t="n">
        <v>0</v>
      </c>
      <c r="E117" s="15" t="n">
        <v>0</v>
      </c>
      <c r="F117" s="15" t="n">
        <v>4196.49</v>
      </c>
      <c r="G117" s="16" t="n">
        <f aca="false">SUM(C117:F117)</f>
        <v>4196.49</v>
      </c>
      <c r="H117" s="28" t="s">
        <v>110</v>
      </c>
      <c r="I117" s="30" t="s">
        <v>108</v>
      </c>
    </row>
    <row r="118" customFormat="false" ht="15" hidden="false" customHeight="false" outlineLevel="0" collapsed="false">
      <c r="A118" s="31" t="s">
        <v>221</v>
      </c>
      <c r="B118" s="32" t="n">
        <v>44</v>
      </c>
      <c r="C118" s="11" t="n">
        <v>356.82</v>
      </c>
      <c r="D118" s="11" t="n">
        <v>346.45</v>
      </c>
      <c r="E118" s="11" t="n">
        <v>3181.4</v>
      </c>
      <c r="F118" s="11" t="n">
        <v>279.7</v>
      </c>
      <c r="G118" s="12" t="n">
        <f aca="false">SUM(C118:F118)</f>
        <v>4164.37</v>
      </c>
      <c r="H118" s="31" t="s">
        <v>97</v>
      </c>
      <c r="I118" s="33" t="s">
        <v>102</v>
      </c>
    </row>
    <row r="119" customFormat="false" ht="15" hidden="false" customHeight="false" outlineLevel="0" collapsed="false">
      <c r="A119" s="28" t="s">
        <v>222</v>
      </c>
      <c r="B119" s="29" t="n">
        <v>5</v>
      </c>
      <c r="C119" s="15" t="n">
        <v>4104.13</v>
      </c>
      <c r="D119" s="15" t="n">
        <v>0</v>
      </c>
      <c r="E119" s="15" t="n">
        <v>0</v>
      </c>
      <c r="F119" s="15" t="n">
        <v>0</v>
      </c>
      <c r="G119" s="16" t="n">
        <f aca="false">SUM(C119:F119)</f>
        <v>4104.13</v>
      </c>
      <c r="H119" s="28" t="s">
        <v>97</v>
      </c>
      <c r="I119" s="30" t="s">
        <v>95</v>
      </c>
    </row>
    <row r="120" customFormat="false" ht="15" hidden="false" customHeight="false" outlineLevel="0" collapsed="false">
      <c r="A120" s="31" t="s">
        <v>223</v>
      </c>
      <c r="B120" s="32" t="n">
        <v>4</v>
      </c>
      <c r="C120" s="11" t="n">
        <v>0</v>
      </c>
      <c r="D120" s="11" t="n">
        <v>0</v>
      </c>
      <c r="E120" s="11" t="n">
        <v>3780</v>
      </c>
      <c r="F120" s="11" t="n">
        <v>233.1</v>
      </c>
      <c r="G120" s="12" t="n">
        <f aca="false">SUM(C120:F120)</f>
        <v>4013.1</v>
      </c>
      <c r="H120" s="31" t="s">
        <v>110</v>
      </c>
      <c r="I120" s="33" t="s">
        <v>108</v>
      </c>
    </row>
    <row r="121" customFormat="false" ht="15" hidden="false" customHeight="false" outlineLevel="0" collapsed="false">
      <c r="A121" s="28" t="s">
        <v>224</v>
      </c>
      <c r="B121" s="29" t="n">
        <v>14</v>
      </c>
      <c r="C121" s="15" t="n">
        <v>137.62</v>
      </c>
      <c r="D121" s="15" t="n">
        <v>0</v>
      </c>
      <c r="E121" s="15" t="n">
        <v>0</v>
      </c>
      <c r="F121" s="15" t="n">
        <v>3862.95</v>
      </c>
      <c r="G121" s="16" t="n">
        <f aca="false">SUM(C121:F121)</f>
        <v>4000.57</v>
      </c>
      <c r="H121" s="28" t="s">
        <v>110</v>
      </c>
      <c r="I121" s="30" t="s">
        <v>108</v>
      </c>
    </row>
    <row r="122" customFormat="false" ht="15" hidden="false" customHeight="false" outlineLevel="0" collapsed="false">
      <c r="A122" s="31" t="s">
        <v>225</v>
      </c>
      <c r="B122" s="32" t="n">
        <v>5</v>
      </c>
      <c r="C122" s="11" t="n">
        <v>0</v>
      </c>
      <c r="D122" s="11" t="n">
        <v>0</v>
      </c>
      <c r="E122" s="11" t="n">
        <v>0</v>
      </c>
      <c r="F122" s="11" t="n">
        <v>3915.42</v>
      </c>
      <c r="G122" s="12" t="n">
        <f aca="false">SUM(C122:F122)</f>
        <v>3915.42</v>
      </c>
      <c r="H122" s="31" t="s">
        <v>110</v>
      </c>
      <c r="I122" s="33" t="s">
        <v>108</v>
      </c>
    </row>
    <row r="123" customFormat="false" ht="15" hidden="false" customHeight="false" outlineLevel="0" collapsed="false">
      <c r="A123" s="28" t="s">
        <v>226</v>
      </c>
      <c r="B123" s="29" t="n">
        <v>5</v>
      </c>
      <c r="C123" s="15" t="n">
        <v>0</v>
      </c>
      <c r="D123" s="15" t="n">
        <v>0</v>
      </c>
      <c r="E123" s="15" t="n">
        <v>3446.67</v>
      </c>
      <c r="F123" s="15" t="n">
        <v>441.84</v>
      </c>
      <c r="G123" s="16" t="n">
        <f aca="false">SUM(C123:F123)</f>
        <v>3888.51</v>
      </c>
      <c r="H123" s="28" t="s">
        <v>110</v>
      </c>
      <c r="I123" s="30" t="s">
        <v>108</v>
      </c>
    </row>
    <row r="124" customFormat="false" ht="15" hidden="false" customHeight="false" outlineLevel="0" collapsed="false">
      <c r="A124" s="31" t="s">
        <v>227</v>
      </c>
      <c r="B124" s="32" t="n">
        <v>2</v>
      </c>
      <c r="C124" s="11" t="n">
        <v>0</v>
      </c>
      <c r="D124" s="11" t="n">
        <v>3887.56</v>
      </c>
      <c r="E124" s="11" t="n">
        <v>0</v>
      </c>
      <c r="F124" s="11" t="n">
        <v>0</v>
      </c>
      <c r="G124" s="12" t="n">
        <f aca="false">SUM(C124:F124)</f>
        <v>3887.56</v>
      </c>
      <c r="H124" s="31" t="s">
        <v>228</v>
      </c>
      <c r="I124" s="33" t="s">
        <v>95</v>
      </c>
    </row>
    <row r="125" customFormat="false" ht="15" hidden="false" customHeight="false" outlineLevel="0" collapsed="false">
      <c r="A125" s="28" t="s">
        <v>229</v>
      </c>
      <c r="B125" s="29" t="n">
        <v>46</v>
      </c>
      <c r="C125" s="15" t="n">
        <v>2740.16</v>
      </c>
      <c r="D125" s="15" t="n">
        <v>323.63</v>
      </c>
      <c r="E125" s="15" t="n">
        <v>378.47</v>
      </c>
      <c r="F125" s="15" t="n">
        <v>286.24</v>
      </c>
      <c r="G125" s="16" t="n">
        <f aca="false">SUM(C125:F125)</f>
        <v>3728.5</v>
      </c>
      <c r="H125" s="28" t="s">
        <v>97</v>
      </c>
      <c r="I125" s="30" t="s">
        <v>102</v>
      </c>
    </row>
    <row r="126" customFormat="false" ht="15" hidden="false" customHeight="false" outlineLevel="0" collapsed="false">
      <c r="A126" s="31" t="s">
        <v>230</v>
      </c>
      <c r="B126" s="32" t="n">
        <v>14</v>
      </c>
      <c r="C126" s="11" t="n">
        <v>219.95</v>
      </c>
      <c r="D126" s="11" t="n">
        <v>2264.86</v>
      </c>
      <c r="E126" s="11" t="n">
        <v>0</v>
      </c>
      <c r="F126" s="11" t="n">
        <v>1217.53</v>
      </c>
      <c r="G126" s="12" t="n">
        <f aca="false">SUM(C126:F126)</f>
        <v>3702.34</v>
      </c>
      <c r="H126" s="31" t="s">
        <v>97</v>
      </c>
      <c r="I126" s="33" t="s">
        <v>108</v>
      </c>
    </row>
    <row r="127" customFormat="false" ht="15" hidden="false" customHeight="false" outlineLevel="0" collapsed="false">
      <c r="A127" s="28" t="s">
        <v>231</v>
      </c>
      <c r="B127" s="29" t="n">
        <v>4</v>
      </c>
      <c r="C127" s="15" t="n">
        <v>0</v>
      </c>
      <c r="D127" s="15" t="n">
        <v>0</v>
      </c>
      <c r="E127" s="15" t="n">
        <v>1313.5</v>
      </c>
      <c r="F127" s="15" t="n">
        <v>2388.74</v>
      </c>
      <c r="G127" s="16" t="n">
        <f aca="false">SUM(C127:F127)</f>
        <v>3702.24</v>
      </c>
      <c r="H127" s="28" t="s">
        <v>110</v>
      </c>
      <c r="I127" s="30" t="s">
        <v>95</v>
      </c>
    </row>
    <row r="128" customFormat="false" ht="15" hidden="false" customHeight="false" outlineLevel="0" collapsed="false">
      <c r="A128" s="31" t="s">
        <v>232</v>
      </c>
      <c r="B128" s="32" t="n">
        <v>7</v>
      </c>
      <c r="C128" s="11" t="n">
        <v>0</v>
      </c>
      <c r="D128" s="11" t="n">
        <v>1980</v>
      </c>
      <c r="E128" s="11" t="n">
        <v>0</v>
      </c>
      <c r="F128" s="11" t="n">
        <v>1677.05</v>
      </c>
      <c r="G128" s="12" t="n">
        <f aca="false">SUM(C128:F128)</f>
        <v>3657.05</v>
      </c>
      <c r="H128" s="31" t="s">
        <v>110</v>
      </c>
      <c r="I128" s="33" t="s">
        <v>108</v>
      </c>
    </row>
    <row r="129" customFormat="false" ht="15" hidden="false" customHeight="false" outlineLevel="0" collapsed="false">
      <c r="A129" s="28" t="s">
        <v>233</v>
      </c>
      <c r="B129" s="29" t="n">
        <v>9</v>
      </c>
      <c r="C129" s="15" t="n">
        <v>214.25</v>
      </c>
      <c r="D129" s="15" t="n">
        <v>879.13</v>
      </c>
      <c r="E129" s="15" t="n">
        <v>1517.07</v>
      </c>
      <c r="F129" s="15" t="n">
        <v>963.9</v>
      </c>
      <c r="G129" s="16" t="n">
        <f aca="false">SUM(C129:F129)</f>
        <v>3574.35</v>
      </c>
      <c r="H129" s="28" t="s">
        <v>97</v>
      </c>
      <c r="I129" s="30" t="s">
        <v>95</v>
      </c>
    </row>
    <row r="130" customFormat="false" ht="15" hidden="false" customHeight="false" outlineLevel="0" collapsed="false">
      <c r="A130" s="31" t="s">
        <v>234</v>
      </c>
      <c r="B130" s="32" t="n">
        <v>5</v>
      </c>
      <c r="C130" s="11" t="n">
        <v>0</v>
      </c>
      <c r="D130" s="11" t="n">
        <v>2280</v>
      </c>
      <c r="E130" s="11" t="n">
        <v>870</v>
      </c>
      <c r="F130" s="11" t="n">
        <v>366.85</v>
      </c>
      <c r="G130" s="12" t="n">
        <f aca="false">SUM(C130:F130)</f>
        <v>3516.85</v>
      </c>
      <c r="H130" s="31" t="s">
        <v>110</v>
      </c>
      <c r="I130" s="33" t="s">
        <v>108</v>
      </c>
    </row>
    <row r="131" customFormat="false" ht="15" hidden="false" customHeight="false" outlineLevel="0" collapsed="false">
      <c r="A131" s="28" t="s">
        <v>235</v>
      </c>
      <c r="B131" s="29" t="n">
        <v>5</v>
      </c>
      <c r="C131" s="15" t="n">
        <v>0</v>
      </c>
      <c r="D131" s="15" t="n">
        <v>2356.96</v>
      </c>
      <c r="E131" s="15" t="n">
        <v>0</v>
      </c>
      <c r="F131" s="15" t="n">
        <v>1088.65</v>
      </c>
      <c r="G131" s="16" t="n">
        <f aca="false">SUM(C131:F131)</f>
        <v>3445.61</v>
      </c>
      <c r="H131" s="28" t="s">
        <v>110</v>
      </c>
      <c r="I131" s="30" t="s">
        <v>108</v>
      </c>
    </row>
    <row r="132" customFormat="false" ht="15" hidden="false" customHeight="false" outlineLevel="0" collapsed="false">
      <c r="A132" s="31" t="s">
        <v>236</v>
      </c>
      <c r="B132" s="32" t="n">
        <v>43</v>
      </c>
      <c r="C132" s="11" t="n">
        <v>1044.69</v>
      </c>
      <c r="D132" s="11" t="n">
        <v>323.64</v>
      </c>
      <c r="E132" s="11" t="n">
        <v>967.18</v>
      </c>
      <c r="F132" s="11" t="n">
        <v>1108.1</v>
      </c>
      <c r="G132" s="12" t="n">
        <f aca="false">SUM(C132:F132)</f>
        <v>3443.61</v>
      </c>
      <c r="H132" s="31" t="s">
        <v>97</v>
      </c>
      <c r="I132" s="33" t="s">
        <v>102</v>
      </c>
    </row>
    <row r="133" customFormat="false" ht="15" hidden="false" customHeight="false" outlineLevel="0" collapsed="false">
      <c r="A133" s="28" t="s">
        <v>237</v>
      </c>
      <c r="B133" s="29" t="n">
        <v>14</v>
      </c>
      <c r="C133" s="15" t="n">
        <v>391.72</v>
      </c>
      <c r="D133" s="15" t="n">
        <v>2952</v>
      </c>
      <c r="E133" s="15" t="n">
        <v>0</v>
      </c>
      <c r="F133" s="15" t="n">
        <v>0</v>
      </c>
      <c r="G133" s="16" t="n">
        <f aca="false">SUM(C133:F133)</f>
        <v>3343.72</v>
      </c>
      <c r="H133" s="28" t="s">
        <v>97</v>
      </c>
      <c r="I133" s="30" t="s">
        <v>95</v>
      </c>
    </row>
    <row r="134" customFormat="false" ht="15" hidden="false" customHeight="false" outlineLevel="0" collapsed="false">
      <c r="A134" s="31" t="s">
        <v>238</v>
      </c>
      <c r="B134" s="32" t="n">
        <v>1</v>
      </c>
      <c r="C134" s="11" t="n">
        <v>0</v>
      </c>
      <c r="D134" s="11" t="n">
        <v>3280</v>
      </c>
      <c r="E134" s="11" t="n">
        <v>0</v>
      </c>
      <c r="F134" s="11" t="n">
        <v>0</v>
      </c>
      <c r="G134" s="12" t="n">
        <f aca="false">SUM(C134:F134)</f>
        <v>3280</v>
      </c>
      <c r="H134" s="31" t="s">
        <v>137</v>
      </c>
      <c r="I134" s="33" t="s">
        <v>95</v>
      </c>
    </row>
    <row r="135" customFormat="false" ht="15" hidden="false" customHeight="false" outlineLevel="0" collapsed="false">
      <c r="A135" s="28" t="s">
        <v>239</v>
      </c>
      <c r="B135" s="29" t="n">
        <v>11</v>
      </c>
      <c r="C135" s="15" t="n">
        <v>1058.06</v>
      </c>
      <c r="D135" s="15" t="n">
        <v>0</v>
      </c>
      <c r="E135" s="15" t="n">
        <v>0</v>
      </c>
      <c r="F135" s="15" t="n">
        <v>2207.98</v>
      </c>
      <c r="G135" s="16" t="n">
        <f aca="false">SUM(C135:F135)</f>
        <v>3266.04</v>
      </c>
      <c r="H135" s="28" t="s">
        <v>97</v>
      </c>
      <c r="I135" s="30" t="s">
        <v>108</v>
      </c>
    </row>
    <row r="136" customFormat="false" ht="15" hidden="false" customHeight="false" outlineLevel="0" collapsed="false">
      <c r="A136" s="31" t="s">
        <v>240</v>
      </c>
      <c r="B136" s="32" t="n">
        <v>20</v>
      </c>
      <c r="C136" s="11" t="n">
        <v>1992.01</v>
      </c>
      <c r="D136" s="11" t="n">
        <v>0</v>
      </c>
      <c r="E136" s="11" t="n">
        <v>0</v>
      </c>
      <c r="F136" s="11" t="n">
        <v>1267.17</v>
      </c>
      <c r="G136" s="12" t="n">
        <f aca="false">SUM(C136:F136)</f>
        <v>3259.18</v>
      </c>
      <c r="H136" s="31" t="s">
        <v>97</v>
      </c>
      <c r="I136" s="33" t="s">
        <v>115</v>
      </c>
    </row>
    <row r="137" customFormat="false" ht="15" hidden="false" customHeight="false" outlineLevel="0" collapsed="false">
      <c r="A137" s="28" t="s">
        <v>241</v>
      </c>
      <c r="B137" s="29" t="n">
        <v>1</v>
      </c>
      <c r="C137" s="15" t="n">
        <v>0</v>
      </c>
      <c r="D137" s="15" t="n">
        <v>0</v>
      </c>
      <c r="E137" s="15" t="n">
        <v>3228.17</v>
      </c>
      <c r="F137" s="15" t="n">
        <v>0</v>
      </c>
      <c r="G137" s="16" t="n">
        <f aca="false">SUM(C137:F137)</f>
        <v>3228.17</v>
      </c>
      <c r="H137" s="28" t="s">
        <v>137</v>
      </c>
      <c r="I137" s="30" t="s">
        <v>95</v>
      </c>
    </row>
    <row r="138" customFormat="false" ht="15" hidden="false" customHeight="false" outlineLevel="0" collapsed="false">
      <c r="A138" s="31" t="s">
        <v>242</v>
      </c>
      <c r="B138" s="32" t="n">
        <v>3</v>
      </c>
      <c r="C138" s="11" t="n">
        <v>0</v>
      </c>
      <c r="D138" s="11" t="n">
        <v>0</v>
      </c>
      <c r="E138" s="11" t="n">
        <v>3076.21</v>
      </c>
      <c r="F138" s="11" t="n">
        <v>85.5</v>
      </c>
      <c r="G138" s="12" t="n">
        <f aca="false">SUM(C138:F138)</f>
        <v>3161.71</v>
      </c>
      <c r="H138" s="31" t="s">
        <v>97</v>
      </c>
      <c r="I138" s="33" t="s">
        <v>95</v>
      </c>
    </row>
    <row r="139" customFormat="false" ht="15" hidden="false" customHeight="false" outlineLevel="0" collapsed="false">
      <c r="A139" s="28" t="s">
        <v>243</v>
      </c>
      <c r="B139" s="29" t="n">
        <v>3</v>
      </c>
      <c r="C139" s="15" t="n">
        <v>0</v>
      </c>
      <c r="D139" s="15" t="n">
        <v>0</v>
      </c>
      <c r="E139" s="15" t="n">
        <v>0</v>
      </c>
      <c r="F139" s="15" t="n">
        <v>3001.68</v>
      </c>
      <c r="G139" s="16" t="n">
        <f aca="false">SUM(C139:F139)</f>
        <v>3001.68</v>
      </c>
      <c r="H139" s="28" t="s">
        <v>110</v>
      </c>
      <c r="I139" s="30" t="s">
        <v>108</v>
      </c>
    </row>
    <row r="140" customFormat="false" ht="15" hidden="false" customHeight="false" outlineLevel="0" collapsed="false">
      <c r="A140" s="31" t="s">
        <v>244</v>
      </c>
      <c r="B140" s="32" t="n">
        <v>2</v>
      </c>
      <c r="C140" s="11" t="n">
        <v>0</v>
      </c>
      <c r="D140" s="11" t="n">
        <v>2925</v>
      </c>
      <c r="E140" s="11" t="n">
        <v>0</v>
      </c>
      <c r="F140" s="11" t="n">
        <v>17.65</v>
      </c>
      <c r="G140" s="12" t="n">
        <f aca="false">SUM(C140:F140)</f>
        <v>2942.65</v>
      </c>
      <c r="H140" s="31" t="s">
        <v>97</v>
      </c>
      <c r="I140" s="33" t="s">
        <v>95</v>
      </c>
    </row>
    <row r="141" customFormat="false" ht="15" hidden="false" customHeight="false" outlineLevel="0" collapsed="false">
      <c r="A141" s="28" t="s">
        <v>245</v>
      </c>
      <c r="B141" s="29" t="n">
        <v>2</v>
      </c>
      <c r="C141" s="15" t="n">
        <v>0</v>
      </c>
      <c r="D141" s="15" t="n">
        <v>0</v>
      </c>
      <c r="E141" s="15" t="n">
        <v>2024.67</v>
      </c>
      <c r="F141" s="15" t="n">
        <v>821.22</v>
      </c>
      <c r="G141" s="16" t="n">
        <f aca="false">SUM(C141:F141)</f>
        <v>2845.89</v>
      </c>
      <c r="H141" s="28" t="s">
        <v>137</v>
      </c>
      <c r="I141" s="30" t="s">
        <v>95</v>
      </c>
    </row>
    <row r="142" customFormat="false" ht="15" hidden="false" customHeight="false" outlineLevel="0" collapsed="false">
      <c r="A142" s="31" t="s">
        <v>246</v>
      </c>
      <c r="B142" s="32" t="n">
        <v>6</v>
      </c>
      <c r="C142" s="11" t="n">
        <v>0</v>
      </c>
      <c r="D142" s="11" t="n">
        <v>2435.16</v>
      </c>
      <c r="E142" s="11" t="n">
        <v>0</v>
      </c>
      <c r="F142" s="11" t="n">
        <v>356.6</v>
      </c>
      <c r="G142" s="12" t="n">
        <f aca="false">SUM(C142:F142)</f>
        <v>2791.76</v>
      </c>
      <c r="H142" s="31" t="s">
        <v>110</v>
      </c>
      <c r="I142" s="33" t="s">
        <v>108</v>
      </c>
    </row>
    <row r="143" customFormat="false" ht="15" hidden="false" customHeight="false" outlineLevel="0" collapsed="false">
      <c r="A143" s="28" t="s">
        <v>247</v>
      </c>
      <c r="B143" s="29" t="n">
        <v>2</v>
      </c>
      <c r="C143" s="15" t="n">
        <v>2765.3</v>
      </c>
      <c r="D143" s="15" t="n">
        <v>0</v>
      </c>
      <c r="E143" s="15" t="n">
        <v>0</v>
      </c>
      <c r="F143" s="15" t="n">
        <v>0</v>
      </c>
      <c r="G143" s="16" t="n">
        <f aca="false">SUM(C143:F143)</f>
        <v>2765.3</v>
      </c>
      <c r="H143" s="28" t="s">
        <v>100</v>
      </c>
      <c r="I143" s="30" t="s">
        <v>95</v>
      </c>
    </row>
    <row r="144" customFormat="false" ht="15" hidden="false" customHeight="false" outlineLevel="0" collapsed="false">
      <c r="A144" s="31" t="s">
        <v>248</v>
      </c>
      <c r="B144" s="32" t="n">
        <v>5</v>
      </c>
      <c r="C144" s="11" t="n">
        <v>0</v>
      </c>
      <c r="D144" s="11" t="n">
        <v>0</v>
      </c>
      <c r="E144" s="11" t="n">
        <v>2228.56</v>
      </c>
      <c r="F144" s="11" t="n">
        <v>453.44</v>
      </c>
      <c r="G144" s="12" t="n">
        <f aca="false">SUM(C144:F144)</f>
        <v>2682</v>
      </c>
      <c r="H144" s="31" t="s">
        <v>110</v>
      </c>
      <c r="I144" s="33" t="s">
        <v>108</v>
      </c>
    </row>
    <row r="145" customFormat="false" ht="15" hidden="false" customHeight="false" outlineLevel="0" collapsed="false">
      <c r="A145" s="28" t="s">
        <v>249</v>
      </c>
      <c r="B145" s="29" t="n">
        <v>76</v>
      </c>
      <c r="C145" s="15" t="n">
        <v>401.9</v>
      </c>
      <c r="D145" s="15" t="n">
        <v>1759.05</v>
      </c>
      <c r="E145" s="15" t="n">
        <v>415.49</v>
      </c>
      <c r="F145" s="15" t="n">
        <v>83.52</v>
      </c>
      <c r="G145" s="16" t="n">
        <f aca="false">SUM(C145:F145)</f>
        <v>2659.96</v>
      </c>
      <c r="H145" s="28" t="s">
        <v>97</v>
      </c>
      <c r="I145" s="30" t="s">
        <v>102</v>
      </c>
    </row>
    <row r="146" customFormat="false" ht="15" hidden="false" customHeight="false" outlineLevel="0" collapsed="false">
      <c r="A146" s="31" t="s">
        <v>250</v>
      </c>
      <c r="B146" s="32" t="n">
        <v>43</v>
      </c>
      <c r="C146" s="11" t="n">
        <v>333.97</v>
      </c>
      <c r="D146" s="11" t="n">
        <v>318.17</v>
      </c>
      <c r="E146" s="11" t="n">
        <v>371.18</v>
      </c>
      <c r="F146" s="11" t="n">
        <v>1627.74</v>
      </c>
      <c r="G146" s="12" t="n">
        <f aca="false">SUM(C146:F146)</f>
        <v>2651.06</v>
      </c>
      <c r="H146" s="31" t="s">
        <v>97</v>
      </c>
      <c r="I146" s="33" t="s">
        <v>102</v>
      </c>
    </row>
    <row r="147" customFormat="false" ht="15" hidden="false" customHeight="false" outlineLevel="0" collapsed="false">
      <c r="A147" s="28" t="s">
        <v>251</v>
      </c>
      <c r="B147" s="29" t="n">
        <v>2</v>
      </c>
      <c r="C147" s="15" t="n">
        <v>0</v>
      </c>
      <c r="D147" s="15" t="n">
        <v>0</v>
      </c>
      <c r="E147" s="15" t="n">
        <v>1692.38</v>
      </c>
      <c r="F147" s="15" t="n">
        <v>921.32</v>
      </c>
      <c r="G147" s="16" t="n">
        <f aca="false">SUM(C147:F147)</f>
        <v>2613.7</v>
      </c>
      <c r="H147" s="28" t="s">
        <v>97</v>
      </c>
      <c r="I147" s="30" t="s">
        <v>95</v>
      </c>
    </row>
    <row r="148" customFormat="false" ht="15" hidden="false" customHeight="false" outlineLevel="0" collapsed="false">
      <c r="A148" s="31" t="s">
        <v>252</v>
      </c>
      <c r="B148" s="32" t="n">
        <v>80</v>
      </c>
      <c r="C148" s="11" t="n">
        <v>98.07</v>
      </c>
      <c r="D148" s="11" t="n">
        <v>534.43</v>
      </c>
      <c r="E148" s="11" t="n">
        <v>512.21</v>
      </c>
      <c r="F148" s="11" t="n">
        <v>1467.07</v>
      </c>
      <c r="G148" s="12" t="n">
        <f aca="false">SUM(C148:F148)</f>
        <v>2611.78</v>
      </c>
      <c r="H148" s="31" t="s">
        <v>97</v>
      </c>
      <c r="I148" s="33" t="s">
        <v>102</v>
      </c>
    </row>
    <row r="149" customFormat="false" ht="15" hidden="false" customHeight="false" outlineLevel="0" collapsed="false">
      <c r="A149" s="28" t="s">
        <v>253</v>
      </c>
      <c r="B149" s="29" t="n">
        <v>7</v>
      </c>
      <c r="C149" s="15" t="n">
        <v>0</v>
      </c>
      <c r="D149" s="15" t="n">
        <v>0</v>
      </c>
      <c r="E149" s="15" t="n">
        <v>1863.27</v>
      </c>
      <c r="F149" s="15" t="n">
        <v>720.8</v>
      </c>
      <c r="G149" s="16" t="n">
        <f aca="false">SUM(C149:F149)</f>
        <v>2584.07</v>
      </c>
      <c r="H149" s="28" t="s">
        <v>110</v>
      </c>
      <c r="I149" s="30" t="s">
        <v>108</v>
      </c>
    </row>
    <row r="150" customFormat="false" ht="15" hidden="false" customHeight="false" outlineLevel="0" collapsed="false">
      <c r="A150" s="31" t="s">
        <v>254</v>
      </c>
      <c r="B150" s="32" t="n">
        <v>3</v>
      </c>
      <c r="C150" s="11" t="n">
        <v>0</v>
      </c>
      <c r="D150" s="11" t="n">
        <v>1611.64</v>
      </c>
      <c r="E150" s="11" t="n">
        <v>0</v>
      </c>
      <c r="F150" s="11" t="n">
        <v>926.38</v>
      </c>
      <c r="G150" s="12" t="n">
        <f aca="false">SUM(C150:F150)</f>
        <v>2538.02</v>
      </c>
      <c r="H150" s="31" t="s">
        <v>110</v>
      </c>
      <c r="I150" s="33" t="s">
        <v>108</v>
      </c>
    </row>
    <row r="151" customFormat="false" ht="15" hidden="false" customHeight="false" outlineLevel="0" collapsed="false">
      <c r="A151" s="28" t="s">
        <v>255</v>
      </c>
      <c r="B151" s="29" t="n">
        <v>3</v>
      </c>
      <c r="C151" s="15" t="n">
        <v>2500</v>
      </c>
      <c r="D151" s="15" t="n">
        <v>0</v>
      </c>
      <c r="E151" s="15" t="n">
        <v>0</v>
      </c>
      <c r="F151" s="15" t="n">
        <v>26.3</v>
      </c>
      <c r="G151" s="16" t="n">
        <f aca="false">SUM(C151:F151)</f>
        <v>2526.3</v>
      </c>
      <c r="H151" s="28" t="s">
        <v>110</v>
      </c>
      <c r="I151" s="30" t="s">
        <v>108</v>
      </c>
    </row>
    <row r="152" customFormat="false" ht="15" hidden="false" customHeight="false" outlineLevel="0" collapsed="false">
      <c r="A152" s="31" t="s">
        <v>256</v>
      </c>
      <c r="B152" s="32" t="n">
        <v>4</v>
      </c>
      <c r="C152" s="11" t="n">
        <v>0</v>
      </c>
      <c r="D152" s="11" t="n">
        <v>2454.42</v>
      </c>
      <c r="E152" s="11" t="n">
        <v>0</v>
      </c>
      <c r="F152" s="11" t="n">
        <v>52.95</v>
      </c>
      <c r="G152" s="12" t="n">
        <f aca="false">SUM(C152:F152)</f>
        <v>2507.37</v>
      </c>
      <c r="H152" s="31" t="s">
        <v>110</v>
      </c>
      <c r="I152" s="33" t="s">
        <v>108</v>
      </c>
    </row>
    <row r="153" customFormat="false" ht="15" hidden="false" customHeight="false" outlineLevel="0" collapsed="false">
      <c r="A153" s="28" t="s">
        <v>257</v>
      </c>
      <c r="B153" s="29" t="n">
        <v>3</v>
      </c>
      <c r="C153" s="15" t="n">
        <v>0</v>
      </c>
      <c r="D153" s="15" t="n">
        <v>0</v>
      </c>
      <c r="E153" s="15" t="n">
        <v>0</v>
      </c>
      <c r="F153" s="15" t="n">
        <v>2496.58</v>
      </c>
      <c r="G153" s="16" t="n">
        <f aca="false">SUM(C153:F153)</f>
        <v>2496.58</v>
      </c>
      <c r="H153" s="28" t="s">
        <v>110</v>
      </c>
      <c r="I153" s="30" t="s">
        <v>108</v>
      </c>
    </row>
    <row r="154" customFormat="false" ht="15" hidden="false" customHeight="false" outlineLevel="0" collapsed="false">
      <c r="A154" s="31" t="s">
        <v>258</v>
      </c>
      <c r="B154" s="32" t="n">
        <v>4</v>
      </c>
      <c r="C154" s="11" t="n">
        <v>1481.74</v>
      </c>
      <c r="D154" s="11" t="n">
        <v>0</v>
      </c>
      <c r="E154" s="11" t="n">
        <v>0</v>
      </c>
      <c r="F154" s="11" t="n">
        <v>911.1</v>
      </c>
      <c r="G154" s="12" t="n">
        <f aca="false">SUM(C154:F154)</f>
        <v>2392.84</v>
      </c>
      <c r="H154" s="31" t="s">
        <v>110</v>
      </c>
      <c r="I154" s="33" t="s">
        <v>108</v>
      </c>
    </row>
    <row r="155" customFormat="false" ht="15" hidden="false" customHeight="false" outlineLevel="0" collapsed="false">
      <c r="A155" s="28" t="s">
        <v>259</v>
      </c>
      <c r="B155" s="29" t="n">
        <v>3</v>
      </c>
      <c r="C155" s="15" t="n">
        <v>0</v>
      </c>
      <c r="D155" s="15" t="n">
        <v>0</v>
      </c>
      <c r="E155" s="15" t="n">
        <v>0</v>
      </c>
      <c r="F155" s="15" t="n">
        <v>2382.09</v>
      </c>
      <c r="G155" s="16" t="n">
        <f aca="false">SUM(C155:F155)</f>
        <v>2382.09</v>
      </c>
      <c r="H155" s="28" t="s">
        <v>110</v>
      </c>
      <c r="I155" s="30" t="s">
        <v>108</v>
      </c>
    </row>
    <row r="156" customFormat="false" ht="15" hidden="false" customHeight="false" outlineLevel="0" collapsed="false">
      <c r="A156" s="31" t="s">
        <v>260</v>
      </c>
      <c r="B156" s="32" t="n">
        <v>1</v>
      </c>
      <c r="C156" s="11" t="n">
        <v>2350</v>
      </c>
      <c r="D156" s="11" t="n">
        <v>0</v>
      </c>
      <c r="E156" s="11" t="n">
        <v>0</v>
      </c>
      <c r="F156" s="11" t="n">
        <v>0</v>
      </c>
      <c r="G156" s="12" t="n">
        <f aca="false">SUM(C156:F156)</f>
        <v>2350</v>
      </c>
      <c r="H156" s="31" t="s">
        <v>261</v>
      </c>
      <c r="I156" s="33" t="s">
        <v>95</v>
      </c>
    </row>
    <row r="157" customFormat="false" ht="15" hidden="false" customHeight="false" outlineLevel="0" collapsed="false">
      <c r="A157" s="28" t="s">
        <v>262</v>
      </c>
      <c r="B157" s="29" t="n">
        <v>10</v>
      </c>
      <c r="C157" s="15" t="n">
        <v>133.15</v>
      </c>
      <c r="D157" s="15" t="n">
        <v>0</v>
      </c>
      <c r="E157" s="15" t="n">
        <v>1954.1</v>
      </c>
      <c r="F157" s="15" t="n">
        <v>259.82</v>
      </c>
      <c r="G157" s="16" t="n">
        <f aca="false">SUM(C157:F157)</f>
        <v>2347.07</v>
      </c>
      <c r="H157" s="28" t="s">
        <v>97</v>
      </c>
      <c r="I157" s="30" t="s">
        <v>108</v>
      </c>
    </row>
    <row r="158" customFormat="false" ht="15" hidden="false" customHeight="false" outlineLevel="0" collapsed="false">
      <c r="A158" s="31" t="s">
        <v>263</v>
      </c>
      <c r="B158" s="32" t="n">
        <v>4</v>
      </c>
      <c r="C158" s="11" t="n">
        <v>0</v>
      </c>
      <c r="D158" s="11" t="n">
        <v>2082.25</v>
      </c>
      <c r="E158" s="11" t="n">
        <v>0</v>
      </c>
      <c r="F158" s="11" t="n">
        <v>236.74</v>
      </c>
      <c r="G158" s="12" t="n">
        <f aca="false">SUM(C158:F158)</f>
        <v>2318.99</v>
      </c>
      <c r="H158" s="31" t="s">
        <v>110</v>
      </c>
      <c r="I158" s="33" t="s">
        <v>108</v>
      </c>
    </row>
    <row r="159" customFormat="false" ht="15" hidden="false" customHeight="false" outlineLevel="0" collapsed="false">
      <c r="A159" s="28" t="s">
        <v>264</v>
      </c>
      <c r="B159" s="29" t="n">
        <v>48</v>
      </c>
      <c r="C159" s="15" t="n">
        <v>798.39</v>
      </c>
      <c r="D159" s="15" t="n">
        <v>774.25</v>
      </c>
      <c r="E159" s="15" t="n">
        <v>489.39</v>
      </c>
      <c r="F159" s="15" t="n">
        <v>243.3</v>
      </c>
      <c r="G159" s="16" t="n">
        <f aca="false">SUM(C159:F159)</f>
        <v>2305.33</v>
      </c>
      <c r="H159" s="28" t="s">
        <v>97</v>
      </c>
      <c r="I159" s="30" t="s">
        <v>102</v>
      </c>
    </row>
    <row r="160" customFormat="false" ht="15" hidden="false" customHeight="false" outlineLevel="0" collapsed="false">
      <c r="A160" s="31" t="s">
        <v>265</v>
      </c>
      <c r="B160" s="32" t="n">
        <v>7</v>
      </c>
      <c r="C160" s="11" t="n">
        <v>0</v>
      </c>
      <c r="D160" s="11" t="n">
        <v>2127.32</v>
      </c>
      <c r="E160" s="11" t="n">
        <v>0</v>
      </c>
      <c r="F160" s="11" t="n">
        <v>156.1</v>
      </c>
      <c r="G160" s="12" t="n">
        <f aca="false">SUM(C160:F160)</f>
        <v>2283.42</v>
      </c>
      <c r="H160" s="31" t="s">
        <v>110</v>
      </c>
      <c r="I160" s="33" t="s">
        <v>108</v>
      </c>
    </row>
    <row r="161" customFormat="false" ht="15" hidden="false" customHeight="false" outlineLevel="0" collapsed="false">
      <c r="A161" s="28" t="s">
        <v>266</v>
      </c>
      <c r="B161" s="29" t="n">
        <v>5</v>
      </c>
      <c r="C161" s="15" t="n">
        <v>0</v>
      </c>
      <c r="D161" s="15" t="n">
        <v>0</v>
      </c>
      <c r="E161" s="15" t="n">
        <v>0</v>
      </c>
      <c r="F161" s="15" t="n">
        <v>2220.5</v>
      </c>
      <c r="G161" s="16" t="n">
        <f aca="false">SUM(C161:F161)</f>
        <v>2220.5</v>
      </c>
      <c r="H161" s="28" t="s">
        <v>110</v>
      </c>
      <c r="I161" s="30" t="s">
        <v>108</v>
      </c>
    </row>
    <row r="162" customFormat="false" ht="15" hidden="false" customHeight="false" outlineLevel="0" collapsed="false">
      <c r="A162" s="31" t="s">
        <v>267</v>
      </c>
      <c r="B162" s="32" t="n">
        <v>4</v>
      </c>
      <c r="C162" s="11" t="n">
        <v>0</v>
      </c>
      <c r="D162" s="11" t="n">
        <v>0</v>
      </c>
      <c r="E162" s="11" t="n">
        <v>1954.1</v>
      </c>
      <c r="F162" s="11" t="n">
        <v>262.69</v>
      </c>
      <c r="G162" s="12" t="n">
        <f aca="false">SUM(C162:F162)</f>
        <v>2216.79</v>
      </c>
      <c r="H162" s="31" t="s">
        <v>110</v>
      </c>
      <c r="I162" s="33" t="s">
        <v>108</v>
      </c>
    </row>
    <row r="163" customFormat="false" ht="15" hidden="false" customHeight="false" outlineLevel="0" collapsed="false">
      <c r="A163" s="28" t="s">
        <v>268</v>
      </c>
      <c r="B163" s="29" t="n">
        <v>3</v>
      </c>
      <c r="C163" s="15" t="n">
        <v>0</v>
      </c>
      <c r="D163" s="15" t="n">
        <v>0</v>
      </c>
      <c r="E163" s="15" t="n">
        <v>0</v>
      </c>
      <c r="F163" s="15" t="n">
        <v>2172.8</v>
      </c>
      <c r="G163" s="16" t="n">
        <f aca="false">SUM(C163:F163)</f>
        <v>2172.8</v>
      </c>
      <c r="H163" s="28" t="s">
        <v>110</v>
      </c>
      <c r="I163" s="30" t="s">
        <v>108</v>
      </c>
    </row>
    <row r="164" customFormat="false" ht="15" hidden="false" customHeight="false" outlineLevel="0" collapsed="false">
      <c r="A164" s="31" t="s">
        <v>269</v>
      </c>
      <c r="B164" s="32" t="n">
        <v>2</v>
      </c>
      <c r="C164" s="11" t="n">
        <v>0</v>
      </c>
      <c r="D164" s="11" t="n">
        <v>2069.64</v>
      </c>
      <c r="E164" s="11" t="n">
        <v>0</v>
      </c>
      <c r="F164" s="11" t="n">
        <v>85.5</v>
      </c>
      <c r="G164" s="12" t="n">
        <f aca="false">SUM(C164:F164)</f>
        <v>2155.14</v>
      </c>
      <c r="H164" s="31" t="s">
        <v>97</v>
      </c>
      <c r="I164" s="33" t="s">
        <v>95</v>
      </c>
    </row>
    <row r="165" customFormat="false" ht="15" hidden="false" customHeight="false" outlineLevel="0" collapsed="false">
      <c r="A165" s="28" t="s">
        <v>270</v>
      </c>
      <c r="B165" s="29" t="n">
        <v>4</v>
      </c>
      <c r="C165" s="15" t="n">
        <v>0</v>
      </c>
      <c r="D165" s="15" t="n">
        <v>1497.18</v>
      </c>
      <c r="E165" s="15" t="n">
        <v>0</v>
      </c>
      <c r="F165" s="15" t="n">
        <v>652.15</v>
      </c>
      <c r="G165" s="16" t="n">
        <f aca="false">SUM(C165:F165)</f>
        <v>2149.33</v>
      </c>
      <c r="H165" s="28" t="s">
        <v>110</v>
      </c>
      <c r="I165" s="30" t="s">
        <v>108</v>
      </c>
    </row>
    <row r="166" customFormat="false" ht="15" hidden="false" customHeight="false" outlineLevel="0" collapsed="false">
      <c r="A166" s="31" t="s">
        <v>271</v>
      </c>
      <c r="B166" s="32" t="n">
        <v>3</v>
      </c>
      <c r="C166" s="11" t="n">
        <v>0</v>
      </c>
      <c r="D166" s="11" t="n">
        <v>1905</v>
      </c>
      <c r="E166" s="11" t="n">
        <v>0</v>
      </c>
      <c r="F166" s="11" t="n">
        <v>228.5</v>
      </c>
      <c r="G166" s="12" t="n">
        <f aca="false">SUM(C166:F166)</f>
        <v>2133.5</v>
      </c>
      <c r="H166" s="31" t="s">
        <v>110</v>
      </c>
      <c r="I166" s="33" t="s">
        <v>115</v>
      </c>
    </row>
    <row r="167" customFormat="false" ht="15" hidden="false" customHeight="false" outlineLevel="0" collapsed="false">
      <c r="A167" s="28" t="s">
        <v>272</v>
      </c>
      <c r="B167" s="29" t="n">
        <v>8</v>
      </c>
      <c r="C167" s="15" t="n">
        <v>169.63</v>
      </c>
      <c r="D167" s="15" t="n">
        <v>0</v>
      </c>
      <c r="E167" s="15" t="n">
        <v>1954.1</v>
      </c>
      <c r="F167" s="15" t="n">
        <v>0</v>
      </c>
      <c r="G167" s="16" t="n">
        <f aca="false">SUM(C167:F167)</f>
        <v>2123.73</v>
      </c>
      <c r="H167" s="28" t="s">
        <v>97</v>
      </c>
      <c r="I167" s="30" t="s">
        <v>102</v>
      </c>
    </row>
    <row r="168" customFormat="false" ht="15" hidden="false" customHeight="false" outlineLevel="0" collapsed="false">
      <c r="A168" s="31" t="s">
        <v>273</v>
      </c>
      <c r="B168" s="32" t="n">
        <v>7</v>
      </c>
      <c r="C168" s="11" t="n">
        <v>161.58</v>
      </c>
      <c r="D168" s="11" t="n">
        <v>1249.63</v>
      </c>
      <c r="E168" s="11" t="n">
        <v>677.64</v>
      </c>
      <c r="F168" s="11" t="n">
        <v>0</v>
      </c>
      <c r="G168" s="12" t="n">
        <f aca="false">SUM(C168:F168)</f>
        <v>2088.85</v>
      </c>
      <c r="H168" s="31" t="s">
        <v>97</v>
      </c>
      <c r="I168" s="33" t="s">
        <v>102</v>
      </c>
    </row>
    <row r="169" customFormat="false" ht="15" hidden="false" customHeight="false" outlineLevel="0" collapsed="false">
      <c r="A169" s="28" t="s">
        <v>274</v>
      </c>
      <c r="B169" s="29" t="n">
        <v>68</v>
      </c>
      <c r="C169" s="15" t="n">
        <v>421.09</v>
      </c>
      <c r="D169" s="15" t="n">
        <v>803.23</v>
      </c>
      <c r="E169" s="15" t="n">
        <v>636.87</v>
      </c>
      <c r="F169" s="15" t="n">
        <v>136.08</v>
      </c>
      <c r="G169" s="16" t="n">
        <f aca="false">SUM(C169:F169)</f>
        <v>1997.27</v>
      </c>
      <c r="H169" s="28" t="s">
        <v>97</v>
      </c>
      <c r="I169" s="30" t="s">
        <v>102</v>
      </c>
    </row>
    <row r="170" customFormat="false" ht="15" hidden="false" customHeight="false" outlineLevel="0" collapsed="false">
      <c r="A170" s="31" t="s">
        <v>275</v>
      </c>
      <c r="B170" s="32" t="n">
        <v>62</v>
      </c>
      <c r="C170" s="11" t="n">
        <v>0</v>
      </c>
      <c r="D170" s="11" t="n">
        <v>954.14</v>
      </c>
      <c r="E170" s="11" t="n">
        <v>919.08</v>
      </c>
      <c r="F170" s="11" t="n">
        <v>121.44</v>
      </c>
      <c r="G170" s="12" t="n">
        <f aca="false">SUM(C170:F170)</f>
        <v>1994.66</v>
      </c>
      <c r="H170" s="31" t="s">
        <v>97</v>
      </c>
      <c r="I170" s="33" t="s">
        <v>102</v>
      </c>
    </row>
    <row r="171" customFormat="false" ht="15" hidden="false" customHeight="false" outlineLevel="0" collapsed="false">
      <c r="A171" s="28" t="s">
        <v>276</v>
      </c>
      <c r="B171" s="29" t="n">
        <v>4</v>
      </c>
      <c r="C171" s="15" t="n">
        <v>0</v>
      </c>
      <c r="D171" s="15" t="n">
        <v>1750</v>
      </c>
      <c r="E171" s="15" t="n">
        <v>0</v>
      </c>
      <c r="F171" s="15" t="n">
        <v>178.3</v>
      </c>
      <c r="G171" s="16" t="n">
        <f aca="false">SUM(C171:F171)</f>
        <v>1928.3</v>
      </c>
      <c r="H171" s="28" t="s">
        <v>110</v>
      </c>
      <c r="I171" s="30" t="s">
        <v>108</v>
      </c>
    </row>
    <row r="172" customFormat="false" ht="15" hidden="false" customHeight="false" outlineLevel="0" collapsed="false">
      <c r="A172" s="31" t="s">
        <v>277</v>
      </c>
      <c r="B172" s="32" t="n">
        <v>1</v>
      </c>
      <c r="C172" s="11" t="n">
        <v>0</v>
      </c>
      <c r="D172" s="11" t="n">
        <v>1922.1</v>
      </c>
      <c r="E172" s="11" t="n">
        <v>0</v>
      </c>
      <c r="F172" s="11" t="n">
        <v>0</v>
      </c>
      <c r="G172" s="12" t="n">
        <f aca="false">SUM(C172:F172)</f>
        <v>1922.1</v>
      </c>
      <c r="H172" s="31" t="s">
        <v>97</v>
      </c>
      <c r="I172" s="33" t="s">
        <v>95</v>
      </c>
    </row>
    <row r="173" customFormat="false" ht="15" hidden="false" customHeight="false" outlineLevel="0" collapsed="false">
      <c r="A173" s="28" t="s">
        <v>278</v>
      </c>
      <c r="B173" s="29" t="n">
        <v>3</v>
      </c>
      <c r="C173" s="15" t="n">
        <v>0</v>
      </c>
      <c r="D173" s="15" t="n">
        <v>0</v>
      </c>
      <c r="E173" s="15" t="n">
        <v>1876</v>
      </c>
      <c r="F173" s="15" t="n">
        <v>35.3</v>
      </c>
      <c r="G173" s="16" t="n">
        <f aca="false">SUM(C173:F173)</f>
        <v>1911.3</v>
      </c>
      <c r="H173" s="28" t="s">
        <v>110</v>
      </c>
      <c r="I173" s="30" t="s">
        <v>108</v>
      </c>
    </row>
    <row r="174" customFormat="false" ht="15" hidden="false" customHeight="false" outlineLevel="0" collapsed="false">
      <c r="A174" s="31" t="s">
        <v>279</v>
      </c>
      <c r="B174" s="32" t="n">
        <v>5</v>
      </c>
      <c r="C174" s="11" t="n">
        <v>0</v>
      </c>
      <c r="D174" s="11" t="n">
        <v>0</v>
      </c>
      <c r="E174" s="11" t="n">
        <v>954.33</v>
      </c>
      <c r="F174" s="11" t="n">
        <v>953.14</v>
      </c>
      <c r="G174" s="12" t="n">
        <f aca="false">SUM(C174:F174)</f>
        <v>1907.47</v>
      </c>
      <c r="H174" s="31" t="s">
        <v>110</v>
      </c>
      <c r="I174" s="33" t="s">
        <v>108</v>
      </c>
    </row>
    <row r="175" customFormat="false" ht="15" hidden="false" customHeight="false" outlineLevel="0" collapsed="false">
      <c r="A175" s="28" t="s">
        <v>280</v>
      </c>
      <c r="B175" s="29" t="n">
        <v>3</v>
      </c>
      <c r="C175" s="15" t="n">
        <v>1667.5</v>
      </c>
      <c r="D175" s="15" t="n">
        <v>0</v>
      </c>
      <c r="E175" s="15" t="n">
        <v>0</v>
      </c>
      <c r="F175" s="15" t="n">
        <v>140.66</v>
      </c>
      <c r="G175" s="16" t="n">
        <f aca="false">SUM(C175:F175)</f>
        <v>1808.16</v>
      </c>
      <c r="H175" s="28" t="s">
        <v>110</v>
      </c>
      <c r="I175" s="30" t="s">
        <v>108</v>
      </c>
    </row>
    <row r="176" customFormat="false" ht="15" hidden="false" customHeight="false" outlineLevel="0" collapsed="false">
      <c r="A176" s="31" t="s">
        <v>281</v>
      </c>
      <c r="B176" s="32" t="n">
        <v>7</v>
      </c>
      <c r="C176" s="11" t="n">
        <v>874.46</v>
      </c>
      <c r="D176" s="11" t="n">
        <v>0</v>
      </c>
      <c r="E176" s="11" t="n">
        <v>0</v>
      </c>
      <c r="F176" s="11" t="n">
        <v>864.88</v>
      </c>
      <c r="G176" s="12" t="n">
        <f aca="false">SUM(C176:F176)</f>
        <v>1739.34</v>
      </c>
      <c r="H176" s="31" t="s">
        <v>110</v>
      </c>
      <c r="I176" s="33" t="s">
        <v>108</v>
      </c>
    </row>
    <row r="177" customFormat="false" ht="15" hidden="false" customHeight="false" outlineLevel="0" collapsed="false">
      <c r="A177" s="28" t="s">
        <v>282</v>
      </c>
      <c r="B177" s="29" t="n">
        <v>3</v>
      </c>
      <c r="C177" s="15" t="n">
        <v>0</v>
      </c>
      <c r="D177" s="15" t="n">
        <v>0</v>
      </c>
      <c r="E177" s="15" t="n">
        <v>0</v>
      </c>
      <c r="F177" s="15" t="n">
        <v>1731.49</v>
      </c>
      <c r="G177" s="16" t="n">
        <f aca="false">SUM(C177:F177)</f>
        <v>1731.49</v>
      </c>
      <c r="H177" s="28" t="s">
        <v>110</v>
      </c>
      <c r="I177" s="30" t="s">
        <v>108</v>
      </c>
    </row>
    <row r="178" customFormat="false" ht="15" hidden="false" customHeight="false" outlineLevel="0" collapsed="false">
      <c r="A178" s="31" t="s">
        <v>283</v>
      </c>
      <c r="B178" s="32" t="n">
        <v>61</v>
      </c>
      <c r="C178" s="11" t="n">
        <v>547.54</v>
      </c>
      <c r="D178" s="11" t="n">
        <v>510.23</v>
      </c>
      <c r="E178" s="11" t="n">
        <v>540.88</v>
      </c>
      <c r="F178" s="11" t="n">
        <v>0</v>
      </c>
      <c r="G178" s="12" t="n">
        <f aca="false">SUM(C178:F178)</f>
        <v>1598.65</v>
      </c>
      <c r="H178" s="31" t="s">
        <v>97</v>
      </c>
      <c r="I178" s="33" t="s">
        <v>102</v>
      </c>
    </row>
    <row r="179" customFormat="false" ht="15" hidden="false" customHeight="false" outlineLevel="0" collapsed="false">
      <c r="A179" s="28" t="s">
        <v>284</v>
      </c>
      <c r="B179" s="29" t="n">
        <v>4</v>
      </c>
      <c r="C179" s="15" t="n">
        <v>0</v>
      </c>
      <c r="D179" s="15" t="n">
        <v>0</v>
      </c>
      <c r="E179" s="15" t="n">
        <v>929.93</v>
      </c>
      <c r="F179" s="15" t="n">
        <v>662.1</v>
      </c>
      <c r="G179" s="16" t="n">
        <f aca="false">SUM(C179:F179)</f>
        <v>1592.03</v>
      </c>
      <c r="H179" s="28" t="s">
        <v>110</v>
      </c>
      <c r="I179" s="30" t="s">
        <v>108</v>
      </c>
    </row>
    <row r="180" customFormat="false" ht="15" hidden="false" customHeight="false" outlineLevel="0" collapsed="false">
      <c r="A180" s="31" t="s">
        <v>285</v>
      </c>
      <c r="B180" s="32" t="n">
        <v>9</v>
      </c>
      <c r="C180" s="11" t="n">
        <v>174.67</v>
      </c>
      <c r="D180" s="11" t="n">
        <v>0</v>
      </c>
      <c r="E180" s="11" t="n">
        <v>0</v>
      </c>
      <c r="F180" s="11" t="n">
        <v>1411</v>
      </c>
      <c r="G180" s="12" t="n">
        <f aca="false">SUM(C180:F180)</f>
        <v>1585.67</v>
      </c>
      <c r="H180" s="31" t="s">
        <v>110</v>
      </c>
      <c r="I180" s="33" t="s">
        <v>108</v>
      </c>
    </row>
    <row r="181" customFormat="false" ht="15" hidden="false" customHeight="false" outlineLevel="0" collapsed="false">
      <c r="A181" s="28" t="s">
        <v>286</v>
      </c>
      <c r="B181" s="29" t="n">
        <v>4</v>
      </c>
      <c r="C181" s="15" t="n">
        <v>0</v>
      </c>
      <c r="D181" s="15" t="n">
        <v>0</v>
      </c>
      <c r="E181" s="15" t="n">
        <v>0</v>
      </c>
      <c r="F181" s="15" t="n">
        <v>1581.82</v>
      </c>
      <c r="G181" s="16" t="n">
        <f aca="false">SUM(C181:F181)</f>
        <v>1581.82</v>
      </c>
      <c r="H181" s="28" t="s">
        <v>110</v>
      </c>
      <c r="I181" s="30" t="s">
        <v>115</v>
      </c>
    </row>
    <row r="182" customFormat="false" ht="15" hidden="false" customHeight="false" outlineLevel="0" collapsed="false">
      <c r="A182" s="31" t="s">
        <v>287</v>
      </c>
      <c r="B182" s="32" t="n">
        <v>2</v>
      </c>
      <c r="C182" s="11" t="n">
        <v>0</v>
      </c>
      <c r="D182" s="11" t="n">
        <v>1480</v>
      </c>
      <c r="E182" s="11" t="n">
        <v>0</v>
      </c>
      <c r="F182" s="11" t="n">
        <v>85.5</v>
      </c>
      <c r="G182" s="12" t="n">
        <f aca="false">SUM(C182:F182)</f>
        <v>1565.5</v>
      </c>
      <c r="H182" s="31" t="s">
        <v>97</v>
      </c>
      <c r="I182" s="33" t="s">
        <v>95</v>
      </c>
    </row>
    <row r="183" customFormat="false" ht="15" hidden="false" customHeight="false" outlineLevel="0" collapsed="false">
      <c r="A183" s="28" t="s">
        <v>288</v>
      </c>
      <c r="B183" s="29" t="n">
        <v>2</v>
      </c>
      <c r="C183" s="15" t="n">
        <v>0</v>
      </c>
      <c r="D183" s="15" t="n">
        <v>1493.95</v>
      </c>
      <c r="E183" s="15" t="n">
        <v>0</v>
      </c>
      <c r="F183" s="15" t="n">
        <v>17.65</v>
      </c>
      <c r="G183" s="16" t="n">
        <f aca="false">SUM(C183:F183)</f>
        <v>1511.6</v>
      </c>
      <c r="H183" s="28" t="s">
        <v>97</v>
      </c>
      <c r="I183" s="30" t="s">
        <v>95</v>
      </c>
    </row>
    <row r="184" customFormat="false" ht="15" hidden="false" customHeight="false" outlineLevel="0" collapsed="false">
      <c r="A184" s="31" t="s">
        <v>289</v>
      </c>
      <c r="B184" s="32" t="n">
        <v>1</v>
      </c>
      <c r="C184" s="11" t="n">
        <v>0</v>
      </c>
      <c r="D184" s="11" t="n">
        <v>1507.03</v>
      </c>
      <c r="E184" s="11" t="n">
        <v>0</v>
      </c>
      <c r="F184" s="11" t="n">
        <v>0</v>
      </c>
      <c r="G184" s="12" t="n">
        <f aca="false">SUM(C184:F184)</f>
        <v>1507.03</v>
      </c>
      <c r="H184" s="31" t="s">
        <v>137</v>
      </c>
      <c r="I184" s="33" t="s">
        <v>95</v>
      </c>
    </row>
    <row r="185" customFormat="false" ht="15" hidden="false" customHeight="false" outlineLevel="0" collapsed="false">
      <c r="A185" s="28" t="s">
        <v>290</v>
      </c>
      <c r="B185" s="29" t="n">
        <v>85</v>
      </c>
      <c r="C185" s="15" t="n">
        <v>298.43</v>
      </c>
      <c r="D185" s="15" t="n">
        <v>322.82</v>
      </c>
      <c r="E185" s="15" t="n">
        <v>385.63</v>
      </c>
      <c r="F185" s="15" t="n">
        <v>475.83</v>
      </c>
      <c r="G185" s="16" t="n">
        <f aca="false">SUM(C185:F185)</f>
        <v>1482.71</v>
      </c>
      <c r="H185" s="28" t="s">
        <v>97</v>
      </c>
      <c r="I185" s="30" t="s">
        <v>102</v>
      </c>
    </row>
    <row r="186" customFormat="false" ht="15" hidden="false" customHeight="false" outlineLevel="0" collapsed="false">
      <c r="A186" s="31" t="s">
        <v>291</v>
      </c>
      <c r="B186" s="32" t="n">
        <v>6</v>
      </c>
      <c r="C186" s="11" t="n">
        <v>0</v>
      </c>
      <c r="D186" s="11" t="n">
        <v>0</v>
      </c>
      <c r="E186" s="11" t="n">
        <v>0</v>
      </c>
      <c r="F186" s="11" t="n">
        <v>1465.89</v>
      </c>
      <c r="G186" s="12" t="n">
        <f aca="false">SUM(C186:F186)</f>
        <v>1465.89</v>
      </c>
      <c r="H186" s="31" t="s">
        <v>110</v>
      </c>
      <c r="I186" s="33" t="s">
        <v>108</v>
      </c>
    </row>
    <row r="187" customFormat="false" ht="15" hidden="false" customHeight="false" outlineLevel="0" collapsed="false">
      <c r="A187" s="28" t="s">
        <v>292</v>
      </c>
      <c r="B187" s="29" t="n">
        <v>166</v>
      </c>
      <c r="C187" s="15" t="n">
        <v>289.75</v>
      </c>
      <c r="D187" s="15" t="n">
        <v>526.49</v>
      </c>
      <c r="E187" s="15" t="n">
        <v>599.08</v>
      </c>
      <c r="F187" s="15" t="n">
        <v>44.06</v>
      </c>
      <c r="G187" s="16" t="n">
        <f aca="false">SUM(C187:F187)</f>
        <v>1459.38</v>
      </c>
      <c r="H187" s="28" t="s">
        <v>97</v>
      </c>
      <c r="I187" s="30" t="s">
        <v>102</v>
      </c>
    </row>
    <row r="188" customFormat="false" ht="15" hidden="false" customHeight="false" outlineLevel="0" collapsed="false">
      <c r="A188" s="31" t="s">
        <v>293</v>
      </c>
      <c r="B188" s="32" t="n">
        <v>10</v>
      </c>
      <c r="C188" s="11" t="n">
        <v>155.9</v>
      </c>
      <c r="D188" s="11" t="n">
        <v>0</v>
      </c>
      <c r="E188" s="11" t="n">
        <v>1045.99</v>
      </c>
      <c r="F188" s="11" t="n">
        <v>250.75</v>
      </c>
      <c r="G188" s="12" t="n">
        <f aca="false">SUM(C188:F188)</f>
        <v>1452.64</v>
      </c>
      <c r="H188" s="31" t="s">
        <v>97</v>
      </c>
      <c r="I188" s="33" t="s">
        <v>108</v>
      </c>
    </row>
    <row r="189" customFormat="false" ht="15" hidden="false" customHeight="false" outlineLevel="0" collapsed="false">
      <c r="A189" s="28" t="s">
        <v>294</v>
      </c>
      <c r="B189" s="29" t="n">
        <v>48</v>
      </c>
      <c r="C189" s="15" t="n">
        <v>80.74</v>
      </c>
      <c r="D189" s="15" t="n">
        <v>254.45</v>
      </c>
      <c r="E189" s="15" t="n">
        <v>275.09</v>
      </c>
      <c r="F189" s="15" t="n">
        <v>821.26</v>
      </c>
      <c r="G189" s="16" t="n">
        <f aca="false">SUM(C189:F189)</f>
        <v>1431.54</v>
      </c>
      <c r="H189" s="28" t="s">
        <v>97</v>
      </c>
      <c r="I189" s="30" t="s">
        <v>102</v>
      </c>
    </row>
    <row r="190" customFormat="false" ht="15" hidden="false" customHeight="false" outlineLevel="0" collapsed="false">
      <c r="A190" s="31" t="s">
        <v>295</v>
      </c>
      <c r="B190" s="32" t="n">
        <v>7</v>
      </c>
      <c r="C190" s="11" t="n">
        <v>349.47</v>
      </c>
      <c r="D190" s="11" t="n">
        <v>0</v>
      </c>
      <c r="E190" s="11" t="n">
        <v>0</v>
      </c>
      <c r="F190" s="11" t="n">
        <v>1059.92</v>
      </c>
      <c r="G190" s="12" t="n">
        <f aca="false">SUM(C190:F190)</f>
        <v>1409.39</v>
      </c>
      <c r="H190" s="31" t="s">
        <v>97</v>
      </c>
      <c r="I190" s="33" t="s">
        <v>102</v>
      </c>
    </row>
    <row r="191" customFormat="false" ht="15" hidden="false" customHeight="false" outlineLevel="0" collapsed="false">
      <c r="A191" s="28" t="s">
        <v>296</v>
      </c>
      <c r="B191" s="29" t="n">
        <v>48</v>
      </c>
      <c r="C191" s="15" t="n">
        <v>326.43</v>
      </c>
      <c r="D191" s="15" t="n">
        <v>326.22</v>
      </c>
      <c r="E191" s="15" t="n">
        <v>379.64</v>
      </c>
      <c r="F191" s="15" t="n">
        <v>352.15</v>
      </c>
      <c r="G191" s="16" t="n">
        <f aca="false">SUM(C191:F191)</f>
        <v>1384.44</v>
      </c>
      <c r="H191" s="28" t="s">
        <v>97</v>
      </c>
      <c r="I191" s="30" t="s">
        <v>102</v>
      </c>
    </row>
    <row r="192" customFormat="false" ht="15" hidden="false" customHeight="false" outlineLevel="0" collapsed="false">
      <c r="A192" s="31" t="s">
        <v>297</v>
      </c>
      <c r="B192" s="32" t="n">
        <v>3</v>
      </c>
      <c r="C192" s="11" t="n">
        <v>0</v>
      </c>
      <c r="D192" s="11" t="n">
        <v>0</v>
      </c>
      <c r="E192" s="11" t="n">
        <v>0</v>
      </c>
      <c r="F192" s="11" t="n">
        <v>1364.49</v>
      </c>
      <c r="G192" s="12" t="n">
        <f aca="false">SUM(C192:F192)</f>
        <v>1364.49</v>
      </c>
      <c r="H192" s="31" t="s">
        <v>110</v>
      </c>
      <c r="I192" s="33" t="s">
        <v>108</v>
      </c>
    </row>
    <row r="193" customFormat="false" ht="15" hidden="false" customHeight="false" outlineLevel="0" collapsed="false">
      <c r="A193" s="28" t="s">
        <v>298</v>
      </c>
      <c r="B193" s="29" t="n">
        <v>6</v>
      </c>
      <c r="C193" s="15" t="n">
        <v>0</v>
      </c>
      <c r="D193" s="15" t="n">
        <v>606</v>
      </c>
      <c r="E193" s="15" t="n">
        <v>0</v>
      </c>
      <c r="F193" s="15" t="n">
        <v>732.11</v>
      </c>
      <c r="G193" s="16" t="n">
        <f aca="false">SUM(C193:F193)</f>
        <v>1338.11</v>
      </c>
      <c r="H193" s="28" t="s">
        <v>110</v>
      </c>
      <c r="I193" s="30" t="s">
        <v>108</v>
      </c>
    </row>
    <row r="194" customFormat="false" ht="15" hidden="false" customHeight="false" outlineLevel="0" collapsed="false">
      <c r="A194" s="31" t="s">
        <v>299</v>
      </c>
      <c r="B194" s="32" t="n">
        <v>50</v>
      </c>
      <c r="C194" s="11" t="n">
        <v>337.74</v>
      </c>
      <c r="D194" s="11" t="n">
        <v>376.65</v>
      </c>
      <c r="E194" s="11" t="n">
        <v>402.54</v>
      </c>
      <c r="F194" s="11" t="n">
        <v>187.32</v>
      </c>
      <c r="G194" s="12" t="n">
        <f aca="false">SUM(C194:F194)</f>
        <v>1304.25</v>
      </c>
      <c r="H194" s="31" t="s">
        <v>97</v>
      </c>
      <c r="I194" s="33" t="s">
        <v>102</v>
      </c>
    </row>
    <row r="195" customFormat="false" ht="15" hidden="false" customHeight="false" outlineLevel="0" collapsed="false">
      <c r="A195" s="28" t="s">
        <v>300</v>
      </c>
      <c r="B195" s="29" t="n">
        <v>4</v>
      </c>
      <c r="C195" s="15" t="n">
        <v>667</v>
      </c>
      <c r="D195" s="15" t="n">
        <v>0</v>
      </c>
      <c r="E195" s="15" t="n">
        <v>0</v>
      </c>
      <c r="F195" s="15" t="n">
        <v>636.85</v>
      </c>
      <c r="G195" s="16" t="n">
        <f aca="false">SUM(C195:F195)</f>
        <v>1303.85</v>
      </c>
      <c r="H195" s="28" t="s">
        <v>110</v>
      </c>
      <c r="I195" s="30" t="s">
        <v>108</v>
      </c>
    </row>
    <row r="196" customFormat="false" ht="15" hidden="false" customHeight="false" outlineLevel="0" collapsed="false">
      <c r="A196" s="31" t="s">
        <v>301</v>
      </c>
      <c r="B196" s="32" t="n">
        <v>86</v>
      </c>
      <c r="C196" s="11" t="n">
        <v>252.42</v>
      </c>
      <c r="D196" s="11" t="n">
        <v>323.26</v>
      </c>
      <c r="E196" s="11" t="n">
        <v>366.81</v>
      </c>
      <c r="F196" s="11" t="n">
        <v>336.12</v>
      </c>
      <c r="G196" s="12" t="n">
        <f aca="false">SUM(C196:F196)</f>
        <v>1278.61</v>
      </c>
      <c r="H196" s="31" t="s">
        <v>97</v>
      </c>
      <c r="I196" s="33" t="s">
        <v>102</v>
      </c>
    </row>
    <row r="197" customFormat="false" ht="15" hidden="false" customHeight="false" outlineLevel="0" collapsed="false">
      <c r="A197" s="28" t="s">
        <v>302</v>
      </c>
      <c r="B197" s="29" t="n">
        <v>43</v>
      </c>
      <c r="C197" s="15" t="n">
        <v>307.25</v>
      </c>
      <c r="D197" s="15" t="n">
        <v>404.79</v>
      </c>
      <c r="E197" s="15" t="n">
        <v>556.76</v>
      </c>
      <c r="F197" s="15" t="n">
        <v>0</v>
      </c>
      <c r="G197" s="16" t="n">
        <f aca="false">SUM(C197:F197)</f>
        <v>1268.8</v>
      </c>
      <c r="H197" s="28" t="s">
        <v>97</v>
      </c>
      <c r="I197" s="30" t="s">
        <v>102</v>
      </c>
    </row>
    <row r="198" customFormat="false" ht="15" hidden="false" customHeight="false" outlineLevel="0" collapsed="false">
      <c r="A198" s="31" t="s">
        <v>303</v>
      </c>
      <c r="B198" s="32" t="n">
        <v>4</v>
      </c>
      <c r="C198" s="11" t="n">
        <v>0</v>
      </c>
      <c r="D198" s="11" t="n">
        <v>0</v>
      </c>
      <c r="E198" s="11" t="n">
        <v>0</v>
      </c>
      <c r="F198" s="11" t="n">
        <v>1267.94</v>
      </c>
      <c r="G198" s="12" t="n">
        <f aca="false">SUM(C198:F198)</f>
        <v>1267.94</v>
      </c>
      <c r="H198" s="31" t="s">
        <v>110</v>
      </c>
      <c r="I198" s="33" t="s">
        <v>108</v>
      </c>
    </row>
    <row r="199" customFormat="false" ht="15" hidden="false" customHeight="false" outlineLevel="0" collapsed="false">
      <c r="A199" s="28" t="s">
        <v>304</v>
      </c>
      <c r="B199" s="29" t="n">
        <v>1</v>
      </c>
      <c r="C199" s="15" t="n">
        <v>0</v>
      </c>
      <c r="D199" s="15" t="n">
        <v>0</v>
      </c>
      <c r="E199" s="15" t="n">
        <v>0</v>
      </c>
      <c r="F199" s="15" t="n">
        <v>1266.02</v>
      </c>
      <c r="G199" s="16" t="n">
        <f aca="false">SUM(C199:F199)</f>
        <v>1266.02</v>
      </c>
      <c r="H199" s="28" t="s">
        <v>202</v>
      </c>
      <c r="I199" s="30" t="s">
        <v>95</v>
      </c>
    </row>
    <row r="200" customFormat="false" ht="15" hidden="false" customHeight="false" outlineLevel="0" collapsed="false">
      <c r="A200" s="31" t="s">
        <v>305</v>
      </c>
      <c r="B200" s="32" t="n">
        <v>4</v>
      </c>
      <c r="C200" s="11" t="n">
        <v>0</v>
      </c>
      <c r="D200" s="11" t="n">
        <v>0</v>
      </c>
      <c r="E200" s="11" t="n">
        <v>0</v>
      </c>
      <c r="F200" s="11" t="n">
        <v>1250.76</v>
      </c>
      <c r="G200" s="12" t="n">
        <f aca="false">SUM(C200:F200)</f>
        <v>1250.76</v>
      </c>
      <c r="H200" s="31" t="s">
        <v>110</v>
      </c>
      <c r="I200" s="33" t="s">
        <v>108</v>
      </c>
    </row>
    <row r="201" customFormat="false" ht="15" hidden="false" customHeight="false" outlineLevel="0" collapsed="false">
      <c r="A201" s="28" t="s">
        <v>306</v>
      </c>
      <c r="B201" s="29" t="n">
        <v>3</v>
      </c>
      <c r="C201" s="15" t="n">
        <v>0</v>
      </c>
      <c r="D201" s="15" t="n">
        <v>0</v>
      </c>
      <c r="E201" s="15" t="n">
        <v>871.64</v>
      </c>
      <c r="F201" s="15" t="n">
        <v>371.5</v>
      </c>
      <c r="G201" s="16" t="n">
        <f aca="false">SUM(C201:F201)</f>
        <v>1243.14</v>
      </c>
      <c r="H201" s="28" t="s">
        <v>110</v>
      </c>
      <c r="I201" s="30" t="s">
        <v>108</v>
      </c>
    </row>
    <row r="202" customFormat="false" ht="15" hidden="false" customHeight="false" outlineLevel="0" collapsed="false">
      <c r="A202" s="31" t="s">
        <v>307</v>
      </c>
      <c r="B202" s="32" t="n">
        <v>30</v>
      </c>
      <c r="C202" s="11" t="n">
        <v>320.27</v>
      </c>
      <c r="D202" s="11" t="n">
        <v>320.05</v>
      </c>
      <c r="E202" s="11" t="n">
        <v>280.49</v>
      </c>
      <c r="F202" s="11" t="n">
        <v>314.65</v>
      </c>
      <c r="G202" s="12" t="n">
        <f aca="false">SUM(C202:F202)</f>
        <v>1235.46</v>
      </c>
      <c r="H202" s="31" t="s">
        <v>97</v>
      </c>
      <c r="I202" s="33" t="s">
        <v>102</v>
      </c>
    </row>
    <row r="203" customFormat="false" ht="15" hidden="false" customHeight="false" outlineLevel="0" collapsed="false">
      <c r="A203" s="28" t="s">
        <v>308</v>
      </c>
      <c r="B203" s="29" t="n">
        <v>40</v>
      </c>
      <c r="C203" s="15" t="n">
        <v>191.33</v>
      </c>
      <c r="D203" s="15" t="n">
        <v>414.89</v>
      </c>
      <c r="E203" s="15" t="n">
        <v>471.05</v>
      </c>
      <c r="F203" s="15" t="n">
        <v>123.1</v>
      </c>
      <c r="G203" s="16" t="n">
        <f aca="false">SUM(C203:F203)</f>
        <v>1200.37</v>
      </c>
      <c r="H203" s="28" t="s">
        <v>97</v>
      </c>
      <c r="I203" s="30" t="s">
        <v>102</v>
      </c>
    </row>
    <row r="204" customFormat="false" ht="15" hidden="false" customHeight="false" outlineLevel="0" collapsed="false">
      <c r="A204" s="31" t="s">
        <v>309</v>
      </c>
      <c r="B204" s="32" t="n">
        <v>6</v>
      </c>
      <c r="C204" s="11" t="n">
        <v>638.5</v>
      </c>
      <c r="D204" s="11" t="n">
        <v>0</v>
      </c>
      <c r="E204" s="11" t="n">
        <v>0</v>
      </c>
      <c r="F204" s="11" t="n">
        <v>558.88</v>
      </c>
      <c r="G204" s="12" t="n">
        <f aca="false">SUM(C204:F204)</f>
        <v>1197.38</v>
      </c>
      <c r="H204" s="31" t="s">
        <v>110</v>
      </c>
      <c r="I204" s="33" t="s">
        <v>108</v>
      </c>
    </row>
    <row r="205" customFormat="false" ht="15" hidden="false" customHeight="false" outlineLevel="0" collapsed="false">
      <c r="A205" s="28" t="s">
        <v>310</v>
      </c>
      <c r="B205" s="29" t="n">
        <v>3</v>
      </c>
      <c r="C205" s="15" t="n">
        <v>0</v>
      </c>
      <c r="D205" s="15" t="n">
        <v>0</v>
      </c>
      <c r="E205" s="15" t="n">
        <v>1050</v>
      </c>
      <c r="F205" s="15" t="n">
        <v>94.69</v>
      </c>
      <c r="G205" s="16" t="n">
        <f aca="false">SUM(C205:F205)</f>
        <v>1144.69</v>
      </c>
      <c r="H205" s="28" t="s">
        <v>110</v>
      </c>
      <c r="I205" s="30" t="s">
        <v>108</v>
      </c>
    </row>
    <row r="206" customFormat="false" ht="15" hidden="false" customHeight="false" outlineLevel="0" collapsed="false">
      <c r="A206" s="31" t="s">
        <v>311</v>
      </c>
      <c r="B206" s="32" t="n">
        <v>73</v>
      </c>
      <c r="C206" s="11" t="n">
        <v>367.79</v>
      </c>
      <c r="D206" s="11" t="n">
        <v>355.15</v>
      </c>
      <c r="E206" s="11" t="n">
        <v>348.56</v>
      </c>
      <c r="F206" s="11" t="n">
        <v>66.52</v>
      </c>
      <c r="G206" s="12" t="n">
        <f aca="false">SUM(C206:F206)</f>
        <v>1138.02</v>
      </c>
      <c r="H206" s="31" t="s">
        <v>97</v>
      </c>
      <c r="I206" s="33" t="s">
        <v>102</v>
      </c>
    </row>
    <row r="207" customFormat="false" ht="15" hidden="false" customHeight="false" outlineLevel="0" collapsed="false">
      <c r="A207" s="28" t="s">
        <v>312</v>
      </c>
      <c r="B207" s="29" t="n">
        <v>2</v>
      </c>
      <c r="C207" s="15" t="n">
        <v>0</v>
      </c>
      <c r="D207" s="15" t="n">
        <v>0</v>
      </c>
      <c r="E207" s="15" t="n">
        <v>0</v>
      </c>
      <c r="F207" s="15" t="n">
        <v>1106.38</v>
      </c>
      <c r="G207" s="16" t="n">
        <f aca="false">SUM(C207:F207)</f>
        <v>1106.38</v>
      </c>
      <c r="H207" s="28" t="s">
        <v>110</v>
      </c>
      <c r="I207" s="30" t="s">
        <v>108</v>
      </c>
    </row>
    <row r="208" customFormat="false" ht="15" hidden="false" customHeight="false" outlineLevel="0" collapsed="false">
      <c r="A208" s="31" t="s">
        <v>313</v>
      </c>
      <c r="B208" s="32" t="n">
        <v>4</v>
      </c>
      <c r="C208" s="11" t="n">
        <v>0</v>
      </c>
      <c r="D208" s="11" t="n">
        <v>0</v>
      </c>
      <c r="E208" s="11" t="n">
        <v>0</v>
      </c>
      <c r="F208" s="11" t="n">
        <v>1079.33</v>
      </c>
      <c r="G208" s="12" t="n">
        <f aca="false">SUM(C208:F208)</f>
        <v>1079.33</v>
      </c>
      <c r="H208" s="31" t="s">
        <v>110</v>
      </c>
      <c r="I208" s="33" t="s">
        <v>108</v>
      </c>
    </row>
    <row r="209" customFormat="false" ht="15" hidden="false" customHeight="false" outlineLevel="0" collapsed="false">
      <c r="A209" s="28" t="s">
        <v>314</v>
      </c>
      <c r="B209" s="29" t="n">
        <v>8</v>
      </c>
      <c r="C209" s="15" t="n">
        <v>950</v>
      </c>
      <c r="D209" s="15" t="n">
        <v>0</v>
      </c>
      <c r="E209" s="15" t="n">
        <v>0</v>
      </c>
      <c r="F209" s="15" t="n">
        <v>123.55</v>
      </c>
      <c r="G209" s="16" t="n">
        <f aca="false">SUM(C209:F209)</f>
        <v>1073.55</v>
      </c>
      <c r="H209" s="28" t="s">
        <v>110</v>
      </c>
      <c r="I209" s="30" t="s">
        <v>108</v>
      </c>
    </row>
    <row r="210" customFormat="false" ht="15" hidden="false" customHeight="false" outlineLevel="0" collapsed="false">
      <c r="A210" s="31" t="s">
        <v>315</v>
      </c>
      <c r="B210" s="32" t="n">
        <v>2</v>
      </c>
      <c r="C210" s="11" t="n">
        <v>0</v>
      </c>
      <c r="D210" s="11" t="n">
        <v>0</v>
      </c>
      <c r="E210" s="11" t="n">
        <v>0</v>
      </c>
      <c r="F210" s="11" t="n">
        <v>1070.5</v>
      </c>
      <c r="G210" s="12" t="n">
        <f aca="false">SUM(C210:F210)</f>
        <v>1070.5</v>
      </c>
      <c r="H210" s="31" t="s">
        <v>110</v>
      </c>
      <c r="I210" s="33" t="s">
        <v>108</v>
      </c>
    </row>
    <row r="211" customFormat="false" ht="15" hidden="false" customHeight="false" outlineLevel="0" collapsed="false">
      <c r="A211" s="28" t="s">
        <v>316</v>
      </c>
      <c r="B211" s="29" t="n">
        <v>5</v>
      </c>
      <c r="C211" s="15" t="n">
        <v>0</v>
      </c>
      <c r="D211" s="15" t="n">
        <v>0</v>
      </c>
      <c r="E211" s="15" t="n">
        <v>0</v>
      </c>
      <c r="F211" s="15" t="n">
        <v>1059.04</v>
      </c>
      <c r="G211" s="16" t="n">
        <f aca="false">SUM(C211:F211)</f>
        <v>1059.04</v>
      </c>
      <c r="H211" s="28" t="s">
        <v>110</v>
      </c>
      <c r="I211" s="30" t="s">
        <v>115</v>
      </c>
    </row>
    <row r="212" customFormat="false" ht="15" hidden="false" customHeight="false" outlineLevel="0" collapsed="false">
      <c r="A212" s="31" t="s">
        <v>317</v>
      </c>
      <c r="B212" s="32" t="n">
        <v>5</v>
      </c>
      <c r="C212" s="11" t="n">
        <v>161.96</v>
      </c>
      <c r="D212" s="11" t="n">
        <v>0</v>
      </c>
      <c r="E212" s="11" t="n">
        <v>805.83</v>
      </c>
      <c r="F212" s="11" t="n">
        <v>85.5</v>
      </c>
      <c r="G212" s="12" t="n">
        <f aca="false">SUM(C212:F212)</f>
        <v>1053.29</v>
      </c>
      <c r="H212" s="31" t="s">
        <v>97</v>
      </c>
      <c r="I212" s="33" t="s">
        <v>102</v>
      </c>
    </row>
    <row r="213" customFormat="false" ht="15" hidden="false" customHeight="false" outlineLevel="0" collapsed="false">
      <c r="A213" s="28" t="s">
        <v>318</v>
      </c>
      <c r="B213" s="29" t="n">
        <v>9</v>
      </c>
      <c r="C213" s="15" t="n">
        <v>0</v>
      </c>
      <c r="D213" s="15" t="n">
        <v>827.5</v>
      </c>
      <c r="E213" s="15" t="n">
        <v>225.1</v>
      </c>
      <c r="F213" s="15" t="n">
        <v>0</v>
      </c>
      <c r="G213" s="16" t="n">
        <f aca="false">SUM(C213:F213)</f>
        <v>1052.6</v>
      </c>
      <c r="H213" s="28" t="s">
        <v>97</v>
      </c>
      <c r="I213" s="30" t="s">
        <v>102</v>
      </c>
    </row>
    <row r="214" customFormat="false" ht="15" hidden="false" customHeight="false" outlineLevel="0" collapsed="false">
      <c r="A214" s="31" t="s">
        <v>319</v>
      </c>
      <c r="B214" s="32" t="n">
        <v>4</v>
      </c>
      <c r="C214" s="11" t="n">
        <v>926.24</v>
      </c>
      <c r="D214" s="11" t="n">
        <v>0</v>
      </c>
      <c r="E214" s="11" t="n">
        <v>0</v>
      </c>
      <c r="F214" s="11" t="n">
        <v>121.54</v>
      </c>
      <c r="G214" s="12" t="n">
        <f aca="false">SUM(C214:F214)</f>
        <v>1047.78</v>
      </c>
      <c r="H214" s="31" t="s">
        <v>110</v>
      </c>
      <c r="I214" s="33" t="s">
        <v>108</v>
      </c>
    </row>
    <row r="215" customFormat="false" ht="15" hidden="false" customHeight="false" outlineLevel="0" collapsed="false">
      <c r="A215" s="28" t="s">
        <v>320</v>
      </c>
      <c r="B215" s="29" t="n">
        <v>40</v>
      </c>
      <c r="C215" s="15" t="n">
        <v>209.96</v>
      </c>
      <c r="D215" s="15" t="n">
        <v>393.81</v>
      </c>
      <c r="E215" s="15" t="n">
        <v>332.69</v>
      </c>
      <c r="F215" s="15" t="n">
        <v>105.81</v>
      </c>
      <c r="G215" s="16" t="n">
        <f aca="false">SUM(C215:F215)</f>
        <v>1042.27</v>
      </c>
      <c r="H215" s="28" t="s">
        <v>97</v>
      </c>
      <c r="I215" s="30" t="s">
        <v>102</v>
      </c>
    </row>
    <row r="216" customFormat="false" ht="15" hidden="false" customHeight="false" outlineLevel="0" collapsed="false">
      <c r="A216" s="31" t="s">
        <v>321</v>
      </c>
      <c r="B216" s="32" t="n">
        <v>7</v>
      </c>
      <c r="C216" s="11" t="n">
        <v>99.37</v>
      </c>
      <c r="D216" s="11" t="n">
        <v>0</v>
      </c>
      <c r="E216" s="11" t="n">
        <v>0</v>
      </c>
      <c r="F216" s="11" t="n">
        <v>932.44</v>
      </c>
      <c r="G216" s="12" t="n">
        <f aca="false">SUM(C216:F216)</f>
        <v>1031.81</v>
      </c>
      <c r="H216" s="31" t="s">
        <v>110</v>
      </c>
      <c r="I216" s="33" t="s">
        <v>108</v>
      </c>
    </row>
    <row r="217" customFormat="false" ht="15" hidden="false" customHeight="false" outlineLevel="0" collapsed="false">
      <c r="A217" s="28" t="s">
        <v>322</v>
      </c>
      <c r="B217" s="29" t="n">
        <v>41</v>
      </c>
      <c r="C217" s="15" t="n">
        <v>329.61</v>
      </c>
      <c r="D217" s="15" t="n">
        <v>322.04</v>
      </c>
      <c r="E217" s="15" t="n">
        <v>281.27</v>
      </c>
      <c r="F217" s="15" t="n">
        <v>92.4</v>
      </c>
      <c r="G217" s="16" t="n">
        <f aca="false">SUM(C217:F217)</f>
        <v>1025.32</v>
      </c>
      <c r="H217" s="28" t="s">
        <v>97</v>
      </c>
      <c r="I217" s="30" t="s">
        <v>102</v>
      </c>
    </row>
    <row r="218" customFormat="false" ht="15" hidden="false" customHeight="false" outlineLevel="0" collapsed="false">
      <c r="A218" s="31" t="s">
        <v>323</v>
      </c>
      <c r="B218" s="32" t="n">
        <v>14</v>
      </c>
      <c r="C218" s="11" t="n">
        <v>360.52</v>
      </c>
      <c r="D218" s="11" t="n">
        <v>0</v>
      </c>
      <c r="E218" s="11" t="n">
        <v>0</v>
      </c>
      <c r="F218" s="11" t="n">
        <v>650.25</v>
      </c>
      <c r="G218" s="12" t="n">
        <f aca="false">SUM(C218:F218)</f>
        <v>1010.77</v>
      </c>
      <c r="H218" s="31" t="s">
        <v>97</v>
      </c>
      <c r="I218" s="33" t="s">
        <v>102</v>
      </c>
    </row>
    <row r="219" customFormat="false" ht="15" hidden="false" customHeight="false" outlineLevel="0" collapsed="false">
      <c r="A219" s="28" t="s">
        <v>324</v>
      </c>
      <c r="B219" s="29" t="n">
        <v>68</v>
      </c>
      <c r="C219" s="15" t="n">
        <v>243.69</v>
      </c>
      <c r="D219" s="15" t="n">
        <v>406.88</v>
      </c>
      <c r="E219" s="15" t="n">
        <v>358.86</v>
      </c>
      <c r="F219" s="15" t="n">
        <v>0</v>
      </c>
      <c r="G219" s="16" t="n">
        <f aca="false">SUM(C219:F219)</f>
        <v>1009.43</v>
      </c>
      <c r="H219" s="28" t="s">
        <v>97</v>
      </c>
      <c r="I219" s="30" t="s">
        <v>102</v>
      </c>
    </row>
    <row r="220" customFormat="false" ht="15" hidden="false" customHeight="false" outlineLevel="0" collapsed="false">
      <c r="A220" s="31" t="s">
        <v>325</v>
      </c>
      <c r="B220" s="32" t="n">
        <v>65</v>
      </c>
      <c r="C220" s="11" t="n">
        <v>204.73</v>
      </c>
      <c r="D220" s="11" t="n">
        <v>381.51</v>
      </c>
      <c r="E220" s="11" t="n">
        <v>354.09</v>
      </c>
      <c r="F220" s="11" t="n">
        <v>66.34</v>
      </c>
      <c r="G220" s="12" t="n">
        <f aca="false">SUM(C220:F220)</f>
        <v>1006.67</v>
      </c>
      <c r="H220" s="31" t="s">
        <v>97</v>
      </c>
      <c r="I220" s="33" t="s">
        <v>102</v>
      </c>
    </row>
    <row r="221" customFormat="false" ht="15" hidden="false" customHeight="false" outlineLevel="0" collapsed="false">
      <c r="A221" s="28" t="s">
        <v>326</v>
      </c>
      <c r="B221" s="29" t="n">
        <v>78</v>
      </c>
      <c r="C221" s="15" t="n">
        <v>371.17</v>
      </c>
      <c r="D221" s="15" t="n">
        <v>263.17</v>
      </c>
      <c r="E221" s="15" t="n">
        <v>307.52</v>
      </c>
      <c r="F221" s="15" t="n">
        <v>56.03</v>
      </c>
      <c r="G221" s="16" t="n">
        <f aca="false">SUM(C221:F221)</f>
        <v>997.89</v>
      </c>
      <c r="H221" s="28" t="s">
        <v>97</v>
      </c>
      <c r="I221" s="30" t="s">
        <v>102</v>
      </c>
    </row>
    <row r="222" customFormat="false" ht="15" hidden="false" customHeight="false" outlineLevel="0" collapsed="false">
      <c r="A222" s="31" t="s">
        <v>327</v>
      </c>
      <c r="B222" s="32" t="n">
        <v>4</v>
      </c>
      <c r="C222" s="11" t="n">
        <v>0</v>
      </c>
      <c r="D222" s="11" t="n">
        <v>0</v>
      </c>
      <c r="E222" s="11" t="n">
        <v>0</v>
      </c>
      <c r="F222" s="11" t="n">
        <v>959.23</v>
      </c>
      <c r="G222" s="12" t="n">
        <f aca="false">SUM(C222:F222)</f>
        <v>959.23</v>
      </c>
      <c r="H222" s="31" t="s">
        <v>110</v>
      </c>
      <c r="I222" s="33" t="s">
        <v>108</v>
      </c>
    </row>
    <row r="223" customFormat="false" ht="15" hidden="false" customHeight="false" outlineLevel="0" collapsed="false">
      <c r="A223" s="28" t="s">
        <v>328</v>
      </c>
      <c r="B223" s="29" t="n">
        <v>5</v>
      </c>
      <c r="C223" s="15" t="n">
        <v>0</v>
      </c>
      <c r="D223" s="15" t="n">
        <v>0</v>
      </c>
      <c r="E223" s="15" t="n">
        <v>0</v>
      </c>
      <c r="F223" s="15" t="n">
        <v>953.3</v>
      </c>
      <c r="G223" s="16" t="n">
        <f aca="false">SUM(C223:F223)</f>
        <v>953.3</v>
      </c>
      <c r="H223" s="28" t="s">
        <v>110</v>
      </c>
      <c r="I223" s="30" t="s">
        <v>108</v>
      </c>
    </row>
    <row r="224" customFormat="false" ht="15" hidden="false" customHeight="false" outlineLevel="0" collapsed="false">
      <c r="A224" s="31" t="s">
        <v>329</v>
      </c>
      <c r="B224" s="32" t="n">
        <v>59</v>
      </c>
      <c r="C224" s="11" t="n">
        <v>181.4</v>
      </c>
      <c r="D224" s="11" t="n">
        <v>324.36</v>
      </c>
      <c r="E224" s="11" t="n">
        <v>368.69</v>
      </c>
      <c r="F224" s="11" t="n">
        <v>67.5</v>
      </c>
      <c r="G224" s="12" t="n">
        <f aca="false">SUM(C224:F224)</f>
        <v>941.95</v>
      </c>
      <c r="H224" s="31" t="s">
        <v>97</v>
      </c>
      <c r="I224" s="33" t="s">
        <v>102</v>
      </c>
    </row>
    <row r="225" customFormat="false" ht="15" hidden="false" customHeight="false" outlineLevel="0" collapsed="false">
      <c r="A225" s="28" t="s">
        <v>330</v>
      </c>
      <c r="B225" s="29" t="n">
        <v>4</v>
      </c>
      <c r="C225" s="15" t="n">
        <v>0</v>
      </c>
      <c r="D225" s="15" t="n">
        <v>0</v>
      </c>
      <c r="E225" s="15" t="n">
        <v>0</v>
      </c>
      <c r="F225" s="15" t="n">
        <v>928.75</v>
      </c>
      <c r="G225" s="16" t="n">
        <f aca="false">SUM(C225:F225)</f>
        <v>928.75</v>
      </c>
      <c r="H225" s="28" t="s">
        <v>110</v>
      </c>
      <c r="I225" s="30" t="s">
        <v>108</v>
      </c>
    </row>
    <row r="226" customFormat="false" ht="15" hidden="false" customHeight="false" outlineLevel="0" collapsed="false">
      <c r="A226" s="31" t="s">
        <v>331</v>
      </c>
      <c r="B226" s="32" t="n">
        <v>40</v>
      </c>
      <c r="C226" s="11" t="n">
        <v>196.22</v>
      </c>
      <c r="D226" s="11" t="n">
        <v>326.81</v>
      </c>
      <c r="E226" s="11" t="n">
        <v>372.9</v>
      </c>
      <c r="F226" s="11" t="n">
        <v>0</v>
      </c>
      <c r="G226" s="12" t="n">
        <f aca="false">SUM(C226:F226)</f>
        <v>895.93</v>
      </c>
      <c r="H226" s="31" t="s">
        <v>97</v>
      </c>
      <c r="I226" s="33" t="s">
        <v>102</v>
      </c>
    </row>
    <row r="227" customFormat="false" ht="15" hidden="false" customHeight="false" outlineLevel="0" collapsed="false">
      <c r="A227" s="28" t="s">
        <v>332</v>
      </c>
      <c r="B227" s="29" t="n">
        <v>2</v>
      </c>
      <c r="C227" s="15" t="n">
        <v>0</v>
      </c>
      <c r="D227" s="15" t="n">
        <v>812.99</v>
      </c>
      <c r="E227" s="15" t="n">
        <v>0</v>
      </c>
      <c r="F227" s="15" t="n">
        <v>17.65</v>
      </c>
      <c r="G227" s="16" t="n">
        <f aca="false">SUM(C227:F227)</f>
        <v>830.64</v>
      </c>
      <c r="H227" s="28" t="s">
        <v>97</v>
      </c>
      <c r="I227" s="30" t="s">
        <v>95</v>
      </c>
    </row>
    <row r="228" customFormat="false" ht="15" hidden="false" customHeight="false" outlineLevel="0" collapsed="false">
      <c r="A228" s="31" t="s">
        <v>333</v>
      </c>
      <c r="B228" s="32" t="n">
        <v>3</v>
      </c>
      <c r="C228" s="11" t="n">
        <v>0</v>
      </c>
      <c r="D228" s="11" t="n">
        <v>0</v>
      </c>
      <c r="E228" s="11" t="n">
        <v>0</v>
      </c>
      <c r="F228" s="11" t="n">
        <v>813.1</v>
      </c>
      <c r="G228" s="12" t="n">
        <f aca="false">SUM(C228:F228)</f>
        <v>813.1</v>
      </c>
      <c r="H228" s="31" t="s">
        <v>110</v>
      </c>
      <c r="I228" s="33" t="s">
        <v>108</v>
      </c>
    </row>
    <row r="229" customFormat="false" ht="15" hidden="false" customHeight="false" outlineLevel="0" collapsed="false">
      <c r="A229" s="28" t="s">
        <v>334</v>
      </c>
      <c r="B229" s="29" t="n">
        <v>4</v>
      </c>
      <c r="C229" s="15" t="n">
        <v>0</v>
      </c>
      <c r="D229" s="15" t="n">
        <v>0</v>
      </c>
      <c r="E229" s="15" t="n">
        <v>0</v>
      </c>
      <c r="F229" s="15" t="n">
        <v>804.25</v>
      </c>
      <c r="G229" s="16" t="n">
        <f aca="false">SUM(C229:F229)</f>
        <v>804.25</v>
      </c>
      <c r="H229" s="28" t="s">
        <v>110</v>
      </c>
      <c r="I229" s="30" t="s">
        <v>108</v>
      </c>
    </row>
    <row r="230" customFormat="false" ht="15" hidden="false" customHeight="false" outlineLevel="0" collapsed="false">
      <c r="A230" s="31" t="s">
        <v>335</v>
      </c>
      <c r="B230" s="32" t="n">
        <v>3</v>
      </c>
      <c r="C230" s="11" t="n">
        <v>0</v>
      </c>
      <c r="D230" s="11" t="n">
        <v>0</v>
      </c>
      <c r="E230" s="11" t="n">
        <v>0</v>
      </c>
      <c r="F230" s="11" t="n">
        <v>796.11</v>
      </c>
      <c r="G230" s="12" t="n">
        <f aca="false">SUM(C230:F230)</f>
        <v>796.11</v>
      </c>
      <c r="H230" s="31" t="s">
        <v>110</v>
      </c>
      <c r="I230" s="33" t="s">
        <v>115</v>
      </c>
    </row>
    <row r="231" customFormat="false" ht="15" hidden="false" customHeight="false" outlineLevel="0" collapsed="false">
      <c r="A231" s="28" t="s">
        <v>336</v>
      </c>
      <c r="B231" s="29" t="n">
        <v>7</v>
      </c>
      <c r="C231" s="15" t="n">
        <v>97.97</v>
      </c>
      <c r="D231" s="15" t="n">
        <v>0</v>
      </c>
      <c r="E231" s="15" t="n">
        <v>0</v>
      </c>
      <c r="F231" s="15" t="n">
        <v>673.07</v>
      </c>
      <c r="G231" s="16" t="n">
        <f aca="false">SUM(C231:F231)</f>
        <v>771.04</v>
      </c>
      <c r="H231" s="28" t="s">
        <v>97</v>
      </c>
      <c r="I231" s="30" t="s">
        <v>102</v>
      </c>
    </row>
    <row r="232" customFormat="false" ht="15" hidden="false" customHeight="false" outlineLevel="0" collapsed="false">
      <c r="A232" s="31" t="s">
        <v>337</v>
      </c>
      <c r="B232" s="32" t="n">
        <v>40</v>
      </c>
      <c r="C232" s="11" t="n">
        <v>152.09</v>
      </c>
      <c r="D232" s="11" t="n">
        <v>276.3</v>
      </c>
      <c r="E232" s="11" t="n">
        <v>340.72</v>
      </c>
      <c r="F232" s="11" t="n">
        <v>0</v>
      </c>
      <c r="G232" s="12" t="n">
        <f aca="false">SUM(C232:F232)</f>
        <v>769.11</v>
      </c>
      <c r="H232" s="31" t="s">
        <v>97</v>
      </c>
      <c r="I232" s="33" t="s">
        <v>102</v>
      </c>
    </row>
    <row r="233" customFormat="false" ht="15" hidden="false" customHeight="false" outlineLevel="0" collapsed="false">
      <c r="A233" s="28" t="s">
        <v>338</v>
      </c>
      <c r="B233" s="29" t="n">
        <v>5</v>
      </c>
      <c r="C233" s="15" t="n">
        <v>0</v>
      </c>
      <c r="D233" s="15" t="n">
        <v>0</v>
      </c>
      <c r="E233" s="15" t="n">
        <v>0</v>
      </c>
      <c r="F233" s="15" t="n">
        <v>763.76</v>
      </c>
      <c r="G233" s="16" t="n">
        <f aca="false">SUM(C233:F233)</f>
        <v>763.76</v>
      </c>
      <c r="H233" s="28" t="s">
        <v>110</v>
      </c>
      <c r="I233" s="30" t="s">
        <v>108</v>
      </c>
    </row>
    <row r="234" customFormat="false" ht="15" hidden="false" customHeight="false" outlineLevel="0" collapsed="false">
      <c r="A234" s="31" t="s">
        <v>339</v>
      </c>
      <c r="B234" s="32" t="n">
        <v>3</v>
      </c>
      <c r="C234" s="11" t="n">
        <v>0</v>
      </c>
      <c r="D234" s="11" t="n">
        <v>0</v>
      </c>
      <c r="E234" s="11" t="n">
        <v>0</v>
      </c>
      <c r="F234" s="11" t="n">
        <v>758.69</v>
      </c>
      <c r="G234" s="12" t="n">
        <f aca="false">SUM(C234:F234)</f>
        <v>758.69</v>
      </c>
      <c r="H234" s="31" t="s">
        <v>110</v>
      </c>
      <c r="I234" s="33" t="s">
        <v>108</v>
      </c>
    </row>
    <row r="235" customFormat="false" ht="15" hidden="false" customHeight="false" outlineLevel="0" collapsed="false">
      <c r="A235" s="28" t="s">
        <v>340</v>
      </c>
      <c r="B235" s="29" t="n">
        <v>2</v>
      </c>
      <c r="C235" s="15" t="n">
        <v>0</v>
      </c>
      <c r="D235" s="15" t="n">
        <v>0</v>
      </c>
      <c r="E235" s="15" t="n">
        <v>0</v>
      </c>
      <c r="F235" s="15" t="n">
        <v>755.3</v>
      </c>
      <c r="G235" s="16" t="n">
        <f aca="false">SUM(C235:F235)</f>
        <v>755.3</v>
      </c>
      <c r="H235" s="28" t="s">
        <v>110</v>
      </c>
      <c r="I235" s="30" t="s">
        <v>108</v>
      </c>
    </row>
    <row r="236" customFormat="false" ht="15" hidden="false" customHeight="false" outlineLevel="0" collapsed="false">
      <c r="A236" s="31" t="s">
        <v>341</v>
      </c>
      <c r="B236" s="32" t="n">
        <v>2</v>
      </c>
      <c r="C236" s="11" t="n">
        <v>667</v>
      </c>
      <c r="D236" s="11" t="n">
        <v>0</v>
      </c>
      <c r="E236" s="11" t="n">
        <v>0</v>
      </c>
      <c r="F236" s="11" t="n">
        <v>85.5</v>
      </c>
      <c r="G236" s="12" t="n">
        <f aca="false">SUM(C236:F236)</f>
        <v>752.5</v>
      </c>
      <c r="H236" s="31" t="s">
        <v>97</v>
      </c>
      <c r="I236" s="33" t="s">
        <v>95</v>
      </c>
    </row>
    <row r="237" customFormat="false" ht="15" hidden="false" customHeight="false" outlineLevel="0" collapsed="false">
      <c r="A237" s="28" t="s">
        <v>342</v>
      </c>
      <c r="B237" s="29" t="n">
        <v>40</v>
      </c>
      <c r="C237" s="15" t="n">
        <v>146.73</v>
      </c>
      <c r="D237" s="15" t="n">
        <v>282.38</v>
      </c>
      <c r="E237" s="15" t="n">
        <v>236.78</v>
      </c>
      <c r="F237" s="15" t="n">
        <v>80.39</v>
      </c>
      <c r="G237" s="16" t="n">
        <f aca="false">SUM(C237:F237)</f>
        <v>746.28</v>
      </c>
      <c r="H237" s="28" t="s">
        <v>97</v>
      </c>
      <c r="I237" s="30" t="s">
        <v>102</v>
      </c>
    </row>
    <row r="238" customFormat="false" ht="15" hidden="false" customHeight="false" outlineLevel="0" collapsed="false">
      <c r="A238" s="31" t="s">
        <v>343</v>
      </c>
      <c r="B238" s="32" t="n">
        <v>4</v>
      </c>
      <c r="C238" s="11" t="n">
        <v>0</v>
      </c>
      <c r="D238" s="11" t="n">
        <v>0</v>
      </c>
      <c r="E238" s="11" t="n">
        <v>0</v>
      </c>
      <c r="F238" s="11" t="n">
        <v>736.76</v>
      </c>
      <c r="G238" s="12" t="n">
        <f aca="false">SUM(C238:F238)</f>
        <v>736.76</v>
      </c>
      <c r="H238" s="31" t="s">
        <v>110</v>
      </c>
      <c r="I238" s="33" t="s">
        <v>108</v>
      </c>
    </row>
    <row r="239" customFormat="false" ht="15" hidden="false" customHeight="false" outlineLevel="0" collapsed="false">
      <c r="A239" s="28" t="s">
        <v>344</v>
      </c>
      <c r="B239" s="29" t="n">
        <v>7</v>
      </c>
      <c r="C239" s="15" t="n">
        <v>177.17</v>
      </c>
      <c r="D239" s="15" t="n">
        <v>559</v>
      </c>
      <c r="E239" s="15" t="n">
        <v>0</v>
      </c>
      <c r="F239" s="15" t="n">
        <v>0</v>
      </c>
      <c r="G239" s="16" t="n">
        <f aca="false">SUM(C239:F239)</f>
        <v>736.17</v>
      </c>
      <c r="H239" s="28" t="s">
        <v>97</v>
      </c>
      <c r="I239" s="30" t="s">
        <v>95</v>
      </c>
    </row>
    <row r="240" customFormat="false" ht="15" hidden="false" customHeight="false" outlineLevel="0" collapsed="false">
      <c r="A240" s="31" t="s">
        <v>345</v>
      </c>
      <c r="B240" s="32" t="n">
        <v>8</v>
      </c>
      <c r="C240" s="11" t="n">
        <v>211.22</v>
      </c>
      <c r="D240" s="11" t="n">
        <v>0</v>
      </c>
      <c r="E240" s="11" t="n">
        <v>0</v>
      </c>
      <c r="F240" s="11" t="n">
        <v>505.34</v>
      </c>
      <c r="G240" s="12" t="n">
        <f aca="false">SUM(C240:F240)</f>
        <v>716.56</v>
      </c>
      <c r="H240" s="31" t="s">
        <v>97</v>
      </c>
      <c r="I240" s="33" t="s">
        <v>108</v>
      </c>
    </row>
    <row r="241" customFormat="false" ht="15" hidden="false" customHeight="false" outlineLevel="0" collapsed="false">
      <c r="A241" s="28" t="s">
        <v>346</v>
      </c>
      <c r="B241" s="29" t="n">
        <v>4</v>
      </c>
      <c r="C241" s="15" t="n">
        <v>177.59</v>
      </c>
      <c r="D241" s="15" t="n">
        <v>0</v>
      </c>
      <c r="E241" s="15" t="n">
        <v>0</v>
      </c>
      <c r="F241" s="15" t="n">
        <v>525.59</v>
      </c>
      <c r="G241" s="16" t="n">
        <f aca="false">SUM(C241:F241)</f>
        <v>703.18</v>
      </c>
      <c r="H241" s="28" t="s">
        <v>97</v>
      </c>
      <c r="I241" s="30" t="s">
        <v>102</v>
      </c>
    </row>
    <row r="242" customFormat="false" ht="15" hidden="false" customHeight="false" outlineLevel="0" collapsed="false">
      <c r="A242" s="31" t="s">
        <v>347</v>
      </c>
      <c r="B242" s="32" t="n">
        <v>3</v>
      </c>
      <c r="C242" s="11" t="n">
        <v>0</v>
      </c>
      <c r="D242" s="11" t="n">
        <v>0</v>
      </c>
      <c r="E242" s="11" t="n">
        <v>0</v>
      </c>
      <c r="F242" s="11" t="n">
        <v>691.69</v>
      </c>
      <c r="G242" s="12" t="n">
        <f aca="false">SUM(C242:F242)</f>
        <v>691.69</v>
      </c>
      <c r="H242" s="31" t="s">
        <v>110</v>
      </c>
      <c r="I242" s="33" t="s">
        <v>108</v>
      </c>
    </row>
    <row r="243" customFormat="false" ht="15" hidden="false" customHeight="false" outlineLevel="0" collapsed="false">
      <c r="A243" s="28" t="s">
        <v>348</v>
      </c>
      <c r="B243" s="29" t="n">
        <v>4</v>
      </c>
      <c r="C243" s="15" t="n">
        <v>0</v>
      </c>
      <c r="D243" s="15" t="n">
        <v>0</v>
      </c>
      <c r="E243" s="15" t="n">
        <v>0</v>
      </c>
      <c r="F243" s="15" t="n">
        <v>674.3</v>
      </c>
      <c r="G243" s="16" t="n">
        <f aca="false">SUM(C243:F243)</f>
        <v>674.3</v>
      </c>
      <c r="H243" s="28" t="s">
        <v>110</v>
      </c>
      <c r="I243" s="30" t="s">
        <v>108</v>
      </c>
    </row>
    <row r="244" customFormat="false" ht="15" hidden="false" customHeight="false" outlineLevel="0" collapsed="false">
      <c r="A244" s="31" t="s">
        <v>349</v>
      </c>
      <c r="B244" s="32" t="n">
        <v>8</v>
      </c>
      <c r="C244" s="11" t="n">
        <v>150.97</v>
      </c>
      <c r="D244" s="11" t="n">
        <v>0</v>
      </c>
      <c r="E244" s="11" t="n">
        <v>0</v>
      </c>
      <c r="F244" s="11" t="n">
        <v>509.79</v>
      </c>
      <c r="G244" s="12" t="n">
        <f aca="false">SUM(C244:F244)</f>
        <v>660.76</v>
      </c>
      <c r="H244" s="31" t="s">
        <v>97</v>
      </c>
      <c r="I244" s="33" t="s">
        <v>102</v>
      </c>
    </row>
    <row r="245" customFormat="false" ht="15" hidden="false" customHeight="false" outlineLevel="0" collapsed="false">
      <c r="A245" s="28" t="s">
        <v>350</v>
      </c>
      <c r="B245" s="29" t="n">
        <v>4</v>
      </c>
      <c r="C245" s="15" t="n">
        <v>0</v>
      </c>
      <c r="D245" s="15" t="n">
        <v>0</v>
      </c>
      <c r="E245" s="15" t="n">
        <v>0</v>
      </c>
      <c r="F245" s="15" t="n">
        <v>657.32</v>
      </c>
      <c r="G245" s="16" t="n">
        <f aca="false">SUM(C245:F245)</f>
        <v>657.32</v>
      </c>
      <c r="H245" s="28" t="s">
        <v>110</v>
      </c>
      <c r="I245" s="30" t="s">
        <v>108</v>
      </c>
    </row>
    <row r="246" customFormat="false" ht="15" hidden="false" customHeight="false" outlineLevel="0" collapsed="false">
      <c r="A246" s="31" t="s">
        <v>351</v>
      </c>
      <c r="B246" s="32" t="n">
        <v>3</v>
      </c>
      <c r="C246" s="11" t="n">
        <v>0</v>
      </c>
      <c r="D246" s="11" t="n">
        <v>490</v>
      </c>
      <c r="E246" s="11" t="n">
        <v>0</v>
      </c>
      <c r="F246" s="11" t="n">
        <v>154.44</v>
      </c>
      <c r="G246" s="12" t="n">
        <f aca="false">SUM(C246:F246)</f>
        <v>644.44</v>
      </c>
      <c r="H246" s="31" t="s">
        <v>110</v>
      </c>
      <c r="I246" s="33" t="s">
        <v>108</v>
      </c>
    </row>
    <row r="247" customFormat="false" ht="15" hidden="false" customHeight="false" outlineLevel="0" collapsed="false">
      <c r="A247" s="28" t="s">
        <v>352</v>
      </c>
      <c r="B247" s="29" t="n">
        <v>3</v>
      </c>
      <c r="C247" s="15" t="n">
        <v>0</v>
      </c>
      <c r="D247" s="15" t="n">
        <v>0</v>
      </c>
      <c r="E247" s="15" t="n">
        <v>0</v>
      </c>
      <c r="F247" s="15" t="n">
        <v>638.15</v>
      </c>
      <c r="G247" s="16" t="n">
        <f aca="false">SUM(C247:F247)</f>
        <v>638.15</v>
      </c>
      <c r="H247" s="28" t="s">
        <v>110</v>
      </c>
      <c r="I247" s="30" t="s">
        <v>108</v>
      </c>
    </row>
    <row r="248" customFormat="false" ht="15" hidden="false" customHeight="false" outlineLevel="0" collapsed="false">
      <c r="A248" s="31" t="s">
        <v>353</v>
      </c>
      <c r="B248" s="32" t="n">
        <v>4</v>
      </c>
      <c r="C248" s="11" t="n">
        <v>0</v>
      </c>
      <c r="D248" s="11" t="n">
        <v>0</v>
      </c>
      <c r="E248" s="11" t="n">
        <v>0</v>
      </c>
      <c r="F248" s="11" t="n">
        <v>632.48</v>
      </c>
      <c r="G248" s="12" t="n">
        <f aca="false">SUM(C248:F248)</f>
        <v>632.48</v>
      </c>
      <c r="H248" s="31" t="s">
        <v>110</v>
      </c>
      <c r="I248" s="33" t="s">
        <v>108</v>
      </c>
    </row>
    <row r="249" customFormat="false" ht="15" hidden="false" customHeight="false" outlineLevel="0" collapsed="false">
      <c r="A249" s="28" t="s">
        <v>354</v>
      </c>
      <c r="B249" s="29" t="n">
        <v>5</v>
      </c>
      <c r="C249" s="15" t="n">
        <v>0</v>
      </c>
      <c r="D249" s="15" t="n">
        <v>556.78</v>
      </c>
      <c r="E249" s="15" t="n">
        <v>0</v>
      </c>
      <c r="F249" s="15" t="n">
        <v>70.6</v>
      </c>
      <c r="G249" s="16" t="n">
        <f aca="false">SUM(C249:F249)</f>
        <v>627.38</v>
      </c>
      <c r="H249" s="28" t="s">
        <v>110</v>
      </c>
      <c r="I249" s="30" t="s">
        <v>108</v>
      </c>
    </row>
    <row r="250" customFormat="false" ht="15" hidden="false" customHeight="false" outlineLevel="0" collapsed="false">
      <c r="A250" s="31" t="s">
        <v>355</v>
      </c>
      <c r="B250" s="32" t="n">
        <v>34</v>
      </c>
      <c r="C250" s="11" t="n">
        <v>40.63</v>
      </c>
      <c r="D250" s="11" t="n">
        <v>252.56</v>
      </c>
      <c r="E250" s="11" t="n">
        <v>279.27</v>
      </c>
      <c r="F250" s="11" t="n">
        <v>50.52</v>
      </c>
      <c r="G250" s="12" t="n">
        <f aca="false">SUM(C250:F250)</f>
        <v>622.98</v>
      </c>
      <c r="H250" s="31" t="s">
        <v>97</v>
      </c>
      <c r="I250" s="33" t="s">
        <v>102</v>
      </c>
    </row>
    <row r="251" customFormat="false" ht="15" hidden="false" customHeight="false" outlineLevel="0" collapsed="false">
      <c r="A251" s="28" t="s">
        <v>356</v>
      </c>
      <c r="B251" s="29" t="n">
        <v>2</v>
      </c>
      <c r="C251" s="15" t="n">
        <v>0</v>
      </c>
      <c r="D251" s="15" t="n">
        <v>0</v>
      </c>
      <c r="E251" s="15" t="n">
        <v>0</v>
      </c>
      <c r="F251" s="15" t="n">
        <v>620.5</v>
      </c>
      <c r="G251" s="16" t="n">
        <f aca="false">SUM(C251:F251)</f>
        <v>620.5</v>
      </c>
      <c r="H251" s="28" t="s">
        <v>110</v>
      </c>
      <c r="I251" s="30" t="s">
        <v>108</v>
      </c>
    </row>
    <row r="252" customFormat="false" ht="15" hidden="false" customHeight="false" outlineLevel="0" collapsed="false">
      <c r="A252" s="31" t="s">
        <v>357</v>
      </c>
      <c r="B252" s="32" t="n">
        <v>3</v>
      </c>
      <c r="C252" s="11" t="n">
        <v>0</v>
      </c>
      <c r="D252" s="11" t="n">
        <v>0</v>
      </c>
      <c r="E252" s="11" t="n">
        <v>0</v>
      </c>
      <c r="F252" s="11" t="n">
        <v>611.19</v>
      </c>
      <c r="G252" s="12" t="n">
        <f aca="false">SUM(C252:F252)</f>
        <v>611.19</v>
      </c>
      <c r="H252" s="31" t="s">
        <v>110</v>
      </c>
      <c r="I252" s="33" t="s">
        <v>108</v>
      </c>
    </row>
    <row r="253" customFormat="false" ht="15" hidden="false" customHeight="false" outlineLevel="0" collapsed="false">
      <c r="A253" s="28" t="s">
        <v>358</v>
      </c>
      <c r="B253" s="29" t="n">
        <v>3</v>
      </c>
      <c r="C253" s="15" t="n">
        <v>0</v>
      </c>
      <c r="D253" s="15" t="n">
        <v>0</v>
      </c>
      <c r="E253" s="15" t="n">
        <v>0</v>
      </c>
      <c r="F253" s="15" t="n">
        <v>611.19</v>
      </c>
      <c r="G253" s="16" t="n">
        <f aca="false">SUM(C253:F253)</f>
        <v>611.19</v>
      </c>
      <c r="H253" s="28" t="s">
        <v>110</v>
      </c>
      <c r="I253" s="30" t="s">
        <v>108</v>
      </c>
    </row>
    <row r="254" customFormat="false" ht="15" hidden="false" customHeight="false" outlineLevel="0" collapsed="false">
      <c r="A254" s="31" t="s">
        <v>359</v>
      </c>
      <c r="B254" s="32" t="n">
        <v>7</v>
      </c>
      <c r="C254" s="11" t="n">
        <v>91.67</v>
      </c>
      <c r="D254" s="11" t="n">
        <v>0</v>
      </c>
      <c r="E254" s="11" t="n">
        <v>0</v>
      </c>
      <c r="F254" s="11" t="n">
        <v>491.34</v>
      </c>
      <c r="G254" s="12" t="n">
        <f aca="false">SUM(C254:F254)</f>
        <v>583.01</v>
      </c>
      <c r="H254" s="31" t="s">
        <v>97</v>
      </c>
      <c r="I254" s="33" t="s">
        <v>102</v>
      </c>
    </row>
    <row r="255" customFormat="false" ht="15" hidden="false" customHeight="false" outlineLevel="0" collapsed="false">
      <c r="A255" s="28" t="s">
        <v>360</v>
      </c>
      <c r="B255" s="29" t="n">
        <v>3</v>
      </c>
      <c r="C255" s="15" t="n">
        <v>0</v>
      </c>
      <c r="D255" s="15" t="n">
        <v>0</v>
      </c>
      <c r="E255" s="15" t="n">
        <v>0</v>
      </c>
      <c r="F255" s="15" t="n">
        <v>577.89</v>
      </c>
      <c r="G255" s="16" t="n">
        <f aca="false">SUM(C255:F255)</f>
        <v>577.89</v>
      </c>
      <c r="H255" s="28" t="s">
        <v>110</v>
      </c>
      <c r="I255" s="30" t="s">
        <v>108</v>
      </c>
    </row>
    <row r="256" customFormat="false" ht="15" hidden="false" customHeight="false" outlineLevel="0" collapsed="false">
      <c r="A256" s="31" t="s">
        <v>361</v>
      </c>
      <c r="B256" s="32" t="n">
        <v>3</v>
      </c>
      <c r="C256" s="11" t="n">
        <v>0</v>
      </c>
      <c r="D256" s="11" t="n">
        <v>0</v>
      </c>
      <c r="E256" s="11" t="n">
        <v>0</v>
      </c>
      <c r="F256" s="11" t="n">
        <v>562.42</v>
      </c>
      <c r="G256" s="12" t="n">
        <f aca="false">SUM(C256:F256)</f>
        <v>562.42</v>
      </c>
      <c r="H256" s="31" t="s">
        <v>110</v>
      </c>
      <c r="I256" s="33" t="s">
        <v>108</v>
      </c>
    </row>
    <row r="257" customFormat="false" ht="15" hidden="false" customHeight="false" outlineLevel="0" collapsed="false">
      <c r="A257" s="28" t="s">
        <v>362</v>
      </c>
      <c r="B257" s="29" t="n">
        <v>4</v>
      </c>
      <c r="C257" s="15" t="n">
        <v>0</v>
      </c>
      <c r="D257" s="15" t="n">
        <v>0</v>
      </c>
      <c r="E257" s="15" t="n">
        <v>0</v>
      </c>
      <c r="F257" s="15" t="n">
        <v>558.94</v>
      </c>
      <c r="G257" s="16" t="n">
        <f aca="false">SUM(C257:F257)</f>
        <v>558.94</v>
      </c>
      <c r="H257" s="28" t="s">
        <v>110</v>
      </c>
      <c r="I257" s="30" t="s">
        <v>108</v>
      </c>
    </row>
    <row r="258" customFormat="false" ht="15" hidden="false" customHeight="false" outlineLevel="0" collapsed="false">
      <c r="A258" s="31" t="s">
        <v>363</v>
      </c>
      <c r="B258" s="32" t="n">
        <v>3</v>
      </c>
      <c r="C258" s="11" t="n">
        <v>0</v>
      </c>
      <c r="D258" s="11" t="n">
        <v>0</v>
      </c>
      <c r="E258" s="11" t="n">
        <v>0</v>
      </c>
      <c r="F258" s="11" t="n">
        <v>523.69</v>
      </c>
      <c r="G258" s="12" t="n">
        <f aca="false">SUM(C258:F258)</f>
        <v>523.69</v>
      </c>
      <c r="H258" s="31" t="s">
        <v>110</v>
      </c>
      <c r="I258" s="33" t="s">
        <v>108</v>
      </c>
    </row>
    <row r="259" customFormat="false" ht="15" hidden="false" customHeight="false" outlineLevel="0" collapsed="false">
      <c r="A259" s="28" t="s">
        <v>364</v>
      </c>
      <c r="B259" s="29" t="n">
        <v>3</v>
      </c>
      <c r="C259" s="15" t="n">
        <v>0</v>
      </c>
      <c r="D259" s="15" t="n">
        <v>0</v>
      </c>
      <c r="E259" s="15" t="n">
        <v>0</v>
      </c>
      <c r="F259" s="15" t="n">
        <v>518.98</v>
      </c>
      <c r="G259" s="16" t="n">
        <f aca="false">SUM(C259:F259)</f>
        <v>518.98</v>
      </c>
      <c r="H259" s="28" t="s">
        <v>110</v>
      </c>
      <c r="I259" s="30" t="s">
        <v>108</v>
      </c>
    </row>
    <row r="260" customFormat="false" ht="15" hidden="false" customHeight="false" outlineLevel="0" collapsed="false">
      <c r="A260" s="31" t="s">
        <v>365</v>
      </c>
      <c r="B260" s="32" t="n">
        <v>3</v>
      </c>
      <c r="C260" s="11" t="n">
        <v>0</v>
      </c>
      <c r="D260" s="11" t="n">
        <v>0</v>
      </c>
      <c r="E260" s="11" t="n">
        <v>0</v>
      </c>
      <c r="F260" s="11" t="n">
        <v>513.36</v>
      </c>
      <c r="G260" s="12" t="n">
        <f aca="false">SUM(C260:F260)</f>
        <v>513.36</v>
      </c>
      <c r="H260" s="31" t="s">
        <v>110</v>
      </c>
      <c r="I260" s="33" t="s">
        <v>108</v>
      </c>
    </row>
    <row r="261" customFormat="false" ht="15" hidden="false" customHeight="false" outlineLevel="0" collapsed="false">
      <c r="A261" s="28" t="s">
        <v>366</v>
      </c>
      <c r="B261" s="29" t="n">
        <v>4</v>
      </c>
      <c r="C261" s="15" t="n">
        <v>0</v>
      </c>
      <c r="D261" s="15" t="n">
        <v>0</v>
      </c>
      <c r="E261" s="15" t="n">
        <v>0</v>
      </c>
      <c r="F261" s="15" t="n">
        <v>505.13</v>
      </c>
      <c r="G261" s="16" t="n">
        <f aca="false">SUM(C261:F261)</f>
        <v>505.13</v>
      </c>
      <c r="H261" s="28" t="s">
        <v>110</v>
      </c>
      <c r="I261" s="30" t="s">
        <v>108</v>
      </c>
    </row>
    <row r="262" customFormat="false" ht="15" hidden="false" customHeight="false" outlineLevel="0" collapsed="false">
      <c r="A262" s="31" t="s">
        <v>367</v>
      </c>
      <c r="B262" s="32" t="n">
        <v>4</v>
      </c>
      <c r="C262" s="11" t="n">
        <v>255</v>
      </c>
      <c r="D262" s="11" t="n">
        <v>0</v>
      </c>
      <c r="E262" s="11" t="n">
        <v>0</v>
      </c>
      <c r="F262" s="11" t="n">
        <v>246.15</v>
      </c>
      <c r="G262" s="12" t="n">
        <f aca="false">SUM(C262:F262)</f>
        <v>501.15</v>
      </c>
      <c r="H262" s="31" t="s">
        <v>110</v>
      </c>
      <c r="I262" s="33" t="s">
        <v>108</v>
      </c>
    </row>
    <row r="263" customFormat="false" ht="15" hidden="false" customHeight="false" outlineLevel="0" collapsed="false">
      <c r="A263" s="28" t="s">
        <v>368</v>
      </c>
      <c r="B263" s="29" t="n">
        <v>3</v>
      </c>
      <c r="C263" s="15" t="n">
        <v>0</v>
      </c>
      <c r="D263" s="15" t="n">
        <v>0</v>
      </c>
      <c r="E263" s="15" t="n">
        <v>0</v>
      </c>
      <c r="F263" s="15" t="n">
        <v>500.6</v>
      </c>
      <c r="G263" s="16" t="n">
        <f aca="false">SUM(C263:F263)</f>
        <v>500.6</v>
      </c>
      <c r="H263" s="28" t="s">
        <v>110</v>
      </c>
      <c r="I263" s="30" t="s">
        <v>108</v>
      </c>
    </row>
    <row r="264" customFormat="false" ht="15" hidden="false" customHeight="false" outlineLevel="0" collapsed="false">
      <c r="A264" s="31" t="s">
        <v>369</v>
      </c>
      <c r="B264" s="32" t="n">
        <v>3</v>
      </c>
      <c r="C264" s="11" t="n">
        <v>0</v>
      </c>
      <c r="D264" s="11" t="n">
        <v>0</v>
      </c>
      <c r="E264" s="11" t="n">
        <v>0</v>
      </c>
      <c r="F264" s="11" t="n">
        <v>500</v>
      </c>
      <c r="G264" s="12" t="n">
        <f aca="false">SUM(C264:F264)</f>
        <v>500</v>
      </c>
      <c r="H264" s="31" t="s">
        <v>110</v>
      </c>
      <c r="I264" s="33" t="s">
        <v>108</v>
      </c>
    </row>
    <row r="265" customFormat="false" ht="15" hidden="false" customHeight="false" outlineLevel="0" collapsed="false">
      <c r="A265" s="28" t="s">
        <v>370</v>
      </c>
      <c r="B265" s="29" t="n">
        <v>2</v>
      </c>
      <c r="C265" s="15" t="n">
        <v>0</v>
      </c>
      <c r="D265" s="15" t="n">
        <v>0</v>
      </c>
      <c r="E265" s="15" t="n">
        <v>0</v>
      </c>
      <c r="F265" s="15" t="n">
        <v>496</v>
      </c>
      <c r="G265" s="16" t="n">
        <f aca="false">SUM(C265:F265)</f>
        <v>496</v>
      </c>
      <c r="H265" s="28" t="s">
        <v>110</v>
      </c>
      <c r="I265" s="30" t="s">
        <v>108</v>
      </c>
    </row>
    <row r="266" customFormat="false" ht="15" hidden="false" customHeight="false" outlineLevel="0" collapsed="false">
      <c r="A266" s="31" t="s">
        <v>371</v>
      </c>
      <c r="B266" s="32" t="n">
        <v>2</v>
      </c>
      <c r="C266" s="11" t="n">
        <v>0</v>
      </c>
      <c r="D266" s="11" t="n">
        <v>0</v>
      </c>
      <c r="E266" s="11" t="n">
        <v>0</v>
      </c>
      <c r="F266" s="11" t="n">
        <v>496</v>
      </c>
      <c r="G266" s="12" t="n">
        <f aca="false">SUM(C266:F266)</f>
        <v>496</v>
      </c>
      <c r="H266" s="31" t="s">
        <v>110</v>
      </c>
      <c r="I266" s="33" t="s">
        <v>108</v>
      </c>
    </row>
    <row r="267" customFormat="false" ht="15" hidden="false" customHeight="false" outlineLevel="0" collapsed="false">
      <c r="A267" s="28" t="s">
        <v>372</v>
      </c>
      <c r="B267" s="29" t="n">
        <v>3</v>
      </c>
      <c r="C267" s="15" t="n">
        <v>0</v>
      </c>
      <c r="D267" s="15" t="n">
        <v>0</v>
      </c>
      <c r="E267" s="15" t="n">
        <v>0</v>
      </c>
      <c r="F267" s="15" t="n">
        <v>495.94</v>
      </c>
      <c r="G267" s="16" t="n">
        <f aca="false">SUM(C267:F267)</f>
        <v>495.94</v>
      </c>
      <c r="H267" s="28" t="s">
        <v>110</v>
      </c>
      <c r="I267" s="30" t="s">
        <v>108</v>
      </c>
    </row>
    <row r="268" customFormat="false" ht="15" hidden="false" customHeight="false" outlineLevel="0" collapsed="false">
      <c r="A268" s="31" t="s">
        <v>373</v>
      </c>
      <c r="B268" s="32" t="n">
        <v>2</v>
      </c>
      <c r="C268" s="11" t="n">
        <v>0</v>
      </c>
      <c r="D268" s="11" t="n">
        <v>0</v>
      </c>
      <c r="E268" s="11" t="n">
        <v>0</v>
      </c>
      <c r="F268" s="11" t="n">
        <v>485</v>
      </c>
      <c r="G268" s="12" t="n">
        <f aca="false">SUM(C268:F268)</f>
        <v>485</v>
      </c>
      <c r="H268" s="31" t="s">
        <v>110</v>
      </c>
      <c r="I268" s="33" t="s">
        <v>108</v>
      </c>
    </row>
    <row r="269" customFormat="false" ht="15" hidden="false" customHeight="false" outlineLevel="0" collapsed="false">
      <c r="A269" s="28" t="s">
        <v>374</v>
      </c>
      <c r="B269" s="29" t="n">
        <v>3</v>
      </c>
      <c r="C269" s="15" t="n">
        <v>0</v>
      </c>
      <c r="D269" s="15" t="n">
        <v>0</v>
      </c>
      <c r="E269" s="15" t="n">
        <v>0</v>
      </c>
      <c r="F269" s="15" t="n">
        <v>474.65</v>
      </c>
      <c r="G269" s="16" t="n">
        <f aca="false">SUM(C269:F269)</f>
        <v>474.65</v>
      </c>
      <c r="H269" s="28" t="s">
        <v>110</v>
      </c>
      <c r="I269" s="30" t="s">
        <v>108</v>
      </c>
    </row>
    <row r="270" customFormat="false" ht="15" hidden="false" customHeight="false" outlineLevel="0" collapsed="false">
      <c r="A270" s="31" t="s">
        <v>375</v>
      </c>
      <c r="B270" s="32" t="n">
        <v>5</v>
      </c>
      <c r="C270" s="11" t="n">
        <v>0</v>
      </c>
      <c r="D270" s="11" t="n">
        <v>0</v>
      </c>
      <c r="E270" s="11" t="n">
        <v>0</v>
      </c>
      <c r="F270" s="11" t="n">
        <v>450.24</v>
      </c>
      <c r="G270" s="12" t="n">
        <f aca="false">SUM(C270:F270)</f>
        <v>450.24</v>
      </c>
      <c r="H270" s="31" t="s">
        <v>110</v>
      </c>
      <c r="I270" s="33" t="s">
        <v>108</v>
      </c>
    </row>
    <row r="271" customFormat="false" ht="15" hidden="false" customHeight="false" outlineLevel="0" collapsed="false">
      <c r="A271" s="28" t="s">
        <v>376</v>
      </c>
      <c r="B271" s="29" t="n">
        <v>3</v>
      </c>
      <c r="C271" s="15" t="n">
        <v>0</v>
      </c>
      <c r="D271" s="15" t="n">
        <v>0</v>
      </c>
      <c r="E271" s="15" t="n">
        <v>0</v>
      </c>
      <c r="F271" s="15" t="n">
        <v>437.24</v>
      </c>
      <c r="G271" s="16" t="n">
        <f aca="false">SUM(C271:F271)</f>
        <v>437.24</v>
      </c>
      <c r="H271" s="28" t="s">
        <v>110</v>
      </c>
      <c r="I271" s="30" t="s">
        <v>108</v>
      </c>
    </row>
    <row r="272" customFormat="false" ht="15" hidden="false" customHeight="false" outlineLevel="0" collapsed="false">
      <c r="A272" s="31" t="s">
        <v>377</v>
      </c>
      <c r="B272" s="32" t="n">
        <v>5</v>
      </c>
      <c r="C272" s="11" t="n">
        <v>0</v>
      </c>
      <c r="D272" s="11" t="n">
        <v>0</v>
      </c>
      <c r="E272" s="11" t="n">
        <v>0</v>
      </c>
      <c r="F272" s="11" t="n">
        <v>435.54</v>
      </c>
      <c r="G272" s="12" t="n">
        <f aca="false">SUM(C272:F272)</f>
        <v>435.54</v>
      </c>
      <c r="H272" s="31" t="s">
        <v>110</v>
      </c>
      <c r="I272" s="33" t="s">
        <v>108</v>
      </c>
    </row>
    <row r="273" customFormat="false" ht="15" hidden="false" customHeight="false" outlineLevel="0" collapsed="false">
      <c r="A273" s="28" t="s">
        <v>378</v>
      </c>
      <c r="B273" s="29" t="n">
        <v>7</v>
      </c>
      <c r="C273" s="15" t="n">
        <v>192.37</v>
      </c>
      <c r="D273" s="15" t="n">
        <v>0</v>
      </c>
      <c r="E273" s="15" t="n">
        <v>0</v>
      </c>
      <c r="F273" s="15" t="n">
        <v>228.5</v>
      </c>
      <c r="G273" s="16" t="n">
        <f aca="false">SUM(C273:F273)</f>
        <v>420.87</v>
      </c>
      <c r="H273" s="28" t="s">
        <v>97</v>
      </c>
      <c r="I273" s="30" t="s">
        <v>102</v>
      </c>
    </row>
    <row r="274" customFormat="false" ht="15" hidden="false" customHeight="false" outlineLevel="0" collapsed="false">
      <c r="A274" s="31" t="s">
        <v>379</v>
      </c>
      <c r="B274" s="32" t="n">
        <v>3</v>
      </c>
      <c r="C274" s="11" t="n">
        <v>0</v>
      </c>
      <c r="D274" s="11" t="n">
        <v>0</v>
      </c>
      <c r="E274" s="11" t="n">
        <v>0</v>
      </c>
      <c r="F274" s="11" t="n">
        <v>414.76</v>
      </c>
      <c r="G274" s="12" t="n">
        <f aca="false">SUM(C274:F274)</f>
        <v>414.76</v>
      </c>
      <c r="H274" s="31" t="s">
        <v>110</v>
      </c>
      <c r="I274" s="33" t="s">
        <v>108</v>
      </c>
    </row>
    <row r="275" customFormat="false" ht="15" hidden="false" customHeight="false" outlineLevel="0" collapsed="false">
      <c r="A275" s="28" t="s">
        <v>380</v>
      </c>
      <c r="B275" s="29" t="n">
        <v>4</v>
      </c>
      <c r="C275" s="15" t="n">
        <v>0</v>
      </c>
      <c r="D275" s="15" t="n">
        <v>0</v>
      </c>
      <c r="E275" s="15" t="n">
        <v>0</v>
      </c>
      <c r="F275" s="15" t="n">
        <v>411.4</v>
      </c>
      <c r="G275" s="16" t="n">
        <f aca="false">SUM(C275:F275)</f>
        <v>411.4</v>
      </c>
      <c r="H275" s="28" t="s">
        <v>110</v>
      </c>
      <c r="I275" s="30" t="s">
        <v>108</v>
      </c>
    </row>
    <row r="276" customFormat="false" ht="15" hidden="false" customHeight="false" outlineLevel="0" collapsed="false">
      <c r="A276" s="31" t="s">
        <v>381</v>
      </c>
      <c r="B276" s="32" t="n">
        <v>3</v>
      </c>
      <c r="C276" s="11" t="n">
        <v>0</v>
      </c>
      <c r="D276" s="11" t="n">
        <v>0</v>
      </c>
      <c r="E276" s="11" t="n">
        <v>0</v>
      </c>
      <c r="F276" s="11" t="n">
        <v>408.27</v>
      </c>
      <c r="G276" s="12" t="n">
        <f aca="false">SUM(C276:F276)</f>
        <v>408.27</v>
      </c>
      <c r="H276" s="31" t="s">
        <v>110</v>
      </c>
      <c r="I276" s="33" t="s">
        <v>115</v>
      </c>
    </row>
    <row r="277" customFormat="false" ht="15" hidden="false" customHeight="false" outlineLevel="0" collapsed="false">
      <c r="A277" s="28" t="s">
        <v>382</v>
      </c>
      <c r="B277" s="29" t="n">
        <v>8</v>
      </c>
      <c r="C277" s="15" t="n">
        <v>122.72</v>
      </c>
      <c r="D277" s="15" t="n">
        <v>0</v>
      </c>
      <c r="E277" s="15" t="n">
        <v>0</v>
      </c>
      <c r="F277" s="15" t="n">
        <v>283.66</v>
      </c>
      <c r="G277" s="16" t="n">
        <f aca="false">SUM(C277:F277)</f>
        <v>406.38</v>
      </c>
      <c r="H277" s="28" t="s">
        <v>97</v>
      </c>
      <c r="I277" s="30" t="s">
        <v>102</v>
      </c>
    </row>
    <row r="278" customFormat="false" ht="15" hidden="false" customHeight="false" outlineLevel="0" collapsed="false">
      <c r="A278" s="31" t="s">
        <v>383</v>
      </c>
      <c r="B278" s="32" t="n">
        <v>4</v>
      </c>
      <c r="C278" s="11" t="n">
        <v>0</v>
      </c>
      <c r="D278" s="11" t="n">
        <v>0</v>
      </c>
      <c r="E278" s="11" t="n">
        <v>0</v>
      </c>
      <c r="F278" s="11" t="n">
        <v>393.75</v>
      </c>
      <c r="G278" s="12" t="n">
        <f aca="false">SUM(C278:F278)</f>
        <v>393.75</v>
      </c>
      <c r="H278" s="31" t="s">
        <v>110</v>
      </c>
      <c r="I278" s="33" t="s">
        <v>108</v>
      </c>
    </row>
    <row r="279" customFormat="false" ht="15" hidden="false" customHeight="false" outlineLevel="0" collapsed="false">
      <c r="A279" s="28" t="s">
        <v>384</v>
      </c>
      <c r="B279" s="29" t="n">
        <v>3</v>
      </c>
      <c r="C279" s="15" t="n">
        <v>0</v>
      </c>
      <c r="D279" s="15" t="n">
        <v>0</v>
      </c>
      <c r="E279" s="15" t="n">
        <v>0</v>
      </c>
      <c r="F279" s="15" t="n">
        <v>389.15</v>
      </c>
      <c r="G279" s="16" t="n">
        <f aca="false">SUM(C279:F279)</f>
        <v>389.15</v>
      </c>
      <c r="H279" s="28" t="s">
        <v>110</v>
      </c>
      <c r="I279" s="30" t="s">
        <v>108</v>
      </c>
    </row>
    <row r="280" customFormat="false" ht="15" hidden="false" customHeight="false" outlineLevel="0" collapsed="false">
      <c r="A280" s="31" t="s">
        <v>385</v>
      </c>
      <c r="B280" s="32" t="n">
        <v>4</v>
      </c>
      <c r="C280" s="11" t="n">
        <v>0</v>
      </c>
      <c r="D280" s="11" t="n">
        <v>0</v>
      </c>
      <c r="E280" s="11" t="n">
        <v>0</v>
      </c>
      <c r="F280" s="11" t="n">
        <v>380.83</v>
      </c>
      <c r="G280" s="12" t="n">
        <f aca="false">SUM(C280:F280)</f>
        <v>380.83</v>
      </c>
      <c r="H280" s="31" t="s">
        <v>110</v>
      </c>
      <c r="I280" s="33" t="s">
        <v>108</v>
      </c>
    </row>
    <row r="281" customFormat="false" ht="15" hidden="false" customHeight="false" outlineLevel="0" collapsed="false">
      <c r="A281" s="28" t="s">
        <v>386</v>
      </c>
      <c r="B281" s="29" t="n">
        <v>3</v>
      </c>
      <c r="C281" s="15" t="n">
        <v>0</v>
      </c>
      <c r="D281" s="15" t="n">
        <v>0</v>
      </c>
      <c r="E281" s="15" t="n">
        <v>0</v>
      </c>
      <c r="F281" s="15" t="n">
        <v>380.69</v>
      </c>
      <c r="G281" s="16" t="n">
        <f aca="false">SUM(C281:F281)</f>
        <v>380.69</v>
      </c>
      <c r="H281" s="28" t="s">
        <v>110</v>
      </c>
      <c r="I281" s="30" t="s">
        <v>108</v>
      </c>
    </row>
    <row r="282" customFormat="false" ht="15" hidden="false" customHeight="false" outlineLevel="0" collapsed="false">
      <c r="A282" s="31" t="s">
        <v>387</v>
      </c>
      <c r="B282" s="32" t="n">
        <v>3</v>
      </c>
      <c r="C282" s="11" t="n">
        <v>0</v>
      </c>
      <c r="D282" s="11" t="n">
        <v>0</v>
      </c>
      <c r="E282" s="11" t="n">
        <v>0</v>
      </c>
      <c r="F282" s="11" t="n">
        <v>379.9</v>
      </c>
      <c r="G282" s="12" t="n">
        <f aca="false">SUM(C282:F282)</f>
        <v>379.9</v>
      </c>
      <c r="H282" s="31" t="s">
        <v>110</v>
      </c>
      <c r="I282" s="33" t="s">
        <v>108</v>
      </c>
    </row>
    <row r="283" customFormat="false" ht="15" hidden="false" customHeight="false" outlineLevel="0" collapsed="false">
      <c r="A283" s="28" t="s">
        <v>388</v>
      </c>
      <c r="B283" s="29" t="n">
        <v>3</v>
      </c>
      <c r="C283" s="15" t="n">
        <v>0</v>
      </c>
      <c r="D283" s="15" t="n">
        <v>0</v>
      </c>
      <c r="E283" s="15" t="n">
        <v>0</v>
      </c>
      <c r="F283" s="15" t="n">
        <v>379.9</v>
      </c>
      <c r="G283" s="16" t="n">
        <f aca="false">SUM(C283:F283)</f>
        <v>379.9</v>
      </c>
      <c r="H283" s="28" t="s">
        <v>110</v>
      </c>
      <c r="I283" s="30" t="s">
        <v>108</v>
      </c>
    </row>
    <row r="284" customFormat="false" ht="15" hidden="false" customHeight="false" outlineLevel="0" collapsed="false">
      <c r="A284" s="31" t="s">
        <v>389</v>
      </c>
      <c r="B284" s="32" t="n">
        <v>4</v>
      </c>
      <c r="C284" s="11" t="n">
        <v>0</v>
      </c>
      <c r="D284" s="11" t="n">
        <v>0</v>
      </c>
      <c r="E284" s="11" t="n">
        <v>0</v>
      </c>
      <c r="F284" s="11" t="n">
        <v>379.84</v>
      </c>
      <c r="G284" s="12" t="n">
        <f aca="false">SUM(C284:F284)</f>
        <v>379.84</v>
      </c>
      <c r="H284" s="31" t="s">
        <v>110</v>
      </c>
      <c r="I284" s="33" t="s">
        <v>115</v>
      </c>
    </row>
    <row r="285" customFormat="false" ht="15" hidden="false" customHeight="false" outlineLevel="0" collapsed="false">
      <c r="A285" s="28" t="s">
        <v>390</v>
      </c>
      <c r="B285" s="29" t="n">
        <v>4</v>
      </c>
      <c r="C285" s="15" t="n">
        <v>255</v>
      </c>
      <c r="D285" s="15" t="n">
        <v>0</v>
      </c>
      <c r="E285" s="15" t="n">
        <v>0</v>
      </c>
      <c r="F285" s="15" t="n">
        <v>120.8</v>
      </c>
      <c r="G285" s="16" t="n">
        <f aca="false">SUM(C285:F285)</f>
        <v>375.8</v>
      </c>
      <c r="H285" s="28" t="s">
        <v>110</v>
      </c>
      <c r="I285" s="30" t="s">
        <v>108</v>
      </c>
    </row>
    <row r="286" customFormat="false" ht="15" hidden="false" customHeight="false" outlineLevel="0" collapsed="false">
      <c r="A286" s="31" t="s">
        <v>391</v>
      </c>
      <c r="B286" s="32" t="n">
        <v>3</v>
      </c>
      <c r="C286" s="11" t="n">
        <v>0</v>
      </c>
      <c r="D286" s="11" t="n">
        <v>0</v>
      </c>
      <c r="E286" s="11" t="n">
        <v>0</v>
      </c>
      <c r="F286" s="11" t="n">
        <v>374.04</v>
      </c>
      <c r="G286" s="12" t="n">
        <f aca="false">SUM(C286:F286)</f>
        <v>374.04</v>
      </c>
      <c r="H286" s="31" t="s">
        <v>110</v>
      </c>
      <c r="I286" s="33" t="s">
        <v>108</v>
      </c>
    </row>
    <row r="287" customFormat="false" ht="15" hidden="false" customHeight="false" outlineLevel="0" collapsed="false">
      <c r="A287" s="28" t="s">
        <v>392</v>
      </c>
      <c r="B287" s="29" t="n">
        <v>2</v>
      </c>
      <c r="C287" s="15" t="n">
        <v>0</v>
      </c>
      <c r="D287" s="15" t="n">
        <v>0</v>
      </c>
      <c r="E287" s="15" t="n">
        <v>0</v>
      </c>
      <c r="F287" s="15" t="n">
        <v>371.5</v>
      </c>
      <c r="G287" s="16" t="n">
        <f aca="false">SUM(C287:F287)</f>
        <v>371.5</v>
      </c>
      <c r="H287" s="28" t="s">
        <v>110</v>
      </c>
      <c r="I287" s="30" t="s">
        <v>108</v>
      </c>
    </row>
    <row r="288" customFormat="false" ht="15" hidden="false" customHeight="false" outlineLevel="0" collapsed="false">
      <c r="A288" s="31" t="s">
        <v>393</v>
      </c>
      <c r="B288" s="32" t="n">
        <v>2</v>
      </c>
      <c r="C288" s="11" t="n">
        <v>0</v>
      </c>
      <c r="D288" s="11" t="n">
        <v>0</v>
      </c>
      <c r="E288" s="11" t="n">
        <v>0</v>
      </c>
      <c r="F288" s="11" t="n">
        <v>371.5</v>
      </c>
      <c r="G288" s="12" t="n">
        <f aca="false">SUM(C288:F288)</f>
        <v>371.5</v>
      </c>
      <c r="H288" s="31" t="s">
        <v>110</v>
      </c>
      <c r="I288" s="33" t="s">
        <v>108</v>
      </c>
    </row>
    <row r="289" customFormat="false" ht="15" hidden="false" customHeight="false" outlineLevel="0" collapsed="false">
      <c r="A289" s="28" t="s">
        <v>394</v>
      </c>
      <c r="B289" s="29" t="n">
        <v>2</v>
      </c>
      <c r="C289" s="15" t="n">
        <v>0</v>
      </c>
      <c r="D289" s="15" t="n">
        <v>0</v>
      </c>
      <c r="E289" s="15" t="n">
        <v>0</v>
      </c>
      <c r="F289" s="15" t="n">
        <v>371.5</v>
      </c>
      <c r="G289" s="16" t="n">
        <f aca="false">SUM(C289:F289)</f>
        <v>371.5</v>
      </c>
      <c r="H289" s="28" t="s">
        <v>110</v>
      </c>
      <c r="I289" s="30" t="s">
        <v>108</v>
      </c>
    </row>
    <row r="290" customFormat="false" ht="15" hidden="false" customHeight="false" outlineLevel="0" collapsed="false">
      <c r="A290" s="31" t="s">
        <v>395</v>
      </c>
      <c r="B290" s="32" t="n">
        <v>2</v>
      </c>
      <c r="C290" s="11" t="n">
        <v>0</v>
      </c>
      <c r="D290" s="11" t="n">
        <v>0</v>
      </c>
      <c r="E290" s="11" t="n">
        <v>0</v>
      </c>
      <c r="F290" s="11" t="n">
        <v>371.5</v>
      </c>
      <c r="G290" s="12" t="n">
        <f aca="false">SUM(C290:F290)</f>
        <v>371.5</v>
      </c>
      <c r="H290" s="31" t="s">
        <v>110</v>
      </c>
      <c r="I290" s="33" t="s">
        <v>108</v>
      </c>
    </row>
    <row r="291" customFormat="false" ht="15" hidden="false" customHeight="false" outlineLevel="0" collapsed="false">
      <c r="A291" s="28" t="s">
        <v>396</v>
      </c>
      <c r="B291" s="29" t="n">
        <v>2</v>
      </c>
      <c r="C291" s="15" t="n">
        <v>0</v>
      </c>
      <c r="D291" s="15" t="n">
        <v>0</v>
      </c>
      <c r="E291" s="15" t="n">
        <v>0</v>
      </c>
      <c r="F291" s="15" t="n">
        <v>371.5</v>
      </c>
      <c r="G291" s="16" t="n">
        <f aca="false">SUM(C291:F291)</f>
        <v>371.5</v>
      </c>
      <c r="H291" s="28" t="s">
        <v>110</v>
      </c>
      <c r="I291" s="30" t="s">
        <v>108</v>
      </c>
    </row>
    <row r="292" customFormat="false" ht="15" hidden="false" customHeight="false" outlineLevel="0" collapsed="false">
      <c r="A292" s="31" t="s">
        <v>397</v>
      </c>
      <c r="B292" s="32" t="n">
        <v>3</v>
      </c>
      <c r="C292" s="11" t="n">
        <v>0</v>
      </c>
      <c r="D292" s="11" t="n">
        <v>0</v>
      </c>
      <c r="E292" s="11" t="n">
        <v>0</v>
      </c>
      <c r="F292" s="11" t="n">
        <v>370.65</v>
      </c>
      <c r="G292" s="12" t="n">
        <f aca="false">SUM(C292:F292)</f>
        <v>370.65</v>
      </c>
      <c r="H292" s="31" t="s">
        <v>110</v>
      </c>
      <c r="I292" s="33" t="s">
        <v>108</v>
      </c>
    </row>
    <row r="293" customFormat="false" ht="15" hidden="false" customHeight="false" outlineLevel="0" collapsed="false">
      <c r="A293" s="28" t="s">
        <v>398</v>
      </c>
      <c r="B293" s="29" t="n">
        <v>3</v>
      </c>
      <c r="C293" s="15" t="n">
        <v>0</v>
      </c>
      <c r="D293" s="15" t="n">
        <v>0</v>
      </c>
      <c r="E293" s="15" t="n">
        <v>0</v>
      </c>
      <c r="F293" s="15" t="n">
        <v>366.79</v>
      </c>
      <c r="G293" s="16" t="n">
        <f aca="false">SUM(C293:F293)</f>
        <v>366.79</v>
      </c>
      <c r="H293" s="28" t="s">
        <v>110</v>
      </c>
      <c r="I293" s="30" t="s">
        <v>108</v>
      </c>
    </row>
    <row r="294" customFormat="false" ht="15" hidden="false" customHeight="false" outlineLevel="0" collapsed="false">
      <c r="A294" s="31" t="s">
        <v>399</v>
      </c>
      <c r="B294" s="32" t="n">
        <v>7</v>
      </c>
      <c r="C294" s="11" t="n">
        <v>185.35</v>
      </c>
      <c r="D294" s="11" t="n">
        <v>0</v>
      </c>
      <c r="E294" s="11" t="n">
        <v>0</v>
      </c>
      <c r="F294" s="11" t="n">
        <v>178.3</v>
      </c>
      <c r="G294" s="12" t="n">
        <f aca="false">SUM(C294:F294)</f>
        <v>363.65</v>
      </c>
      <c r="H294" s="31" t="s">
        <v>97</v>
      </c>
      <c r="I294" s="33" t="s">
        <v>102</v>
      </c>
    </row>
    <row r="295" customFormat="false" ht="15" hidden="false" customHeight="false" outlineLevel="0" collapsed="false">
      <c r="A295" s="28" t="s">
        <v>400</v>
      </c>
      <c r="B295" s="29" t="n">
        <v>4</v>
      </c>
      <c r="C295" s="15" t="n">
        <v>0</v>
      </c>
      <c r="D295" s="15" t="n">
        <v>0</v>
      </c>
      <c r="E295" s="15" t="n">
        <v>0</v>
      </c>
      <c r="F295" s="15" t="n">
        <v>362.34</v>
      </c>
      <c r="G295" s="16" t="n">
        <f aca="false">SUM(C295:F295)</f>
        <v>362.34</v>
      </c>
      <c r="H295" s="28" t="s">
        <v>110</v>
      </c>
      <c r="I295" s="30" t="s">
        <v>108</v>
      </c>
    </row>
    <row r="296" customFormat="false" ht="15" hidden="false" customHeight="false" outlineLevel="0" collapsed="false">
      <c r="A296" s="31" t="s">
        <v>401</v>
      </c>
      <c r="B296" s="32" t="n">
        <v>3</v>
      </c>
      <c r="C296" s="11" t="n">
        <v>0</v>
      </c>
      <c r="D296" s="11" t="n">
        <v>0</v>
      </c>
      <c r="E296" s="11" t="n">
        <v>0</v>
      </c>
      <c r="F296" s="11" t="n">
        <v>362.19</v>
      </c>
      <c r="G296" s="12" t="n">
        <f aca="false">SUM(C296:F296)</f>
        <v>362.19</v>
      </c>
      <c r="H296" s="31" t="s">
        <v>110</v>
      </c>
      <c r="I296" s="33" t="s">
        <v>108</v>
      </c>
    </row>
    <row r="297" customFormat="false" ht="15" hidden="false" customHeight="false" outlineLevel="0" collapsed="false">
      <c r="A297" s="28" t="s">
        <v>402</v>
      </c>
      <c r="B297" s="29" t="n">
        <v>3</v>
      </c>
      <c r="C297" s="15" t="n">
        <v>0</v>
      </c>
      <c r="D297" s="15" t="n">
        <v>0</v>
      </c>
      <c r="E297" s="15" t="n">
        <v>0</v>
      </c>
      <c r="F297" s="15" t="n">
        <v>362.19</v>
      </c>
      <c r="G297" s="16" t="n">
        <f aca="false">SUM(C297:F297)</f>
        <v>362.19</v>
      </c>
      <c r="H297" s="28" t="s">
        <v>110</v>
      </c>
      <c r="I297" s="30" t="s">
        <v>108</v>
      </c>
    </row>
    <row r="298" customFormat="false" ht="15" hidden="false" customHeight="false" outlineLevel="0" collapsed="false">
      <c r="A298" s="31" t="s">
        <v>403</v>
      </c>
      <c r="B298" s="32" t="n">
        <v>2</v>
      </c>
      <c r="C298" s="11" t="n">
        <v>0</v>
      </c>
      <c r="D298" s="11" t="n">
        <v>0</v>
      </c>
      <c r="E298" s="11" t="n">
        <v>0</v>
      </c>
      <c r="F298" s="11" t="n">
        <v>361.88</v>
      </c>
      <c r="G298" s="12" t="n">
        <f aca="false">SUM(C298:F298)</f>
        <v>361.88</v>
      </c>
      <c r="H298" s="31" t="s">
        <v>110</v>
      </c>
      <c r="I298" s="33" t="s">
        <v>108</v>
      </c>
    </row>
    <row r="299" customFormat="false" ht="15" hidden="false" customHeight="false" outlineLevel="0" collapsed="false">
      <c r="A299" s="28" t="s">
        <v>404</v>
      </c>
      <c r="B299" s="29" t="n">
        <v>1</v>
      </c>
      <c r="C299" s="15" t="n">
        <v>0</v>
      </c>
      <c r="D299" s="15" t="n">
        <v>357.5</v>
      </c>
      <c r="E299" s="15" t="n">
        <v>0</v>
      </c>
      <c r="F299" s="15" t="n">
        <v>0</v>
      </c>
      <c r="G299" s="16" t="n">
        <f aca="false">SUM(C299:F299)</f>
        <v>357.5</v>
      </c>
      <c r="H299" s="28" t="s">
        <v>97</v>
      </c>
      <c r="I299" s="30" t="s">
        <v>95</v>
      </c>
    </row>
    <row r="300" customFormat="false" ht="15" hidden="false" customHeight="false" outlineLevel="0" collapsed="false">
      <c r="A300" s="31" t="s">
        <v>405</v>
      </c>
      <c r="B300" s="32" t="n">
        <v>4</v>
      </c>
      <c r="C300" s="11" t="n">
        <v>0</v>
      </c>
      <c r="D300" s="11" t="n">
        <v>0</v>
      </c>
      <c r="E300" s="11" t="n">
        <v>0</v>
      </c>
      <c r="F300" s="11" t="n">
        <v>356.75</v>
      </c>
      <c r="G300" s="12" t="n">
        <f aca="false">SUM(C300:F300)</f>
        <v>356.75</v>
      </c>
      <c r="H300" s="31" t="s">
        <v>110</v>
      </c>
      <c r="I300" s="33" t="s">
        <v>108</v>
      </c>
    </row>
    <row r="301" customFormat="false" ht="15" hidden="false" customHeight="false" outlineLevel="0" collapsed="false">
      <c r="A301" s="28" t="s">
        <v>406</v>
      </c>
      <c r="B301" s="29" t="n">
        <v>7</v>
      </c>
      <c r="C301" s="15" t="n">
        <v>0</v>
      </c>
      <c r="D301" s="15" t="n">
        <v>0</v>
      </c>
      <c r="E301" s="15" t="n">
        <v>0</v>
      </c>
      <c r="F301" s="15" t="n">
        <v>353.05</v>
      </c>
      <c r="G301" s="16" t="n">
        <f aca="false">SUM(C301:F301)</f>
        <v>353.05</v>
      </c>
      <c r="H301" s="28" t="s">
        <v>110</v>
      </c>
      <c r="I301" s="30" t="s">
        <v>108</v>
      </c>
    </row>
    <row r="302" customFormat="false" ht="15" hidden="false" customHeight="false" outlineLevel="0" collapsed="false">
      <c r="A302" s="31" t="s">
        <v>407</v>
      </c>
      <c r="B302" s="32" t="n">
        <v>2</v>
      </c>
      <c r="C302" s="11" t="n">
        <v>0</v>
      </c>
      <c r="D302" s="11" t="n">
        <v>0</v>
      </c>
      <c r="E302" s="11" t="n">
        <v>0</v>
      </c>
      <c r="F302" s="11" t="n">
        <v>353</v>
      </c>
      <c r="G302" s="12" t="n">
        <f aca="false">SUM(C302:F302)</f>
        <v>353</v>
      </c>
      <c r="H302" s="31" t="s">
        <v>110</v>
      </c>
      <c r="I302" s="33" t="s">
        <v>108</v>
      </c>
    </row>
    <row r="303" customFormat="false" ht="15" hidden="false" customHeight="false" outlineLevel="0" collapsed="false">
      <c r="A303" s="28" t="s">
        <v>408</v>
      </c>
      <c r="B303" s="29" t="n">
        <v>2</v>
      </c>
      <c r="C303" s="15" t="n">
        <v>0</v>
      </c>
      <c r="D303" s="15" t="n">
        <v>0</v>
      </c>
      <c r="E303" s="15" t="n">
        <v>0</v>
      </c>
      <c r="F303" s="15" t="n">
        <v>353</v>
      </c>
      <c r="G303" s="16" t="n">
        <f aca="false">SUM(C303:F303)</f>
        <v>353</v>
      </c>
      <c r="H303" s="28" t="s">
        <v>110</v>
      </c>
      <c r="I303" s="30" t="s">
        <v>108</v>
      </c>
    </row>
    <row r="304" customFormat="false" ht="15" hidden="false" customHeight="false" outlineLevel="0" collapsed="false">
      <c r="A304" s="31" t="s">
        <v>409</v>
      </c>
      <c r="B304" s="32" t="n">
        <v>3</v>
      </c>
      <c r="C304" s="11" t="n">
        <v>0</v>
      </c>
      <c r="D304" s="11" t="n">
        <v>0</v>
      </c>
      <c r="E304" s="11" t="n">
        <v>0</v>
      </c>
      <c r="F304" s="11" t="n">
        <v>352.15</v>
      </c>
      <c r="G304" s="12" t="n">
        <f aca="false">SUM(C304:F304)</f>
        <v>352.15</v>
      </c>
      <c r="H304" s="31" t="s">
        <v>110</v>
      </c>
      <c r="I304" s="33" t="s">
        <v>108</v>
      </c>
    </row>
    <row r="305" customFormat="false" ht="15" hidden="false" customHeight="false" outlineLevel="0" collapsed="false">
      <c r="A305" s="28" t="s">
        <v>410</v>
      </c>
      <c r="B305" s="29" t="n">
        <v>3</v>
      </c>
      <c r="C305" s="15" t="n">
        <v>0</v>
      </c>
      <c r="D305" s="15" t="n">
        <v>0</v>
      </c>
      <c r="E305" s="15" t="n">
        <v>0</v>
      </c>
      <c r="F305" s="15" t="n">
        <v>352.15</v>
      </c>
      <c r="G305" s="16" t="n">
        <f aca="false">SUM(C305:F305)</f>
        <v>352.15</v>
      </c>
      <c r="H305" s="28" t="s">
        <v>110</v>
      </c>
      <c r="I305" s="30" t="s">
        <v>108</v>
      </c>
    </row>
    <row r="306" customFormat="false" ht="15" hidden="false" customHeight="false" outlineLevel="0" collapsed="false">
      <c r="A306" s="31" t="s">
        <v>411</v>
      </c>
      <c r="B306" s="32" t="n">
        <v>4</v>
      </c>
      <c r="C306" s="11" t="n">
        <v>0</v>
      </c>
      <c r="D306" s="11" t="n">
        <v>0</v>
      </c>
      <c r="E306" s="11" t="n">
        <v>0</v>
      </c>
      <c r="F306" s="11" t="n">
        <v>351.86</v>
      </c>
      <c r="G306" s="12" t="n">
        <f aca="false">SUM(C306:F306)</f>
        <v>351.86</v>
      </c>
      <c r="H306" s="31" t="s">
        <v>110</v>
      </c>
      <c r="I306" s="33" t="s">
        <v>108</v>
      </c>
    </row>
    <row r="307" customFormat="false" ht="15" hidden="false" customHeight="false" outlineLevel="0" collapsed="false">
      <c r="A307" s="28" t="s">
        <v>412</v>
      </c>
      <c r="B307" s="29" t="n">
        <v>6</v>
      </c>
      <c r="C307" s="15" t="n">
        <v>327.85</v>
      </c>
      <c r="D307" s="15" t="n">
        <v>0</v>
      </c>
      <c r="E307" s="15" t="n">
        <v>0</v>
      </c>
      <c r="F307" s="15" t="n">
        <v>17.65</v>
      </c>
      <c r="G307" s="16" t="n">
        <f aca="false">SUM(C307:F307)</f>
        <v>345.5</v>
      </c>
      <c r="H307" s="28" t="s">
        <v>97</v>
      </c>
      <c r="I307" s="30" t="s">
        <v>102</v>
      </c>
    </row>
    <row r="308" customFormat="false" ht="15" hidden="false" customHeight="false" outlineLevel="0" collapsed="false">
      <c r="A308" s="31" t="s">
        <v>413</v>
      </c>
      <c r="B308" s="32" t="n">
        <v>3</v>
      </c>
      <c r="C308" s="11" t="n">
        <v>0</v>
      </c>
      <c r="D308" s="11" t="n">
        <v>0</v>
      </c>
      <c r="E308" s="11" t="n">
        <v>0</v>
      </c>
      <c r="F308" s="11" t="n">
        <v>341.59</v>
      </c>
      <c r="G308" s="12" t="n">
        <f aca="false">SUM(C308:F308)</f>
        <v>341.59</v>
      </c>
      <c r="H308" s="31" t="s">
        <v>110</v>
      </c>
      <c r="I308" s="33" t="s">
        <v>108</v>
      </c>
    </row>
    <row r="309" customFormat="false" ht="15" hidden="false" customHeight="false" outlineLevel="0" collapsed="false">
      <c r="A309" s="28" t="s">
        <v>414</v>
      </c>
      <c r="B309" s="29" t="n">
        <v>2</v>
      </c>
      <c r="C309" s="15" t="n">
        <v>0</v>
      </c>
      <c r="D309" s="15" t="n">
        <v>0</v>
      </c>
      <c r="E309" s="15" t="n">
        <v>0</v>
      </c>
      <c r="F309" s="15" t="n">
        <v>340.09</v>
      </c>
      <c r="G309" s="16" t="n">
        <f aca="false">SUM(C309:F309)</f>
        <v>340.09</v>
      </c>
      <c r="H309" s="28" t="s">
        <v>110</v>
      </c>
      <c r="I309" s="30" t="s">
        <v>108</v>
      </c>
    </row>
    <row r="310" customFormat="false" ht="15" hidden="false" customHeight="false" outlineLevel="0" collapsed="false">
      <c r="A310" s="31" t="s">
        <v>415</v>
      </c>
      <c r="B310" s="32" t="n">
        <v>3</v>
      </c>
      <c r="C310" s="11" t="n">
        <v>0</v>
      </c>
      <c r="D310" s="11" t="n">
        <v>0</v>
      </c>
      <c r="E310" s="11" t="n">
        <v>0</v>
      </c>
      <c r="F310" s="11" t="n">
        <v>337.56</v>
      </c>
      <c r="G310" s="12" t="n">
        <f aca="false">SUM(C310:F310)</f>
        <v>337.56</v>
      </c>
      <c r="H310" s="31" t="s">
        <v>110</v>
      </c>
      <c r="I310" s="33" t="s">
        <v>108</v>
      </c>
    </row>
    <row r="311" customFormat="false" ht="15" hidden="false" customHeight="false" outlineLevel="0" collapsed="false">
      <c r="A311" s="28" t="s">
        <v>416</v>
      </c>
      <c r="B311" s="29" t="n">
        <v>2</v>
      </c>
      <c r="C311" s="15" t="n">
        <v>0</v>
      </c>
      <c r="D311" s="15" t="n">
        <v>0</v>
      </c>
      <c r="E311" s="15" t="n">
        <v>0</v>
      </c>
      <c r="F311" s="15" t="n">
        <v>335.25</v>
      </c>
      <c r="G311" s="16" t="n">
        <f aca="false">SUM(C311:F311)</f>
        <v>335.25</v>
      </c>
      <c r="H311" s="28" t="s">
        <v>110</v>
      </c>
      <c r="I311" s="30" t="s">
        <v>108</v>
      </c>
    </row>
    <row r="312" customFormat="false" ht="15" hidden="false" customHeight="false" outlineLevel="0" collapsed="false">
      <c r="A312" s="31" t="s">
        <v>417</v>
      </c>
      <c r="B312" s="32" t="n">
        <v>2</v>
      </c>
      <c r="C312" s="11" t="n">
        <v>0</v>
      </c>
      <c r="D312" s="11" t="n">
        <v>0</v>
      </c>
      <c r="E312" s="11" t="n">
        <v>0</v>
      </c>
      <c r="F312" s="11" t="n">
        <v>334.5</v>
      </c>
      <c r="G312" s="12" t="n">
        <f aca="false">SUM(C312:F312)</f>
        <v>334.5</v>
      </c>
      <c r="H312" s="31" t="s">
        <v>110</v>
      </c>
      <c r="I312" s="33" t="s">
        <v>108</v>
      </c>
    </row>
    <row r="313" customFormat="false" ht="15" hidden="false" customHeight="false" outlineLevel="0" collapsed="false">
      <c r="A313" s="28" t="s">
        <v>418</v>
      </c>
      <c r="B313" s="29" t="n">
        <v>12</v>
      </c>
      <c r="C313" s="15" t="n">
        <v>319.55</v>
      </c>
      <c r="D313" s="15" t="n">
        <v>9.9</v>
      </c>
      <c r="E313" s="15" t="n">
        <v>0</v>
      </c>
      <c r="F313" s="15" t="n">
        <v>0</v>
      </c>
      <c r="G313" s="16" t="n">
        <f aca="false">SUM(C313:F313)</f>
        <v>329.45</v>
      </c>
      <c r="H313" s="28" t="s">
        <v>97</v>
      </c>
      <c r="I313" s="30" t="s">
        <v>102</v>
      </c>
    </row>
    <row r="314" customFormat="false" ht="15" hidden="false" customHeight="false" outlineLevel="0" collapsed="false">
      <c r="A314" s="31" t="s">
        <v>419</v>
      </c>
      <c r="B314" s="32" t="n">
        <v>4</v>
      </c>
      <c r="C314" s="11" t="n">
        <v>0</v>
      </c>
      <c r="D314" s="11" t="n">
        <v>0</v>
      </c>
      <c r="E314" s="11" t="n">
        <v>0</v>
      </c>
      <c r="F314" s="11" t="n">
        <v>327.3</v>
      </c>
      <c r="G314" s="12" t="n">
        <f aca="false">SUM(C314:F314)</f>
        <v>327.3</v>
      </c>
      <c r="H314" s="31" t="s">
        <v>110</v>
      </c>
      <c r="I314" s="33" t="s">
        <v>108</v>
      </c>
    </row>
    <row r="315" customFormat="false" ht="15" hidden="false" customHeight="false" outlineLevel="0" collapsed="false">
      <c r="A315" s="28" t="s">
        <v>420</v>
      </c>
      <c r="B315" s="29" t="n">
        <v>3</v>
      </c>
      <c r="C315" s="15" t="n">
        <v>0</v>
      </c>
      <c r="D315" s="15" t="n">
        <v>0</v>
      </c>
      <c r="E315" s="15" t="n">
        <v>0</v>
      </c>
      <c r="F315" s="15" t="n">
        <v>317.03</v>
      </c>
      <c r="G315" s="16" t="n">
        <f aca="false">SUM(C315:F315)</f>
        <v>317.03</v>
      </c>
      <c r="H315" s="28" t="s">
        <v>110</v>
      </c>
      <c r="I315" s="30" t="s">
        <v>115</v>
      </c>
    </row>
    <row r="316" customFormat="false" ht="15" hidden="false" customHeight="false" outlineLevel="0" collapsed="false">
      <c r="A316" s="31" t="s">
        <v>421</v>
      </c>
      <c r="B316" s="32" t="n">
        <v>2</v>
      </c>
      <c r="C316" s="11" t="n">
        <v>0</v>
      </c>
      <c r="D316" s="11" t="n">
        <v>0</v>
      </c>
      <c r="E316" s="11" t="n">
        <v>0</v>
      </c>
      <c r="F316" s="11" t="n">
        <v>314</v>
      </c>
      <c r="G316" s="12" t="n">
        <f aca="false">SUM(C316:F316)</f>
        <v>314</v>
      </c>
      <c r="H316" s="31" t="s">
        <v>110</v>
      </c>
      <c r="I316" s="33" t="s">
        <v>108</v>
      </c>
    </row>
    <row r="317" customFormat="false" ht="15" hidden="false" customHeight="false" outlineLevel="0" collapsed="false">
      <c r="A317" s="28" t="s">
        <v>422</v>
      </c>
      <c r="B317" s="29" t="n">
        <v>3</v>
      </c>
      <c r="C317" s="15" t="n">
        <v>0</v>
      </c>
      <c r="D317" s="15" t="n">
        <v>0</v>
      </c>
      <c r="E317" s="15" t="n">
        <v>0</v>
      </c>
      <c r="F317" s="15" t="n">
        <v>311.12</v>
      </c>
      <c r="G317" s="16" t="n">
        <f aca="false">SUM(C317:F317)</f>
        <v>311.12</v>
      </c>
      <c r="H317" s="28" t="s">
        <v>110</v>
      </c>
      <c r="I317" s="30" t="s">
        <v>108</v>
      </c>
    </row>
    <row r="318" customFormat="false" ht="15" hidden="false" customHeight="false" outlineLevel="0" collapsed="false">
      <c r="A318" s="31" t="s">
        <v>423</v>
      </c>
      <c r="B318" s="32" t="n">
        <v>4</v>
      </c>
      <c r="C318" s="11" t="n">
        <v>0</v>
      </c>
      <c r="D318" s="11" t="n">
        <v>0</v>
      </c>
      <c r="E318" s="11" t="n">
        <v>0</v>
      </c>
      <c r="F318" s="11" t="n">
        <v>308.03</v>
      </c>
      <c r="G318" s="12" t="n">
        <f aca="false">SUM(C318:F318)</f>
        <v>308.03</v>
      </c>
      <c r="H318" s="31" t="s">
        <v>110</v>
      </c>
      <c r="I318" s="33" t="s">
        <v>108</v>
      </c>
    </row>
    <row r="319" customFormat="false" ht="15" hidden="false" customHeight="false" outlineLevel="0" collapsed="false">
      <c r="A319" s="28" t="s">
        <v>424</v>
      </c>
      <c r="B319" s="29" t="n">
        <v>2</v>
      </c>
      <c r="C319" s="15" t="n">
        <v>0</v>
      </c>
      <c r="D319" s="15" t="n">
        <v>0</v>
      </c>
      <c r="E319" s="15" t="n">
        <v>0</v>
      </c>
      <c r="F319" s="15" t="n">
        <v>303.65</v>
      </c>
      <c r="G319" s="16" t="n">
        <f aca="false">SUM(C319:F319)</f>
        <v>303.65</v>
      </c>
      <c r="H319" s="28" t="s">
        <v>110</v>
      </c>
      <c r="I319" s="30" t="s">
        <v>108</v>
      </c>
    </row>
    <row r="320" customFormat="false" ht="15" hidden="false" customHeight="false" outlineLevel="0" collapsed="false">
      <c r="A320" s="31" t="s">
        <v>425</v>
      </c>
      <c r="B320" s="32" t="n">
        <v>4</v>
      </c>
      <c r="C320" s="11" t="n">
        <v>0</v>
      </c>
      <c r="D320" s="11" t="n">
        <v>0</v>
      </c>
      <c r="E320" s="11" t="n">
        <v>0</v>
      </c>
      <c r="F320" s="11" t="n">
        <v>298.84</v>
      </c>
      <c r="G320" s="12" t="n">
        <f aca="false">SUM(C320:F320)</f>
        <v>298.84</v>
      </c>
      <c r="H320" s="31" t="s">
        <v>110</v>
      </c>
      <c r="I320" s="33" t="s">
        <v>108</v>
      </c>
    </row>
    <row r="321" customFormat="false" ht="15" hidden="false" customHeight="false" outlineLevel="0" collapsed="false">
      <c r="A321" s="28" t="s">
        <v>426</v>
      </c>
      <c r="B321" s="29" t="n">
        <v>5</v>
      </c>
      <c r="C321" s="15" t="n">
        <v>295.82</v>
      </c>
      <c r="D321" s="15" t="n">
        <v>0</v>
      </c>
      <c r="E321" s="15" t="n">
        <v>0</v>
      </c>
      <c r="F321" s="15" t="n">
        <v>0</v>
      </c>
      <c r="G321" s="16" t="n">
        <f aca="false">SUM(C321:F321)</f>
        <v>295.82</v>
      </c>
      <c r="H321" s="28" t="s">
        <v>97</v>
      </c>
      <c r="I321" s="30" t="s">
        <v>102</v>
      </c>
    </row>
    <row r="322" customFormat="false" ht="15" hidden="false" customHeight="false" outlineLevel="0" collapsed="false">
      <c r="A322" s="31" t="s">
        <v>427</v>
      </c>
      <c r="B322" s="32" t="n">
        <v>2</v>
      </c>
      <c r="C322" s="11" t="n">
        <v>0</v>
      </c>
      <c r="D322" s="11" t="n">
        <v>0</v>
      </c>
      <c r="E322" s="11" t="n">
        <v>0</v>
      </c>
      <c r="F322" s="11" t="n">
        <v>287.65</v>
      </c>
      <c r="G322" s="12" t="n">
        <f aca="false">SUM(C322:F322)</f>
        <v>287.65</v>
      </c>
      <c r="H322" s="31" t="s">
        <v>110</v>
      </c>
      <c r="I322" s="33" t="s">
        <v>108</v>
      </c>
    </row>
    <row r="323" customFormat="false" ht="15" hidden="false" customHeight="false" outlineLevel="0" collapsed="false">
      <c r="A323" s="28" t="s">
        <v>428</v>
      </c>
      <c r="B323" s="29" t="n">
        <v>2</v>
      </c>
      <c r="C323" s="15" t="n">
        <v>0</v>
      </c>
      <c r="D323" s="15" t="n">
        <v>0</v>
      </c>
      <c r="E323" s="15" t="n">
        <v>0</v>
      </c>
      <c r="F323" s="15" t="n">
        <v>285.15</v>
      </c>
      <c r="G323" s="16" t="n">
        <f aca="false">SUM(C323:F323)</f>
        <v>285.15</v>
      </c>
      <c r="H323" s="28" t="s">
        <v>110</v>
      </c>
      <c r="I323" s="30" t="s">
        <v>108</v>
      </c>
    </row>
    <row r="324" customFormat="false" ht="15" hidden="false" customHeight="false" outlineLevel="0" collapsed="false">
      <c r="A324" s="31" t="s">
        <v>429</v>
      </c>
      <c r="B324" s="32" t="n">
        <v>2</v>
      </c>
      <c r="C324" s="11" t="n">
        <v>0</v>
      </c>
      <c r="D324" s="11" t="n">
        <v>0</v>
      </c>
      <c r="E324" s="11" t="n">
        <v>0</v>
      </c>
      <c r="F324" s="11" t="n">
        <v>276.59</v>
      </c>
      <c r="G324" s="12" t="n">
        <f aca="false">SUM(C324:F324)</f>
        <v>276.59</v>
      </c>
      <c r="H324" s="31" t="s">
        <v>110</v>
      </c>
      <c r="I324" s="33" t="s">
        <v>108</v>
      </c>
    </row>
    <row r="325" customFormat="false" ht="15" hidden="false" customHeight="false" outlineLevel="0" collapsed="false">
      <c r="A325" s="28" t="s">
        <v>430</v>
      </c>
      <c r="B325" s="29" t="n">
        <v>3</v>
      </c>
      <c r="C325" s="15" t="n">
        <v>0</v>
      </c>
      <c r="D325" s="15" t="n">
        <v>0</v>
      </c>
      <c r="E325" s="15" t="n">
        <v>0</v>
      </c>
      <c r="F325" s="15" t="n">
        <v>271.94</v>
      </c>
      <c r="G325" s="16" t="n">
        <f aca="false">SUM(C325:F325)</f>
        <v>271.94</v>
      </c>
      <c r="H325" s="28" t="s">
        <v>110</v>
      </c>
      <c r="I325" s="30" t="s">
        <v>108</v>
      </c>
    </row>
    <row r="326" customFormat="false" ht="15" hidden="false" customHeight="false" outlineLevel="0" collapsed="false">
      <c r="A326" s="31" t="s">
        <v>431</v>
      </c>
      <c r="B326" s="32" t="n">
        <v>4</v>
      </c>
      <c r="C326" s="11" t="n">
        <v>0</v>
      </c>
      <c r="D326" s="11" t="n">
        <v>0</v>
      </c>
      <c r="E326" s="11" t="n">
        <v>0</v>
      </c>
      <c r="F326" s="11" t="n">
        <v>263.8</v>
      </c>
      <c r="G326" s="12" t="n">
        <f aca="false">SUM(C326:F326)</f>
        <v>263.8</v>
      </c>
      <c r="H326" s="31" t="s">
        <v>110</v>
      </c>
      <c r="I326" s="33" t="s">
        <v>108</v>
      </c>
    </row>
    <row r="327" customFormat="false" ht="15" hidden="false" customHeight="false" outlineLevel="0" collapsed="false">
      <c r="A327" s="28" t="s">
        <v>432</v>
      </c>
      <c r="B327" s="29" t="n">
        <v>4</v>
      </c>
      <c r="C327" s="15" t="n">
        <v>0</v>
      </c>
      <c r="D327" s="15" t="n">
        <v>0</v>
      </c>
      <c r="E327" s="15" t="n">
        <v>0</v>
      </c>
      <c r="F327" s="15" t="n">
        <v>263.8</v>
      </c>
      <c r="G327" s="16" t="n">
        <f aca="false">SUM(C327:F327)</f>
        <v>263.8</v>
      </c>
      <c r="H327" s="28" t="s">
        <v>110</v>
      </c>
      <c r="I327" s="30" t="s">
        <v>108</v>
      </c>
    </row>
    <row r="328" customFormat="false" ht="15" hidden="false" customHeight="false" outlineLevel="0" collapsed="false">
      <c r="A328" s="31" t="s">
        <v>433</v>
      </c>
      <c r="B328" s="32" t="n">
        <v>5</v>
      </c>
      <c r="C328" s="11" t="n">
        <v>0</v>
      </c>
      <c r="D328" s="11" t="n">
        <v>0</v>
      </c>
      <c r="E328" s="11" t="n">
        <v>0</v>
      </c>
      <c r="F328" s="11" t="n">
        <v>262.95</v>
      </c>
      <c r="G328" s="12" t="n">
        <f aca="false">SUM(C328:F328)</f>
        <v>262.95</v>
      </c>
      <c r="H328" s="31" t="s">
        <v>110</v>
      </c>
      <c r="I328" s="33" t="s">
        <v>108</v>
      </c>
    </row>
    <row r="329" customFormat="false" ht="15" hidden="false" customHeight="false" outlineLevel="0" collapsed="false">
      <c r="A329" s="28" t="s">
        <v>434</v>
      </c>
      <c r="B329" s="29" t="n">
        <v>2</v>
      </c>
      <c r="C329" s="15" t="n">
        <v>0</v>
      </c>
      <c r="D329" s="15" t="n">
        <v>0</v>
      </c>
      <c r="E329" s="15" t="n">
        <v>0</v>
      </c>
      <c r="F329" s="15" t="n">
        <v>260.16</v>
      </c>
      <c r="G329" s="16" t="n">
        <f aca="false">SUM(C329:F329)</f>
        <v>260.16</v>
      </c>
      <c r="H329" s="28" t="s">
        <v>110</v>
      </c>
      <c r="I329" s="30" t="s">
        <v>108</v>
      </c>
    </row>
    <row r="330" customFormat="false" ht="15" hidden="false" customHeight="false" outlineLevel="0" collapsed="false">
      <c r="A330" s="31" t="s">
        <v>435</v>
      </c>
      <c r="B330" s="32" t="n">
        <v>3</v>
      </c>
      <c r="C330" s="11" t="n">
        <v>0</v>
      </c>
      <c r="D330" s="11" t="n">
        <v>0</v>
      </c>
      <c r="E330" s="11" t="n">
        <v>0</v>
      </c>
      <c r="F330" s="11" t="n">
        <v>246.89</v>
      </c>
      <c r="G330" s="12" t="n">
        <f aca="false">SUM(C330:F330)</f>
        <v>246.89</v>
      </c>
      <c r="H330" s="31" t="s">
        <v>110</v>
      </c>
      <c r="I330" s="33" t="s">
        <v>108</v>
      </c>
    </row>
    <row r="331" customFormat="false" ht="15" hidden="false" customHeight="false" outlineLevel="0" collapsed="false">
      <c r="A331" s="28" t="s">
        <v>436</v>
      </c>
      <c r="B331" s="29" t="n">
        <v>3</v>
      </c>
      <c r="C331" s="15" t="n">
        <v>0</v>
      </c>
      <c r="D331" s="15" t="n">
        <v>0</v>
      </c>
      <c r="E331" s="15" t="n">
        <v>0</v>
      </c>
      <c r="F331" s="15" t="n">
        <v>246.15</v>
      </c>
      <c r="G331" s="16" t="n">
        <f aca="false">SUM(C331:F331)</f>
        <v>246.15</v>
      </c>
      <c r="H331" s="28" t="s">
        <v>110</v>
      </c>
      <c r="I331" s="30" t="s">
        <v>108</v>
      </c>
    </row>
    <row r="332" customFormat="false" ht="15" hidden="false" customHeight="false" outlineLevel="0" collapsed="false">
      <c r="A332" s="31" t="s">
        <v>437</v>
      </c>
      <c r="B332" s="32" t="n">
        <v>3</v>
      </c>
      <c r="C332" s="11" t="n">
        <v>0</v>
      </c>
      <c r="D332" s="11" t="n">
        <v>0</v>
      </c>
      <c r="E332" s="11" t="n">
        <v>0</v>
      </c>
      <c r="F332" s="11" t="n">
        <v>246.15</v>
      </c>
      <c r="G332" s="12" t="n">
        <f aca="false">SUM(C332:F332)</f>
        <v>246.15</v>
      </c>
      <c r="H332" s="31" t="s">
        <v>110</v>
      </c>
      <c r="I332" s="33" t="s">
        <v>115</v>
      </c>
    </row>
    <row r="333" customFormat="false" ht="15" hidden="false" customHeight="false" outlineLevel="0" collapsed="false">
      <c r="A333" s="28" t="s">
        <v>438</v>
      </c>
      <c r="B333" s="29" t="n">
        <v>3</v>
      </c>
      <c r="C333" s="15" t="n">
        <v>0</v>
      </c>
      <c r="D333" s="15" t="n">
        <v>0</v>
      </c>
      <c r="E333" s="15" t="n">
        <v>0</v>
      </c>
      <c r="F333" s="15" t="n">
        <v>246.15</v>
      </c>
      <c r="G333" s="16" t="n">
        <f aca="false">SUM(C333:F333)</f>
        <v>246.15</v>
      </c>
      <c r="H333" s="28" t="s">
        <v>110</v>
      </c>
      <c r="I333" s="30" t="s">
        <v>108</v>
      </c>
    </row>
    <row r="334" customFormat="false" ht="15" hidden="false" customHeight="false" outlineLevel="0" collapsed="false">
      <c r="A334" s="31" t="s">
        <v>439</v>
      </c>
      <c r="B334" s="32" t="n">
        <v>3</v>
      </c>
      <c r="C334" s="11" t="n">
        <v>0</v>
      </c>
      <c r="D334" s="11" t="n">
        <v>0</v>
      </c>
      <c r="E334" s="11" t="n">
        <v>0</v>
      </c>
      <c r="F334" s="11" t="n">
        <v>246.15</v>
      </c>
      <c r="G334" s="12" t="n">
        <f aca="false">SUM(C334:F334)</f>
        <v>246.15</v>
      </c>
      <c r="H334" s="31" t="s">
        <v>110</v>
      </c>
      <c r="I334" s="33" t="s">
        <v>108</v>
      </c>
    </row>
    <row r="335" customFormat="false" ht="15" hidden="false" customHeight="false" outlineLevel="0" collapsed="false">
      <c r="A335" s="28" t="s">
        <v>440</v>
      </c>
      <c r="B335" s="29" t="n">
        <v>4</v>
      </c>
      <c r="C335" s="15" t="n">
        <v>0</v>
      </c>
      <c r="D335" s="15" t="n">
        <v>0</v>
      </c>
      <c r="E335" s="15" t="n">
        <v>0</v>
      </c>
      <c r="F335" s="15" t="n">
        <v>245.3</v>
      </c>
      <c r="G335" s="16" t="n">
        <f aca="false">SUM(C335:F335)</f>
        <v>245.3</v>
      </c>
      <c r="H335" s="28" t="s">
        <v>110</v>
      </c>
      <c r="I335" s="30" t="s">
        <v>108</v>
      </c>
    </row>
    <row r="336" customFormat="false" ht="15" hidden="false" customHeight="false" outlineLevel="0" collapsed="false">
      <c r="A336" s="31" t="s">
        <v>441</v>
      </c>
      <c r="B336" s="32" t="n">
        <v>3</v>
      </c>
      <c r="C336" s="11" t="n">
        <v>0</v>
      </c>
      <c r="D336" s="11" t="n">
        <v>0</v>
      </c>
      <c r="E336" s="11" t="n">
        <v>0</v>
      </c>
      <c r="F336" s="11" t="n">
        <v>242.29</v>
      </c>
      <c r="G336" s="12" t="n">
        <f aca="false">SUM(C336:F336)</f>
        <v>242.29</v>
      </c>
      <c r="H336" s="31" t="s">
        <v>110</v>
      </c>
      <c r="I336" s="33" t="s">
        <v>108</v>
      </c>
    </row>
    <row r="337" customFormat="false" ht="15" hidden="false" customHeight="false" outlineLevel="0" collapsed="false">
      <c r="A337" s="28" t="s">
        <v>442</v>
      </c>
      <c r="B337" s="29" t="n">
        <v>2</v>
      </c>
      <c r="C337" s="15" t="n">
        <v>0</v>
      </c>
      <c r="D337" s="15" t="n">
        <v>0</v>
      </c>
      <c r="E337" s="15" t="n">
        <v>0</v>
      </c>
      <c r="F337" s="15" t="n">
        <v>239.25</v>
      </c>
      <c r="G337" s="16" t="n">
        <f aca="false">SUM(C337:F337)</f>
        <v>239.25</v>
      </c>
      <c r="H337" s="28" t="s">
        <v>110</v>
      </c>
      <c r="I337" s="30" t="s">
        <v>108</v>
      </c>
    </row>
    <row r="338" customFormat="false" ht="15" hidden="false" customHeight="false" outlineLevel="0" collapsed="false">
      <c r="A338" s="31" t="s">
        <v>443</v>
      </c>
      <c r="B338" s="32" t="n">
        <v>3</v>
      </c>
      <c r="C338" s="11" t="n">
        <v>0</v>
      </c>
      <c r="D338" s="11" t="n">
        <v>0</v>
      </c>
      <c r="E338" s="11" t="n">
        <v>0</v>
      </c>
      <c r="F338" s="11" t="n">
        <v>233.1</v>
      </c>
      <c r="G338" s="12" t="n">
        <f aca="false">SUM(C338:F338)</f>
        <v>233.1</v>
      </c>
      <c r="H338" s="31" t="s">
        <v>110</v>
      </c>
      <c r="I338" s="33" t="s">
        <v>108</v>
      </c>
    </row>
    <row r="339" customFormat="false" ht="15" hidden="false" customHeight="false" outlineLevel="0" collapsed="false">
      <c r="A339" s="28" t="s">
        <v>444</v>
      </c>
      <c r="B339" s="29" t="n">
        <v>3</v>
      </c>
      <c r="C339" s="15" t="n">
        <v>0</v>
      </c>
      <c r="D339" s="15" t="n">
        <v>0</v>
      </c>
      <c r="E339" s="15" t="n">
        <v>0</v>
      </c>
      <c r="F339" s="15" t="n">
        <v>233.1</v>
      </c>
      <c r="G339" s="16" t="n">
        <f aca="false">SUM(C339:F339)</f>
        <v>233.1</v>
      </c>
      <c r="H339" s="28" t="s">
        <v>110</v>
      </c>
      <c r="I339" s="30" t="s">
        <v>108</v>
      </c>
    </row>
    <row r="340" customFormat="false" ht="15" hidden="false" customHeight="false" outlineLevel="0" collapsed="false">
      <c r="A340" s="31" t="s">
        <v>445</v>
      </c>
      <c r="B340" s="32" t="n">
        <v>4</v>
      </c>
      <c r="C340" s="11" t="n">
        <v>0</v>
      </c>
      <c r="D340" s="11" t="n">
        <v>0</v>
      </c>
      <c r="E340" s="11" t="n">
        <v>0</v>
      </c>
      <c r="F340" s="11" t="n">
        <v>232.25</v>
      </c>
      <c r="G340" s="12" t="n">
        <f aca="false">SUM(C340:F340)</f>
        <v>232.25</v>
      </c>
      <c r="H340" s="31" t="s">
        <v>110</v>
      </c>
      <c r="I340" s="33" t="s">
        <v>108</v>
      </c>
    </row>
    <row r="341" customFormat="false" ht="15" hidden="false" customHeight="false" outlineLevel="0" collapsed="false">
      <c r="A341" s="28" t="s">
        <v>446</v>
      </c>
      <c r="B341" s="29" t="n">
        <v>4</v>
      </c>
      <c r="C341" s="15" t="n">
        <v>0</v>
      </c>
      <c r="D341" s="15" t="n">
        <v>0</v>
      </c>
      <c r="E341" s="15" t="n">
        <v>0</v>
      </c>
      <c r="F341" s="15" t="n">
        <v>232.25</v>
      </c>
      <c r="G341" s="16" t="n">
        <f aca="false">SUM(C341:F341)</f>
        <v>232.25</v>
      </c>
      <c r="H341" s="28" t="s">
        <v>110</v>
      </c>
      <c r="I341" s="30" t="s">
        <v>108</v>
      </c>
    </row>
    <row r="342" customFormat="false" ht="15" hidden="false" customHeight="false" outlineLevel="0" collapsed="false">
      <c r="A342" s="31" t="s">
        <v>447</v>
      </c>
      <c r="B342" s="32" t="n">
        <v>2</v>
      </c>
      <c r="C342" s="11" t="n">
        <v>0</v>
      </c>
      <c r="D342" s="11" t="n">
        <v>0</v>
      </c>
      <c r="E342" s="11" t="n">
        <v>0</v>
      </c>
      <c r="F342" s="11" t="n">
        <v>228.5</v>
      </c>
      <c r="G342" s="12" t="n">
        <f aca="false">SUM(C342:F342)</f>
        <v>228.5</v>
      </c>
      <c r="H342" s="31" t="s">
        <v>110</v>
      </c>
      <c r="I342" s="33" t="s">
        <v>108</v>
      </c>
    </row>
    <row r="343" customFormat="false" ht="15" hidden="false" customHeight="false" outlineLevel="0" collapsed="false">
      <c r="A343" s="28" t="s">
        <v>448</v>
      </c>
      <c r="B343" s="29" t="n">
        <v>2</v>
      </c>
      <c r="C343" s="15" t="n">
        <v>0</v>
      </c>
      <c r="D343" s="15" t="n">
        <v>0</v>
      </c>
      <c r="E343" s="15" t="n">
        <v>0</v>
      </c>
      <c r="F343" s="15" t="n">
        <v>228.5</v>
      </c>
      <c r="G343" s="16" t="n">
        <f aca="false">SUM(C343:F343)</f>
        <v>228.5</v>
      </c>
      <c r="H343" s="28" t="s">
        <v>110</v>
      </c>
      <c r="I343" s="30" t="s">
        <v>108</v>
      </c>
    </row>
    <row r="344" customFormat="false" ht="15" hidden="false" customHeight="false" outlineLevel="0" collapsed="false">
      <c r="A344" s="31" t="s">
        <v>449</v>
      </c>
      <c r="B344" s="32" t="n">
        <v>2</v>
      </c>
      <c r="C344" s="11" t="n">
        <v>0</v>
      </c>
      <c r="D344" s="11" t="n">
        <v>0</v>
      </c>
      <c r="E344" s="11" t="n">
        <v>0</v>
      </c>
      <c r="F344" s="11" t="n">
        <v>228.5</v>
      </c>
      <c r="G344" s="12" t="n">
        <f aca="false">SUM(C344:F344)</f>
        <v>228.5</v>
      </c>
      <c r="H344" s="31" t="s">
        <v>110</v>
      </c>
      <c r="I344" s="33" t="s">
        <v>108</v>
      </c>
    </row>
    <row r="345" customFormat="false" ht="15" hidden="false" customHeight="false" outlineLevel="0" collapsed="false">
      <c r="A345" s="28" t="s">
        <v>450</v>
      </c>
      <c r="B345" s="29" t="n">
        <v>2</v>
      </c>
      <c r="C345" s="15" t="n">
        <v>0</v>
      </c>
      <c r="D345" s="15" t="n">
        <v>0</v>
      </c>
      <c r="E345" s="15" t="n">
        <v>0</v>
      </c>
      <c r="F345" s="15" t="n">
        <v>228.5</v>
      </c>
      <c r="G345" s="16" t="n">
        <f aca="false">SUM(C345:F345)</f>
        <v>228.5</v>
      </c>
      <c r="H345" s="28" t="s">
        <v>110</v>
      </c>
      <c r="I345" s="30" t="s">
        <v>108</v>
      </c>
    </row>
    <row r="346" customFormat="false" ht="15" hidden="false" customHeight="false" outlineLevel="0" collapsed="false">
      <c r="A346" s="31" t="s">
        <v>451</v>
      </c>
      <c r="B346" s="32" t="n">
        <v>2</v>
      </c>
      <c r="C346" s="11" t="n">
        <v>0</v>
      </c>
      <c r="D346" s="11" t="n">
        <v>0</v>
      </c>
      <c r="E346" s="11" t="n">
        <v>0</v>
      </c>
      <c r="F346" s="11" t="n">
        <v>228.5</v>
      </c>
      <c r="G346" s="12" t="n">
        <f aca="false">SUM(C346:F346)</f>
        <v>228.5</v>
      </c>
      <c r="H346" s="31" t="s">
        <v>110</v>
      </c>
      <c r="I346" s="33" t="s">
        <v>108</v>
      </c>
    </row>
    <row r="347" customFormat="false" ht="15" hidden="false" customHeight="false" outlineLevel="0" collapsed="false">
      <c r="A347" s="28" t="s">
        <v>452</v>
      </c>
      <c r="B347" s="29" t="n">
        <v>2</v>
      </c>
      <c r="C347" s="15" t="n">
        <v>0</v>
      </c>
      <c r="D347" s="15" t="n">
        <v>0</v>
      </c>
      <c r="E347" s="15" t="n">
        <v>0</v>
      </c>
      <c r="F347" s="15" t="n">
        <v>228.5</v>
      </c>
      <c r="G347" s="16" t="n">
        <f aca="false">SUM(C347:F347)</f>
        <v>228.5</v>
      </c>
      <c r="H347" s="28" t="s">
        <v>110</v>
      </c>
      <c r="I347" s="30" t="s">
        <v>108</v>
      </c>
    </row>
    <row r="348" customFormat="false" ht="15" hidden="false" customHeight="false" outlineLevel="0" collapsed="false">
      <c r="A348" s="31" t="s">
        <v>453</v>
      </c>
      <c r="B348" s="32" t="n">
        <v>2</v>
      </c>
      <c r="C348" s="11" t="n">
        <v>0</v>
      </c>
      <c r="D348" s="11" t="n">
        <v>0</v>
      </c>
      <c r="E348" s="11" t="n">
        <v>0</v>
      </c>
      <c r="F348" s="11" t="n">
        <v>228.5</v>
      </c>
      <c r="G348" s="12" t="n">
        <f aca="false">SUM(C348:F348)</f>
        <v>228.5</v>
      </c>
      <c r="H348" s="31" t="s">
        <v>110</v>
      </c>
      <c r="I348" s="33" t="s">
        <v>108</v>
      </c>
    </row>
    <row r="349" customFormat="false" ht="15" hidden="false" customHeight="false" outlineLevel="0" collapsed="false">
      <c r="A349" s="28" t="s">
        <v>454</v>
      </c>
      <c r="B349" s="29" t="n">
        <v>2</v>
      </c>
      <c r="C349" s="15" t="n">
        <v>0</v>
      </c>
      <c r="D349" s="15" t="n">
        <v>0</v>
      </c>
      <c r="E349" s="15" t="n">
        <v>0</v>
      </c>
      <c r="F349" s="15" t="n">
        <v>228.5</v>
      </c>
      <c r="G349" s="16" t="n">
        <f aca="false">SUM(C349:F349)</f>
        <v>228.5</v>
      </c>
      <c r="H349" s="28" t="s">
        <v>110</v>
      </c>
      <c r="I349" s="30" t="s">
        <v>108</v>
      </c>
    </row>
    <row r="350" customFormat="false" ht="15" hidden="false" customHeight="false" outlineLevel="0" collapsed="false">
      <c r="A350" s="31" t="s">
        <v>455</v>
      </c>
      <c r="B350" s="32" t="n">
        <v>2</v>
      </c>
      <c r="C350" s="11" t="n">
        <v>0</v>
      </c>
      <c r="D350" s="11" t="n">
        <v>0</v>
      </c>
      <c r="E350" s="11" t="n">
        <v>0</v>
      </c>
      <c r="F350" s="11" t="n">
        <v>228.5</v>
      </c>
      <c r="G350" s="12" t="n">
        <f aca="false">SUM(C350:F350)</f>
        <v>228.5</v>
      </c>
      <c r="H350" s="31" t="s">
        <v>110</v>
      </c>
      <c r="I350" s="33" t="s">
        <v>108</v>
      </c>
    </row>
    <row r="351" customFormat="false" ht="15" hidden="false" customHeight="false" outlineLevel="0" collapsed="false">
      <c r="A351" s="28" t="s">
        <v>456</v>
      </c>
      <c r="B351" s="29" t="n">
        <v>2</v>
      </c>
      <c r="C351" s="15" t="n">
        <v>0</v>
      </c>
      <c r="D351" s="15" t="n">
        <v>0</v>
      </c>
      <c r="E351" s="15" t="n">
        <v>0</v>
      </c>
      <c r="F351" s="15" t="n">
        <v>228.5</v>
      </c>
      <c r="G351" s="16" t="n">
        <f aca="false">SUM(C351:F351)</f>
        <v>228.5</v>
      </c>
      <c r="H351" s="28" t="s">
        <v>110</v>
      </c>
      <c r="I351" s="30" t="s">
        <v>108</v>
      </c>
    </row>
    <row r="352" customFormat="false" ht="15" hidden="false" customHeight="false" outlineLevel="0" collapsed="false">
      <c r="A352" s="31" t="s">
        <v>457</v>
      </c>
      <c r="B352" s="32" t="n">
        <v>2</v>
      </c>
      <c r="C352" s="11" t="n">
        <v>0</v>
      </c>
      <c r="D352" s="11" t="n">
        <v>0</v>
      </c>
      <c r="E352" s="11" t="n">
        <v>0</v>
      </c>
      <c r="F352" s="11" t="n">
        <v>228.5</v>
      </c>
      <c r="G352" s="12" t="n">
        <f aca="false">SUM(C352:F352)</f>
        <v>228.5</v>
      </c>
      <c r="H352" s="31" t="s">
        <v>110</v>
      </c>
      <c r="I352" s="33" t="s">
        <v>108</v>
      </c>
    </row>
    <row r="353" customFormat="false" ht="15" hidden="false" customHeight="false" outlineLevel="0" collapsed="false">
      <c r="A353" s="28" t="s">
        <v>458</v>
      </c>
      <c r="B353" s="29" t="n">
        <v>2</v>
      </c>
      <c r="C353" s="15" t="n">
        <v>0</v>
      </c>
      <c r="D353" s="15" t="n">
        <v>0</v>
      </c>
      <c r="E353" s="15" t="n">
        <v>0</v>
      </c>
      <c r="F353" s="15" t="n">
        <v>228.5</v>
      </c>
      <c r="G353" s="16" t="n">
        <f aca="false">SUM(C353:F353)</f>
        <v>228.5</v>
      </c>
      <c r="H353" s="28" t="s">
        <v>110</v>
      </c>
      <c r="I353" s="30" t="s">
        <v>108</v>
      </c>
    </row>
    <row r="354" customFormat="false" ht="15" hidden="false" customHeight="false" outlineLevel="0" collapsed="false">
      <c r="A354" s="31" t="s">
        <v>459</v>
      </c>
      <c r="B354" s="32" t="n">
        <v>2</v>
      </c>
      <c r="C354" s="11" t="n">
        <v>0</v>
      </c>
      <c r="D354" s="11" t="n">
        <v>0</v>
      </c>
      <c r="E354" s="11" t="n">
        <v>0</v>
      </c>
      <c r="F354" s="11" t="n">
        <v>228.5</v>
      </c>
      <c r="G354" s="12" t="n">
        <f aca="false">SUM(C354:F354)</f>
        <v>228.5</v>
      </c>
      <c r="H354" s="31" t="s">
        <v>110</v>
      </c>
      <c r="I354" s="33" t="s">
        <v>108</v>
      </c>
    </row>
    <row r="355" customFormat="false" ht="15" hidden="false" customHeight="false" outlineLevel="0" collapsed="false">
      <c r="A355" s="28" t="s">
        <v>460</v>
      </c>
      <c r="B355" s="29" t="n">
        <v>2</v>
      </c>
      <c r="C355" s="15" t="n">
        <v>0</v>
      </c>
      <c r="D355" s="15" t="n">
        <v>0</v>
      </c>
      <c r="E355" s="15" t="n">
        <v>0</v>
      </c>
      <c r="F355" s="15" t="n">
        <v>228.5</v>
      </c>
      <c r="G355" s="16" t="n">
        <f aca="false">SUM(C355:F355)</f>
        <v>228.5</v>
      </c>
      <c r="H355" s="28" t="s">
        <v>110</v>
      </c>
      <c r="I355" s="30" t="s">
        <v>108</v>
      </c>
    </row>
    <row r="356" customFormat="false" ht="15" hidden="false" customHeight="false" outlineLevel="0" collapsed="false">
      <c r="A356" s="31" t="s">
        <v>461</v>
      </c>
      <c r="B356" s="32" t="n">
        <v>2</v>
      </c>
      <c r="C356" s="11" t="n">
        <v>0</v>
      </c>
      <c r="D356" s="11" t="n">
        <v>0</v>
      </c>
      <c r="E356" s="11" t="n">
        <v>0</v>
      </c>
      <c r="F356" s="11" t="n">
        <v>228.5</v>
      </c>
      <c r="G356" s="12" t="n">
        <f aca="false">SUM(C356:F356)</f>
        <v>228.5</v>
      </c>
      <c r="H356" s="31" t="s">
        <v>110</v>
      </c>
      <c r="I356" s="33" t="s">
        <v>108</v>
      </c>
    </row>
    <row r="357" customFormat="false" ht="15" hidden="false" customHeight="false" outlineLevel="0" collapsed="false">
      <c r="A357" s="28" t="s">
        <v>462</v>
      </c>
      <c r="B357" s="29" t="n">
        <v>2</v>
      </c>
      <c r="C357" s="15" t="n">
        <v>0</v>
      </c>
      <c r="D357" s="15" t="n">
        <v>0</v>
      </c>
      <c r="E357" s="15" t="n">
        <v>0</v>
      </c>
      <c r="F357" s="15" t="n">
        <v>228.5</v>
      </c>
      <c r="G357" s="16" t="n">
        <f aca="false">SUM(C357:F357)</f>
        <v>228.5</v>
      </c>
      <c r="H357" s="28" t="s">
        <v>110</v>
      </c>
      <c r="I357" s="30" t="s">
        <v>108</v>
      </c>
    </row>
    <row r="358" customFormat="false" ht="15" hidden="false" customHeight="false" outlineLevel="0" collapsed="false">
      <c r="A358" s="31" t="s">
        <v>463</v>
      </c>
      <c r="B358" s="32" t="n">
        <v>3</v>
      </c>
      <c r="C358" s="11" t="n">
        <v>0</v>
      </c>
      <c r="D358" s="11" t="n">
        <v>0</v>
      </c>
      <c r="E358" s="11" t="n">
        <v>0</v>
      </c>
      <c r="F358" s="11" t="n">
        <v>227.65</v>
      </c>
      <c r="G358" s="12" t="n">
        <f aca="false">SUM(C358:F358)</f>
        <v>227.65</v>
      </c>
      <c r="H358" s="31" t="s">
        <v>110</v>
      </c>
      <c r="I358" s="33" t="s">
        <v>108</v>
      </c>
    </row>
    <row r="359" customFormat="false" ht="15" hidden="false" customHeight="false" outlineLevel="0" collapsed="false">
      <c r="A359" s="28" t="s">
        <v>464</v>
      </c>
      <c r="B359" s="29" t="n">
        <v>3</v>
      </c>
      <c r="C359" s="15" t="n">
        <v>0</v>
      </c>
      <c r="D359" s="15" t="n">
        <v>0</v>
      </c>
      <c r="E359" s="15" t="n">
        <v>0</v>
      </c>
      <c r="F359" s="15" t="n">
        <v>227.65</v>
      </c>
      <c r="G359" s="16" t="n">
        <f aca="false">SUM(C359:F359)</f>
        <v>227.65</v>
      </c>
      <c r="H359" s="28" t="s">
        <v>110</v>
      </c>
      <c r="I359" s="30" t="s">
        <v>108</v>
      </c>
    </row>
    <row r="360" customFormat="false" ht="15" hidden="false" customHeight="false" outlineLevel="0" collapsed="false">
      <c r="A360" s="31" t="s">
        <v>465</v>
      </c>
      <c r="B360" s="32" t="n">
        <v>3</v>
      </c>
      <c r="C360" s="11" t="n">
        <v>0</v>
      </c>
      <c r="D360" s="11" t="n">
        <v>0</v>
      </c>
      <c r="E360" s="11" t="n">
        <v>0</v>
      </c>
      <c r="F360" s="11" t="n">
        <v>227.65</v>
      </c>
      <c r="G360" s="12" t="n">
        <f aca="false">SUM(C360:F360)</f>
        <v>227.65</v>
      </c>
      <c r="H360" s="31" t="s">
        <v>110</v>
      </c>
      <c r="I360" s="33" t="s">
        <v>108</v>
      </c>
    </row>
    <row r="361" customFormat="false" ht="15" hidden="false" customHeight="false" outlineLevel="0" collapsed="false">
      <c r="A361" s="28" t="s">
        <v>466</v>
      </c>
      <c r="B361" s="29" t="n">
        <v>3</v>
      </c>
      <c r="C361" s="15" t="n">
        <v>0</v>
      </c>
      <c r="D361" s="15" t="n">
        <v>0</v>
      </c>
      <c r="E361" s="15" t="n">
        <v>0</v>
      </c>
      <c r="F361" s="15" t="n">
        <v>223.79</v>
      </c>
      <c r="G361" s="16" t="n">
        <f aca="false">SUM(C361:F361)</f>
        <v>223.79</v>
      </c>
      <c r="H361" s="28" t="s">
        <v>110</v>
      </c>
      <c r="I361" s="30" t="s">
        <v>108</v>
      </c>
    </row>
    <row r="362" customFormat="false" ht="15" hidden="false" customHeight="false" outlineLevel="0" collapsed="false">
      <c r="A362" s="31" t="s">
        <v>467</v>
      </c>
      <c r="B362" s="32" t="n">
        <v>3</v>
      </c>
      <c r="C362" s="11" t="n">
        <v>0</v>
      </c>
      <c r="D362" s="11" t="n">
        <v>0</v>
      </c>
      <c r="E362" s="11" t="n">
        <v>0</v>
      </c>
      <c r="F362" s="11" t="n">
        <v>223.79</v>
      </c>
      <c r="G362" s="12" t="n">
        <f aca="false">SUM(C362:F362)</f>
        <v>223.79</v>
      </c>
      <c r="H362" s="31" t="s">
        <v>110</v>
      </c>
      <c r="I362" s="33" t="s">
        <v>108</v>
      </c>
    </row>
    <row r="363" customFormat="false" ht="15" hidden="false" customHeight="false" outlineLevel="0" collapsed="false">
      <c r="A363" s="28" t="s">
        <v>468</v>
      </c>
      <c r="B363" s="29" t="n">
        <v>24</v>
      </c>
      <c r="C363" s="15" t="n">
        <v>0</v>
      </c>
      <c r="D363" s="15" t="n">
        <v>0</v>
      </c>
      <c r="E363" s="15" t="n">
        <v>99.67</v>
      </c>
      <c r="F363" s="15" t="n">
        <v>121.86</v>
      </c>
      <c r="G363" s="16" t="n">
        <f aca="false">SUM(C363:F363)</f>
        <v>221.53</v>
      </c>
      <c r="H363" s="28" t="s">
        <v>97</v>
      </c>
      <c r="I363" s="30" t="s">
        <v>102</v>
      </c>
    </row>
    <row r="364" customFormat="false" ht="15" hidden="false" customHeight="false" outlineLevel="0" collapsed="false">
      <c r="A364" s="31" t="s">
        <v>469</v>
      </c>
      <c r="B364" s="32" t="n">
        <v>3</v>
      </c>
      <c r="C364" s="11" t="n">
        <v>0</v>
      </c>
      <c r="D364" s="11" t="n">
        <v>0</v>
      </c>
      <c r="E364" s="11" t="n">
        <v>0</v>
      </c>
      <c r="F364" s="11" t="n">
        <v>214.6</v>
      </c>
      <c r="G364" s="12" t="n">
        <f aca="false">SUM(C364:F364)</f>
        <v>214.6</v>
      </c>
      <c r="H364" s="31" t="s">
        <v>110</v>
      </c>
      <c r="I364" s="33" t="s">
        <v>108</v>
      </c>
    </row>
    <row r="365" customFormat="false" ht="15" hidden="false" customHeight="false" outlineLevel="0" collapsed="false">
      <c r="A365" s="28" t="s">
        <v>470</v>
      </c>
      <c r="B365" s="29" t="n">
        <v>3</v>
      </c>
      <c r="C365" s="15" t="n">
        <v>0</v>
      </c>
      <c r="D365" s="15" t="n">
        <v>0</v>
      </c>
      <c r="E365" s="15" t="n">
        <v>0</v>
      </c>
      <c r="F365" s="15" t="n">
        <v>210.28</v>
      </c>
      <c r="G365" s="16" t="n">
        <f aca="false">SUM(C365:F365)</f>
        <v>210.28</v>
      </c>
      <c r="H365" s="28" t="s">
        <v>110</v>
      </c>
      <c r="I365" s="30" t="s">
        <v>108</v>
      </c>
    </row>
    <row r="366" customFormat="false" ht="15" hidden="false" customHeight="false" outlineLevel="0" collapsed="false">
      <c r="A366" s="31" t="s">
        <v>471</v>
      </c>
      <c r="B366" s="32" t="n">
        <v>2</v>
      </c>
      <c r="C366" s="11" t="n">
        <v>0</v>
      </c>
      <c r="D366" s="11" t="n">
        <v>0</v>
      </c>
      <c r="E366" s="11" t="n">
        <v>0</v>
      </c>
      <c r="F366" s="11" t="n">
        <v>210</v>
      </c>
      <c r="G366" s="12" t="n">
        <f aca="false">SUM(C366:F366)</f>
        <v>210</v>
      </c>
      <c r="H366" s="31" t="s">
        <v>110</v>
      </c>
      <c r="I366" s="33" t="s">
        <v>108</v>
      </c>
    </row>
    <row r="367" customFormat="false" ht="15" hidden="false" customHeight="false" outlineLevel="0" collapsed="false">
      <c r="A367" s="28" t="s">
        <v>472</v>
      </c>
      <c r="B367" s="29" t="n">
        <v>2</v>
      </c>
      <c r="C367" s="15" t="n">
        <v>0</v>
      </c>
      <c r="D367" s="15" t="n">
        <v>0</v>
      </c>
      <c r="E367" s="15" t="n">
        <v>0</v>
      </c>
      <c r="F367" s="15" t="n">
        <v>210</v>
      </c>
      <c r="G367" s="16" t="n">
        <f aca="false">SUM(C367:F367)</f>
        <v>210</v>
      </c>
      <c r="H367" s="28" t="s">
        <v>110</v>
      </c>
      <c r="I367" s="30" t="s">
        <v>108</v>
      </c>
    </row>
    <row r="368" customFormat="false" ht="15" hidden="false" customHeight="false" outlineLevel="0" collapsed="false">
      <c r="A368" s="31" t="s">
        <v>473</v>
      </c>
      <c r="B368" s="32" t="n">
        <v>2</v>
      </c>
      <c r="C368" s="11" t="n">
        <v>0</v>
      </c>
      <c r="D368" s="11" t="n">
        <v>0</v>
      </c>
      <c r="E368" s="11" t="n">
        <v>0</v>
      </c>
      <c r="F368" s="11" t="n">
        <v>210</v>
      </c>
      <c r="G368" s="12" t="n">
        <f aca="false">SUM(C368:F368)</f>
        <v>210</v>
      </c>
      <c r="H368" s="31" t="s">
        <v>110</v>
      </c>
      <c r="I368" s="33" t="s">
        <v>108</v>
      </c>
    </row>
    <row r="369" customFormat="false" ht="15" hidden="false" customHeight="false" outlineLevel="0" collapsed="false">
      <c r="A369" s="28" t="s">
        <v>474</v>
      </c>
      <c r="B369" s="29" t="n">
        <v>2</v>
      </c>
      <c r="C369" s="15" t="n">
        <v>0</v>
      </c>
      <c r="D369" s="15" t="n">
        <v>0</v>
      </c>
      <c r="E369" s="15" t="n">
        <v>0</v>
      </c>
      <c r="F369" s="15" t="n">
        <v>210</v>
      </c>
      <c r="G369" s="16" t="n">
        <f aca="false">SUM(C369:F369)</f>
        <v>210</v>
      </c>
      <c r="H369" s="28" t="s">
        <v>110</v>
      </c>
      <c r="I369" s="30" t="s">
        <v>108</v>
      </c>
    </row>
    <row r="370" customFormat="false" ht="15" hidden="false" customHeight="false" outlineLevel="0" collapsed="false">
      <c r="A370" s="31" t="s">
        <v>475</v>
      </c>
      <c r="B370" s="32" t="n">
        <v>2</v>
      </c>
      <c r="C370" s="11" t="n">
        <v>0</v>
      </c>
      <c r="D370" s="11" t="n">
        <v>0</v>
      </c>
      <c r="E370" s="11" t="n">
        <v>0</v>
      </c>
      <c r="F370" s="11" t="n">
        <v>210</v>
      </c>
      <c r="G370" s="12" t="n">
        <f aca="false">SUM(C370:F370)</f>
        <v>210</v>
      </c>
      <c r="H370" s="31" t="s">
        <v>110</v>
      </c>
      <c r="I370" s="33" t="s">
        <v>108</v>
      </c>
    </row>
    <row r="371" customFormat="false" ht="15" hidden="false" customHeight="false" outlineLevel="0" collapsed="false">
      <c r="A371" s="28" t="s">
        <v>476</v>
      </c>
      <c r="B371" s="29" t="n">
        <v>2</v>
      </c>
      <c r="C371" s="15" t="n">
        <v>0</v>
      </c>
      <c r="D371" s="15" t="n">
        <v>0</v>
      </c>
      <c r="E371" s="15" t="n">
        <v>0</v>
      </c>
      <c r="F371" s="15" t="n">
        <v>210</v>
      </c>
      <c r="G371" s="16" t="n">
        <f aca="false">SUM(C371:F371)</f>
        <v>210</v>
      </c>
      <c r="H371" s="28" t="s">
        <v>110</v>
      </c>
      <c r="I371" s="30" t="s">
        <v>108</v>
      </c>
    </row>
    <row r="372" customFormat="false" ht="15" hidden="false" customHeight="false" outlineLevel="0" collapsed="false">
      <c r="A372" s="31" t="s">
        <v>477</v>
      </c>
      <c r="B372" s="32" t="n">
        <v>2</v>
      </c>
      <c r="C372" s="11" t="n">
        <v>0</v>
      </c>
      <c r="D372" s="11" t="n">
        <v>0</v>
      </c>
      <c r="E372" s="11" t="n">
        <v>0</v>
      </c>
      <c r="F372" s="11" t="n">
        <v>210</v>
      </c>
      <c r="G372" s="12" t="n">
        <f aca="false">SUM(C372:F372)</f>
        <v>210</v>
      </c>
      <c r="H372" s="31" t="s">
        <v>110</v>
      </c>
      <c r="I372" s="33" t="s">
        <v>108</v>
      </c>
    </row>
    <row r="373" customFormat="false" ht="15" hidden="false" customHeight="false" outlineLevel="0" collapsed="false">
      <c r="A373" s="28" t="s">
        <v>478</v>
      </c>
      <c r="B373" s="29" t="n">
        <v>2</v>
      </c>
      <c r="C373" s="15" t="n">
        <v>0</v>
      </c>
      <c r="D373" s="15" t="n">
        <v>0</v>
      </c>
      <c r="E373" s="15" t="n">
        <v>0</v>
      </c>
      <c r="F373" s="15" t="n">
        <v>210</v>
      </c>
      <c r="G373" s="16" t="n">
        <f aca="false">SUM(C373:F373)</f>
        <v>210</v>
      </c>
      <c r="H373" s="28" t="s">
        <v>110</v>
      </c>
      <c r="I373" s="30" t="s">
        <v>108</v>
      </c>
    </row>
    <row r="374" customFormat="false" ht="15" hidden="false" customHeight="false" outlineLevel="0" collapsed="false">
      <c r="A374" s="31" t="s">
        <v>479</v>
      </c>
      <c r="B374" s="32" t="n">
        <v>2</v>
      </c>
      <c r="C374" s="11" t="n">
        <v>0</v>
      </c>
      <c r="D374" s="11" t="n">
        <v>0</v>
      </c>
      <c r="E374" s="11" t="n">
        <v>0</v>
      </c>
      <c r="F374" s="11" t="n">
        <v>210</v>
      </c>
      <c r="G374" s="12" t="n">
        <f aca="false">SUM(C374:F374)</f>
        <v>210</v>
      </c>
      <c r="H374" s="31" t="s">
        <v>110</v>
      </c>
      <c r="I374" s="33" t="s">
        <v>108</v>
      </c>
    </row>
    <row r="375" customFormat="false" ht="15" hidden="false" customHeight="false" outlineLevel="0" collapsed="false">
      <c r="A375" s="28" t="s">
        <v>480</v>
      </c>
      <c r="B375" s="29" t="n">
        <v>2</v>
      </c>
      <c r="C375" s="15" t="n">
        <v>0</v>
      </c>
      <c r="D375" s="15" t="n">
        <v>0</v>
      </c>
      <c r="E375" s="15" t="n">
        <v>0</v>
      </c>
      <c r="F375" s="15" t="n">
        <v>210</v>
      </c>
      <c r="G375" s="16" t="n">
        <f aca="false">SUM(C375:F375)</f>
        <v>210</v>
      </c>
      <c r="H375" s="28" t="s">
        <v>110</v>
      </c>
      <c r="I375" s="30" t="s">
        <v>108</v>
      </c>
    </row>
    <row r="376" customFormat="false" ht="15" hidden="false" customHeight="false" outlineLevel="0" collapsed="false">
      <c r="A376" s="31" t="s">
        <v>481</v>
      </c>
      <c r="B376" s="32" t="n">
        <v>2</v>
      </c>
      <c r="C376" s="11" t="n">
        <v>0</v>
      </c>
      <c r="D376" s="11" t="n">
        <v>0</v>
      </c>
      <c r="E376" s="11" t="n">
        <v>0</v>
      </c>
      <c r="F376" s="11" t="n">
        <v>210</v>
      </c>
      <c r="G376" s="12" t="n">
        <f aca="false">SUM(C376:F376)</f>
        <v>210</v>
      </c>
      <c r="H376" s="31" t="s">
        <v>110</v>
      </c>
      <c r="I376" s="33" t="s">
        <v>108</v>
      </c>
    </row>
    <row r="377" customFormat="false" ht="15" hidden="false" customHeight="false" outlineLevel="0" collapsed="false">
      <c r="A377" s="28" t="s">
        <v>482</v>
      </c>
      <c r="B377" s="29" t="n">
        <v>2</v>
      </c>
      <c r="C377" s="15" t="n">
        <v>0</v>
      </c>
      <c r="D377" s="15" t="n">
        <v>0</v>
      </c>
      <c r="E377" s="15" t="n">
        <v>0</v>
      </c>
      <c r="F377" s="15" t="n">
        <v>210</v>
      </c>
      <c r="G377" s="16" t="n">
        <f aca="false">SUM(C377:F377)</f>
        <v>210</v>
      </c>
      <c r="H377" s="28" t="s">
        <v>110</v>
      </c>
      <c r="I377" s="30" t="s">
        <v>108</v>
      </c>
    </row>
    <row r="378" customFormat="false" ht="15" hidden="false" customHeight="false" outlineLevel="0" collapsed="false">
      <c r="A378" s="31" t="s">
        <v>483</v>
      </c>
      <c r="B378" s="32" t="n">
        <v>2</v>
      </c>
      <c r="C378" s="11" t="n">
        <v>0</v>
      </c>
      <c r="D378" s="11" t="n">
        <v>0</v>
      </c>
      <c r="E378" s="11" t="n">
        <v>0</v>
      </c>
      <c r="F378" s="11" t="n">
        <v>210</v>
      </c>
      <c r="G378" s="12" t="n">
        <f aca="false">SUM(C378:F378)</f>
        <v>210</v>
      </c>
      <c r="H378" s="31" t="s">
        <v>110</v>
      </c>
      <c r="I378" s="33" t="s">
        <v>108</v>
      </c>
    </row>
    <row r="379" customFormat="false" ht="15" hidden="false" customHeight="false" outlineLevel="0" collapsed="false">
      <c r="A379" s="28" t="s">
        <v>484</v>
      </c>
      <c r="B379" s="29" t="n">
        <v>2</v>
      </c>
      <c r="C379" s="15" t="n">
        <v>0</v>
      </c>
      <c r="D379" s="15" t="n">
        <v>0</v>
      </c>
      <c r="E379" s="15" t="n">
        <v>0</v>
      </c>
      <c r="F379" s="15" t="n">
        <v>210</v>
      </c>
      <c r="G379" s="16" t="n">
        <f aca="false">SUM(C379:F379)</f>
        <v>210</v>
      </c>
      <c r="H379" s="28" t="s">
        <v>110</v>
      </c>
      <c r="I379" s="30" t="s">
        <v>108</v>
      </c>
    </row>
    <row r="380" customFormat="false" ht="15" hidden="false" customHeight="false" outlineLevel="0" collapsed="false">
      <c r="A380" s="31" t="s">
        <v>485</v>
      </c>
      <c r="B380" s="32" t="n">
        <v>2</v>
      </c>
      <c r="C380" s="11" t="n">
        <v>0</v>
      </c>
      <c r="D380" s="11" t="n">
        <v>0</v>
      </c>
      <c r="E380" s="11" t="n">
        <v>0</v>
      </c>
      <c r="F380" s="11" t="n">
        <v>210</v>
      </c>
      <c r="G380" s="12" t="n">
        <f aca="false">SUM(C380:F380)</f>
        <v>210</v>
      </c>
      <c r="H380" s="31" t="s">
        <v>110</v>
      </c>
      <c r="I380" s="33" t="s">
        <v>108</v>
      </c>
    </row>
    <row r="381" customFormat="false" ht="15" hidden="false" customHeight="false" outlineLevel="0" collapsed="false">
      <c r="A381" s="28" t="s">
        <v>486</v>
      </c>
      <c r="B381" s="29" t="n">
        <v>6</v>
      </c>
      <c r="C381" s="15" t="n">
        <v>0</v>
      </c>
      <c r="D381" s="15" t="n">
        <v>0</v>
      </c>
      <c r="E381" s="15" t="n">
        <v>0</v>
      </c>
      <c r="F381" s="15" t="n">
        <v>208.79</v>
      </c>
      <c r="G381" s="16" t="n">
        <f aca="false">SUM(C381:F381)</f>
        <v>208.79</v>
      </c>
      <c r="H381" s="28" t="s">
        <v>110</v>
      </c>
      <c r="I381" s="30" t="s">
        <v>108</v>
      </c>
    </row>
    <row r="382" customFormat="false" ht="15" hidden="false" customHeight="false" outlineLevel="0" collapsed="false">
      <c r="A382" s="31" t="s">
        <v>487</v>
      </c>
      <c r="B382" s="32" t="n">
        <v>2</v>
      </c>
      <c r="C382" s="11" t="n">
        <v>190</v>
      </c>
      <c r="D382" s="11" t="n">
        <v>0</v>
      </c>
      <c r="E382" s="11" t="n">
        <v>0</v>
      </c>
      <c r="F382" s="11" t="n">
        <v>17.65</v>
      </c>
      <c r="G382" s="12" t="n">
        <f aca="false">SUM(C382:F382)</f>
        <v>207.65</v>
      </c>
      <c r="H382" s="31" t="s">
        <v>137</v>
      </c>
      <c r="I382" s="33" t="s">
        <v>204</v>
      </c>
    </row>
    <row r="383" customFormat="false" ht="15" hidden="false" customHeight="false" outlineLevel="0" collapsed="false">
      <c r="A383" s="28" t="s">
        <v>488</v>
      </c>
      <c r="B383" s="29" t="n">
        <v>2</v>
      </c>
      <c r="C383" s="15" t="n">
        <v>0</v>
      </c>
      <c r="D383" s="15" t="n">
        <v>0</v>
      </c>
      <c r="E383" s="15" t="n">
        <v>0</v>
      </c>
      <c r="F383" s="15" t="n">
        <v>207.13</v>
      </c>
      <c r="G383" s="16" t="n">
        <f aca="false">SUM(C383:F383)</f>
        <v>207.13</v>
      </c>
      <c r="H383" s="28" t="s">
        <v>110</v>
      </c>
      <c r="I383" s="30" t="s">
        <v>108</v>
      </c>
    </row>
    <row r="384" customFormat="false" ht="15" hidden="false" customHeight="false" outlineLevel="0" collapsed="false">
      <c r="A384" s="31" t="s">
        <v>489</v>
      </c>
      <c r="B384" s="32" t="n">
        <v>4</v>
      </c>
      <c r="C384" s="11" t="n">
        <v>0</v>
      </c>
      <c r="D384" s="11" t="n">
        <v>0</v>
      </c>
      <c r="E384" s="11" t="n">
        <v>0</v>
      </c>
      <c r="F384" s="11" t="n">
        <v>206.3</v>
      </c>
      <c r="G384" s="12" t="n">
        <f aca="false">SUM(C384:F384)</f>
        <v>206.3</v>
      </c>
      <c r="H384" s="31" t="s">
        <v>110</v>
      </c>
      <c r="I384" s="33" t="s">
        <v>108</v>
      </c>
    </row>
    <row r="385" customFormat="false" ht="15" hidden="false" customHeight="false" outlineLevel="0" collapsed="false">
      <c r="A385" s="28" t="s">
        <v>490</v>
      </c>
      <c r="B385" s="29" t="n">
        <v>3</v>
      </c>
      <c r="C385" s="15" t="n">
        <v>0</v>
      </c>
      <c r="D385" s="15" t="n">
        <v>0</v>
      </c>
      <c r="E385" s="15" t="n">
        <v>0</v>
      </c>
      <c r="F385" s="15" t="n">
        <v>178.3</v>
      </c>
      <c r="G385" s="16" t="n">
        <f aca="false">SUM(C385:F385)</f>
        <v>178.3</v>
      </c>
      <c r="H385" s="28" t="s">
        <v>110</v>
      </c>
      <c r="I385" s="30" t="s">
        <v>108</v>
      </c>
    </row>
    <row r="386" customFormat="false" ht="15" hidden="false" customHeight="false" outlineLevel="0" collapsed="false">
      <c r="A386" s="31" t="s">
        <v>491</v>
      </c>
      <c r="B386" s="32" t="n">
        <v>3</v>
      </c>
      <c r="C386" s="11" t="n">
        <v>0</v>
      </c>
      <c r="D386" s="11" t="n">
        <v>0</v>
      </c>
      <c r="E386" s="11" t="n">
        <v>0</v>
      </c>
      <c r="F386" s="11" t="n">
        <v>178.3</v>
      </c>
      <c r="G386" s="12" t="n">
        <f aca="false">SUM(C386:F386)</f>
        <v>178.3</v>
      </c>
      <c r="H386" s="31" t="s">
        <v>110</v>
      </c>
      <c r="I386" s="33" t="s">
        <v>108</v>
      </c>
    </row>
    <row r="387" customFormat="false" ht="15" hidden="false" customHeight="false" outlineLevel="0" collapsed="false">
      <c r="A387" s="28" t="s">
        <v>492</v>
      </c>
      <c r="B387" s="29" t="n">
        <v>3</v>
      </c>
      <c r="C387" s="15" t="n">
        <v>164.45</v>
      </c>
      <c r="D387" s="15" t="n">
        <v>0</v>
      </c>
      <c r="E387" s="15" t="n">
        <v>0</v>
      </c>
      <c r="F387" s="15" t="n">
        <v>0</v>
      </c>
      <c r="G387" s="16" t="n">
        <f aca="false">SUM(C387:F387)</f>
        <v>164.45</v>
      </c>
      <c r="H387" s="28" t="s">
        <v>97</v>
      </c>
      <c r="I387" s="30" t="s">
        <v>102</v>
      </c>
    </row>
    <row r="388" customFormat="false" ht="15" hidden="false" customHeight="false" outlineLevel="0" collapsed="false">
      <c r="A388" s="31" t="s">
        <v>493</v>
      </c>
      <c r="B388" s="32" t="n">
        <v>2</v>
      </c>
      <c r="C388" s="11" t="n">
        <v>0</v>
      </c>
      <c r="D388" s="11" t="n">
        <v>0</v>
      </c>
      <c r="E388" s="11" t="n">
        <v>0</v>
      </c>
      <c r="F388" s="11" t="n">
        <v>160.65</v>
      </c>
      <c r="G388" s="12" t="n">
        <f aca="false">SUM(C388:F388)</f>
        <v>160.65</v>
      </c>
      <c r="H388" s="31" t="s">
        <v>110</v>
      </c>
      <c r="I388" s="33" t="s">
        <v>108</v>
      </c>
    </row>
    <row r="389" customFormat="false" ht="15" hidden="false" customHeight="false" outlineLevel="0" collapsed="false">
      <c r="A389" s="28" t="s">
        <v>494</v>
      </c>
      <c r="B389" s="29" t="n">
        <v>2</v>
      </c>
      <c r="C389" s="15" t="n">
        <v>0</v>
      </c>
      <c r="D389" s="15" t="n">
        <v>0</v>
      </c>
      <c r="E389" s="15" t="n">
        <v>0</v>
      </c>
      <c r="F389" s="15" t="n">
        <v>160.65</v>
      </c>
      <c r="G389" s="16" t="n">
        <f aca="false">SUM(C389:F389)</f>
        <v>160.65</v>
      </c>
      <c r="H389" s="28" t="s">
        <v>110</v>
      </c>
      <c r="I389" s="30" t="s">
        <v>108</v>
      </c>
    </row>
    <row r="390" customFormat="false" ht="15" hidden="false" customHeight="false" outlineLevel="0" collapsed="false">
      <c r="A390" s="31" t="s">
        <v>495</v>
      </c>
      <c r="B390" s="32" t="n">
        <v>5</v>
      </c>
      <c r="C390" s="11" t="n">
        <v>160.61</v>
      </c>
      <c r="D390" s="11" t="n">
        <v>0</v>
      </c>
      <c r="E390" s="11" t="n">
        <v>0</v>
      </c>
      <c r="F390" s="11" t="n">
        <v>0</v>
      </c>
      <c r="G390" s="12" t="n">
        <f aca="false">SUM(C390:F390)</f>
        <v>160.61</v>
      </c>
      <c r="H390" s="31" t="s">
        <v>97</v>
      </c>
      <c r="I390" s="33" t="s">
        <v>102</v>
      </c>
    </row>
    <row r="391" customFormat="false" ht="15" hidden="false" customHeight="false" outlineLevel="0" collapsed="false">
      <c r="A391" s="28" t="s">
        <v>496</v>
      </c>
      <c r="B391" s="29" t="n">
        <v>5</v>
      </c>
      <c r="C391" s="15" t="n">
        <v>159.52</v>
      </c>
      <c r="D391" s="15" t="n">
        <v>0</v>
      </c>
      <c r="E391" s="15" t="n">
        <v>0</v>
      </c>
      <c r="F391" s="15" t="n">
        <v>0</v>
      </c>
      <c r="G391" s="16" t="n">
        <f aca="false">SUM(C391:F391)</f>
        <v>159.52</v>
      </c>
      <c r="H391" s="28" t="s">
        <v>97</v>
      </c>
      <c r="I391" s="30" t="s">
        <v>102</v>
      </c>
    </row>
    <row r="392" customFormat="false" ht="15" hidden="false" customHeight="false" outlineLevel="0" collapsed="false">
      <c r="A392" s="31" t="s">
        <v>497</v>
      </c>
      <c r="B392" s="32" t="n">
        <v>3</v>
      </c>
      <c r="C392" s="11" t="n">
        <v>0</v>
      </c>
      <c r="D392" s="11" t="n">
        <v>0</v>
      </c>
      <c r="E392" s="11" t="n">
        <v>0</v>
      </c>
      <c r="F392" s="11" t="n">
        <v>155.84</v>
      </c>
      <c r="G392" s="12" t="n">
        <f aca="false">SUM(C392:F392)</f>
        <v>155.84</v>
      </c>
      <c r="H392" s="31" t="s">
        <v>110</v>
      </c>
      <c r="I392" s="33" t="s">
        <v>108</v>
      </c>
    </row>
    <row r="393" customFormat="false" ht="15" hidden="false" customHeight="false" outlineLevel="0" collapsed="false">
      <c r="A393" s="28" t="s">
        <v>498</v>
      </c>
      <c r="B393" s="29" t="n">
        <v>4</v>
      </c>
      <c r="C393" s="15" t="n">
        <v>148.43</v>
      </c>
      <c r="D393" s="15" t="n">
        <v>0</v>
      </c>
      <c r="E393" s="15" t="n">
        <v>0</v>
      </c>
      <c r="F393" s="15" t="n">
        <v>0</v>
      </c>
      <c r="G393" s="16" t="n">
        <f aca="false">SUM(C393:F393)</f>
        <v>148.43</v>
      </c>
      <c r="H393" s="28" t="s">
        <v>97</v>
      </c>
      <c r="I393" s="30" t="s">
        <v>102</v>
      </c>
    </row>
    <row r="394" customFormat="false" ht="15" hidden="false" customHeight="false" outlineLevel="0" collapsed="false">
      <c r="A394" s="31" t="s">
        <v>499</v>
      </c>
      <c r="B394" s="32" t="n">
        <v>5</v>
      </c>
      <c r="C394" s="11" t="n">
        <v>0</v>
      </c>
      <c r="D394" s="11" t="n">
        <v>0</v>
      </c>
      <c r="E394" s="11" t="n">
        <v>0</v>
      </c>
      <c r="F394" s="11" t="n">
        <v>143.05</v>
      </c>
      <c r="G394" s="12" t="n">
        <f aca="false">SUM(C394:F394)</f>
        <v>143.05</v>
      </c>
      <c r="H394" s="31" t="s">
        <v>110</v>
      </c>
      <c r="I394" s="33" t="s">
        <v>108</v>
      </c>
    </row>
    <row r="395" customFormat="false" ht="15" hidden="false" customHeight="false" outlineLevel="0" collapsed="false">
      <c r="A395" s="28" t="s">
        <v>500</v>
      </c>
      <c r="B395" s="29" t="n">
        <v>2</v>
      </c>
      <c r="C395" s="15" t="n">
        <v>0</v>
      </c>
      <c r="D395" s="15" t="n">
        <v>0</v>
      </c>
      <c r="E395" s="15" t="n">
        <v>0</v>
      </c>
      <c r="F395" s="15" t="n">
        <v>142.15</v>
      </c>
      <c r="G395" s="16" t="n">
        <f aca="false">SUM(C395:F395)</f>
        <v>142.15</v>
      </c>
      <c r="H395" s="28" t="s">
        <v>110</v>
      </c>
      <c r="I395" s="30" t="s">
        <v>108</v>
      </c>
    </row>
    <row r="396" customFormat="false" ht="15" hidden="false" customHeight="false" outlineLevel="0" collapsed="false">
      <c r="A396" s="31" t="s">
        <v>501</v>
      </c>
      <c r="B396" s="32" t="n">
        <v>2</v>
      </c>
      <c r="C396" s="11" t="n">
        <v>0</v>
      </c>
      <c r="D396" s="11" t="n">
        <v>0</v>
      </c>
      <c r="E396" s="11" t="n">
        <v>0</v>
      </c>
      <c r="F396" s="11" t="n">
        <v>142.15</v>
      </c>
      <c r="G396" s="12" t="n">
        <f aca="false">SUM(C396:F396)</f>
        <v>142.15</v>
      </c>
      <c r="H396" s="31" t="s">
        <v>110</v>
      </c>
      <c r="I396" s="33" t="s">
        <v>108</v>
      </c>
    </row>
    <row r="397" customFormat="false" ht="15" hidden="false" customHeight="false" outlineLevel="0" collapsed="false">
      <c r="A397" s="28" t="s">
        <v>502</v>
      </c>
      <c r="B397" s="29" t="n">
        <v>2</v>
      </c>
      <c r="C397" s="15" t="n">
        <v>0</v>
      </c>
      <c r="D397" s="15" t="n">
        <v>0</v>
      </c>
      <c r="E397" s="15" t="n">
        <v>0</v>
      </c>
      <c r="F397" s="15" t="n">
        <v>142.15</v>
      </c>
      <c r="G397" s="16" t="n">
        <f aca="false">SUM(C397:F397)</f>
        <v>142.15</v>
      </c>
      <c r="H397" s="28" t="s">
        <v>110</v>
      </c>
      <c r="I397" s="30" t="s">
        <v>108</v>
      </c>
    </row>
    <row r="398" customFormat="false" ht="15" hidden="false" customHeight="false" outlineLevel="0" collapsed="false">
      <c r="A398" s="31" t="s">
        <v>503</v>
      </c>
      <c r="B398" s="32" t="n">
        <v>5</v>
      </c>
      <c r="C398" s="11" t="n">
        <v>137.3</v>
      </c>
      <c r="D398" s="11" t="n">
        <v>0</v>
      </c>
      <c r="E398" s="11" t="n">
        <v>0</v>
      </c>
      <c r="F398" s="11" t="n">
        <v>0</v>
      </c>
      <c r="G398" s="12" t="n">
        <f aca="false">SUM(C398:F398)</f>
        <v>137.3</v>
      </c>
      <c r="H398" s="31" t="s">
        <v>97</v>
      </c>
      <c r="I398" s="33" t="s">
        <v>102</v>
      </c>
    </row>
    <row r="399" customFormat="false" ht="15" hidden="false" customHeight="false" outlineLevel="0" collapsed="false">
      <c r="A399" s="28" t="s">
        <v>504</v>
      </c>
      <c r="B399" s="29" t="n">
        <v>1</v>
      </c>
      <c r="C399" s="15" t="n">
        <v>0</v>
      </c>
      <c r="D399" s="15" t="n">
        <v>0</v>
      </c>
      <c r="E399" s="15" t="n">
        <v>0</v>
      </c>
      <c r="F399" s="15" t="n">
        <v>133.59</v>
      </c>
      <c r="G399" s="16" t="n">
        <f aca="false">SUM(C399:F399)</f>
        <v>133.59</v>
      </c>
      <c r="H399" s="28" t="s">
        <v>110</v>
      </c>
      <c r="I399" s="30" t="s">
        <v>108</v>
      </c>
    </row>
    <row r="400" customFormat="false" ht="15" hidden="false" customHeight="false" outlineLevel="0" collapsed="false">
      <c r="A400" s="31" t="s">
        <v>505</v>
      </c>
      <c r="B400" s="32" t="n">
        <v>4</v>
      </c>
      <c r="C400" s="11" t="n">
        <v>0</v>
      </c>
      <c r="D400" s="11" t="n">
        <v>0</v>
      </c>
      <c r="E400" s="11" t="n">
        <v>0</v>
      </c>
      <c r="F400" s="11" t="n">
        <v>120.19</v>
      </c>
      <c r="G400" s="12" t="n">
        <f aca="false">SUM(C400:F400)</f>
        <v>120.19</v>
      </c>
      <c r="H400" s="31" t="s">
        <v>506</v>
      </c>
      <c r="I400" s="33" t="s">
        <v>102</v>
      </c>
    </row>
    <row r="401" customFormat="false" ht="15" hidden="false" customHeight="false" outlineLevel="0" collapsed="false">
      <c r="A401" s="28" t="s">
        <v>507</v>
      </c>
      <c r="B401" s="29" t="n">
        <v>1</v>
      </c>
      <c r="C401" s="15" t="n">
        <v>0</v>
      </c>
      <c r="D401" s="15" t="n">
        <v>118</v>
      </c>
      <c r="E401" s="15" t="n">
        <v>0</v>
      </c>
      <c r="F401" s="15" t="n">
        <v>0</v>
      </c>
      <c r="G401" s="16" t="n">
        <f aca="false">SUM(C401:F401)</f>
        <v>118</v>
      </c>
      <c r="H401" s="28" t="s">
        <v>97</v>
      </c>
      <c r="I401" s="30" t="s">
        <v>115</v>
      </c>
    </row>
    <row r="402" customFormat="false" ht="15" hidden="false" customHeight="false" outlineLevel="0" collapsed="false">
      <c r="A402" s="31" t="s">
        <v>508</v>
      </c>
      <c r="B402" s="32" t="n">
        <v>3</v>
      </c>
      <c r="C402" s="11" t="n">
        <v>0</v>
      </c>
      <c r="D402" s="11" t="n">
        <v>0</v>
      </c>
      <c r="E402" s="11" t="n">
        <v>0</v>
      </c>
      <c r="F402" s="11" t="n">
        <v>107.75</v>
      </c>
      <c r="G402" s="12" t="n">
        <f aca="false">SUM(C402:F402)</f>
        <v>107.75</v>
      </c>
      <c r="H402" s="31" t="s">
        <v>110</v>
      </c>
      <c r="I402" s="33" t="s">
        <v>108</v>
      </c>
    </row>
    <row r="403" customFormat="false" ht="15" hidden="false" customHeight="false" outlineLevel="0" collapsed="false">
      <c r="A403" s="28" t="s">
        <v>509</v>
      </c>
      <c r="B403" s="29" t="n">
        <v>6</v>
      </c>
      <c r="C403" s="15" t="n">
        <v>0</v>
      </c>
      <c r="D403" s="15" t="n">
        <v>0</v>
      </c>
      <c r="E403" s="15" t="n">
        <v>0</v>
      </c>
      <c r="F403" s="15" t="n">
        <v>105.9</v>
      </c>
      <c r="G403" s="16" t="n">
        <f aca="false">SUM(C403:F403)</f>
        <v>105.9</v>
      </c>
      <c r="H403" s="28" t="s">
        <v>110</v>
      </c>
      <c r="I403" s="30" t="s">
        <v>108</v>
      </c>
    </row>
    <row r="404" customFormat="false" ht="15" hidden="false" customHeight="false" outlineLevel="0" collapsed="false">
      <c r="A404" s="31" t="s">
        <v>510</v>
      </c>
      <c r="B404" s="32" t="n">
        <v>6</v>
      </c>
      <c r="C404" s="11" t="n">
        <v>0</v>
      </c>
      <c r="D404" s="11" t="n">
        <v>0</v>
      </c>
      <c r="E404" s="11" t="n">
        <v>0</v>
      </c>
      <c r="F404" s="11" t="n">
        <v>105.9</v>
      </c>
      <c r="G404" s="12" t="n">
        <f aca="false">SUM(C404:F404)</f>
        <v>105.9</v>
      </c>
      <c r="H404" s="31" t="s">
        <v>110</v>
      </c>
      <c r="I404" s="33" t="s">
        <v>108</v>
      </c>
    </row>
    <row r="405" customFormat="false" ht="15" hidden="false" customHeight="false" outlineLevel="0" collapsed="false">
      <c r="A405" s="28" t="s">
        <v>511</v>
      </c>
      <c r="B405" s="29" t="n">
        <v>2</v>
      </c>
      <c r="C405" s="15" t="n">
        <v>0</v>
      </c>
      <c r="D405" s="15" t="n">
        <v>0</v>
      </c>
      <c r="E405" s="15" t="n">
        <v>0</v>
      </c>
      <c r="F405" s="15" t="n">
        <v>103.15</v>
      </c>
      <c r="G405" s="16" t="n">
        <f aca="false">SUM(C405:F405)</f>
        <v>103.15</v>
      </c>
      <c r="H405" s="28" t="s">
        <v>110</v>
      </c>
      <c r="I405" s="30" t="s">
        <v>108</v>
      </c>
    </row>
    <row r="406" customFormat="false" ht="15" hidden="false" customHeight="false" outlineLevel="0" collapsed="false">
      <c r="A406" s="31" t="s">
        <v>512</v>
      </c>
      <c r="B406" s="32" t="n">
        <v>2</v>
      </c>
      <c r="C406" s="11" t="n">
        <v>0</v>
      </c>
      <c r="D406" s="11" t="n">
        <v>0</v>
      </c>
      <c r="E406" s="11" t="n">
        <v>0</v>
      </c>
      <c r="F406" s="11" t="n">
        <v>103.15</v>
      </c>
      <c r="G406" s="12" t="n">
        <f aca="false">SUM(C406:F406)</f>
        <v>103.15</v>
      </c>
      <c r="H406" s="31" t="s">
        <v>110</v>
      </c>
      <c r="I406" s="33" t="s">
        <v>108</v>
      </c>
    </row>
    <row r="407" customFormat="false" ht="15" hidden="false" customHeight="false" outlineLevel="0" collapsed="false">
      <c r="A407" s="28" t="s">
        <v>513</v>
      </c>
      <c r="B407" s="29" t="n">
        <v>2</v>
      </c>
      <c r="C407" s="15" t="n">
        <v>0</v>
      </c>
      <c r="D407" s="15" t="n">
        <v>0</v>
      </c>
      <c r="E407" s="15" t="n">
        <v>0</v>
      </c>
      <c r="F407" s="15" t="n">
        <v>103.15</v>
      </c>
      <c r="G407" s="16" t="n">
        <f aca="false">SUM(C407:F407)</f>
        <v>103.15</v>
      </c>
      <c r="H407" s="28" t="s">
        <v>110</v>
      </c>
      <c r="I407" s="30" t="s">
        <v>108</v>
      </c>
    </row>
    <row r="408" customFormat="false" ht="15" hidden="false" customHeight="false" outlineLevel="0" collapsed="false">
      <c r="A408" s="31" t="s">
        <v>514</v>
      </c>
      <c r="B408" s="32" t="n">
        <v>2</v>
      </c>
      <c r="C408" s="11" t="n">
        <v>0</v>
      </c>
      <c r="D408" s="11" t="n">
        <v>0</v>
      </c>
      <c r="E408" s="11" t="n">
        <v>0</v>
      </c>
      <c r="F408" s="11" t="n">
        <v>103.15</v>
      </c>
      <c r="G408" s="12" t="n">
        <f aca="false">SUM(C408:F408)</f>
        <v>103.15</v>
      </c>
      <c r="H408" s="31" t="s">
        <v>110</v>
      </c>
      <c r="I408" s="33" t="s">
        <v>108</v>
      </c>
    </row>
    <row r="409" customFormat="false" ht="15" hidden="false" customHeight="false" outlineLevel="0" collapsed="false">
      <c r="A409" s="28" t="s">
        <v>515</v>
      </c>
      <c r="B409" s="29" t="n">
        <v>2</v>
      </c>
      <c r="C409" s="15" t="n">
        <v>0</v>
      </c>
      <c r="D409" s="15" t="n">
        <v>0</v>
      </c>
      <c r="E409" s="15" t="n">
        <v>0</v>
      </c>
      <c r="F409" s="15" t="n">
        <v>103.15</v>
      </c>
      <c r="G409" s="16" t="n">
        <f aca="false">SUM(C409:F409)</f>
        <v>103.15</v>
      </c>
      <c r="H409" s="28" t="s">
        <v>110</v>
      </c>
      <c r="I409" s="30" t="s">
        <v>108</v>
      </c>
    </row>
    <row r="410" customFormat="false" ht="15" hidden="false" customHeight="false" outlineLevel="0" collapsed="false">
      <c r="A410" s="31" t="s">
        <v>516</v>
      </c>
      <c r="B410" s="32" t="n">
        <v>2</v>
      </c>
      <c r="C410" s="11" t="n">
        <v>0</v>
      </c>
      <c r="D410" s="11" t="n">
        <v>0</v>
      </c>
      <c r="E410" s="11" t="n">
        <v>0</v>
      </c>
      <c r="F410" s="11" t="n">
        <v>94.69</v>
      </c>
      <c r="G410" s="12" t="n">
        <f aca="false">SUM(C410:F410)</f>
        <v>94.69</v>
      </c>
      <c r="H410" s="31" t="s">
        <v>110</v>
      </c>
      <c r="I410" s="33" t="s">
        <v>108</v>
      </c>
    </row>
    <row r="411" customFormat="false" ht="15" hidden="false" customHeight="false" outlineLevel="0" collapsed="false">
      <c r="A411" s="28" t="s">
        <v>517</v>
      </c>
      <c r="B411" s="29" t="n">
        <v>1</v>
      </c>
      <c r="C411" s="15" t="n">
        <v>0</v>
      </c>
      <c r="D411" s="15" t="n">
        <v>0</v>
      </c>
      <c r="E411" s="15" t="n">
        <v>0</v>
      </c>
      <c r="F411" s="15" t="n">
        <v>85.5</v>
      </c>
      <c r="G411" s="16" t="n">
        <f aca="false">SUM(C411:F411)</f>
        <v>85.5</v>
      </c>
      <c r="H411" s="28" t="s">
        <v>110</v>
      </c>
      <c r="I411" s="30" t="s">
        <v>108</v>
      </c>
    </row>
    <row r="412" customFormat="false" ht="15" hidden="false" customHeight="false" outlineLevel="0" collapsed="false">
      <c r="A412" s="31" t="s">
        <v>518</v>
      </c>
      <c r="B412" s="32" t="n">
        <v>1</v>
      </c>
      <c r="C412" s="11" t="n">
        <v>0</v>
      </c>
      <c r="D412" s="11" t="n">
        <v>0</v>
      </c>
      <c r="E412" s="11" t="n">
        <v>0</v>
      </c>
      <c r="F412" s="11" t="n">
        <v>85.5</v>
      </c>
      <c r="G412" s="12" t="n">
        <f aca="false">SUM(C412:F412)</f>
        <v>85.5</v>
      </c>
      <c r="H412" s="31" t="s">
        <v>110</v>
      </c>
      <c r="I412" s="33" t="s">
        <v>108</v>
      </c>
    </row>
    <row r="413" customFormat="false" ht="15" hidden="false" customHeight="false" outlineLevel="0" collapsed="false">
      <c r="A413" s="28" t="s">
        <v>519</v>
      </c>
      <c r="B413" s="29" t="n">
        <v>1</v>
      </c>
      <c r="C413" s="15" t="n">
        <v>0</v>
      </c>
      <c r="D413" s="15" t="n">
        <v>0</v>
      </c>
      <c r="E413" s="15" t="n">
        <v>0</v>
      </c>
      <c r="F413" s="15" t="n">
        <v>85.5</v>
      </c>
      <c r="G413" s="16" t="n">
        <f aca="false">SUM(C413:F413)</f>
        <v>85.5</v>
      </c>
      <c r="H413" s="28" t="s">
        <v>110</v>
      </c>
      <c r="I413" s="30" t="s">
        <v>108</v>
      </c>
    </row>
    <row r="414" customFormat="false" ht="15" hidden="false" customHeight="false" outlineLevel="0" collapsed="false">
      <c r="A414" s="31" t="s">
        <v>520</v>
      </c>
      <c r="B414" s="32" t="n">
        <v>1</v>
      </c>
      <c r="C414" s="11" t="n">
        <v>0</v>
      </c>
      <c r="D414" s="11" t="n">
        <v>0</v>
      </c>
      <c r="E414" s="11" t="n">
        <v>0</v>
      </c>
      <c r="F414" s="11" t="n">
        <v>85.5</v>
      </c>
      <c r="G414" s="12" t="n">
        <f aca="false">SUM(C414:F414)</f>
        <v>85.5</v>
      </c>
      <c r="H414" s="31" t="s">
        <v>110</v>
      </c>
      <c r="I414" s="33" t="s">
        <v>108</v>
      </c>
    </row>
    <row r="415" customFormat="false" ht="15" hidden="false" customHeight="false" outlineLevel="0" collapsed="false">
      <c r="A415" s="28" t="s">
        <v>521</v>
      </c>
      <c r="B415" s="29" t="n">
        <v>1</v>
      </c>
      <c r="C415" s="15" t="n">
        <v>0</v>
      </c>
      <c r="D415" s="15" t="n">
        <v>0</v>
      </c>
      <c r="E415" s="15" t="n">
        <v>0</v>
      </c>
      <c r="F415" s="15" t="n">
        <v>85.5</v>
      </c>
      <c r="G415" s="16" t="n">
        <f aca="false">SUM(C415:F415)</f>
        <v>85.5</v>
      </c>
      <c r="H415" s="28" t="s">
        <v>110</v>
      </c>
      <c r="I415" s="30" t="s">
        <v>108</v>
      </c>
    </row>
    <row r="416" customFormat="false" ht="15" hidden="false" customHeight="false" outlineLevel="0" collapsed="false">
      <c r="A416" s="31" t="s">
        <v>522</v>
      </c>
      <c r="B416" s="32" t="n">
        <v>1</v>
      </c>
      <c r="C416" s="11" t="n">
        <v>0</v>
      </c>
      <c r="D416" s="11" t="n">
        <v>0</v>
      </c>
      <c r="E416" s="11" t="n">
        <v>0</v>
      </c>
      <c r="F416" s="11" t="n">
        <v>85.5</v>
      </c>
      <c r="G416" s="12" t="n">
        <f aca="false">SUM(C416:F416)</f>
        <v>85.5</v>
      </c>
      <c r="H416" s="31" t="s">
        <v>110</v>
      </c>
      <c r="I416" s="33" t="s">
        <v>108</v>
      </c>
    </row>
    <row r="417" customFormat="false" ht="15" hidden="false" customHeight="false" outlineLevel="0" collapsed="false">
      <c r="A417" s="28" t="s">
        <v>523</v>
      </c>
      <c r="B417" s="29" t="n">
        <v>1</v>
      </c>
      <c r="C417" s="15" t="n">
        <v>0</v>
      </c>
      <c r="D417" s="15" t="n">
        <v>0</v>
      </c>
      <c r="E417" s="15" t="n">
        <v>0</v>
      </c>
      <c r="F417" s="15" t="n">
        <v>85.5</v>
      </c>
      <c r="G417" s="16" t="n">
        <f aca="false">SUM(C417:F417)</f>
        <v>85.5</v>
      </c>
      <c r="H417" s="28" t="s">
        <v>110</v>
      </c>
      <c r="I417" s="30" t="s">
        <v>108</v>
      </c>
    </row>
    <row r="418" customFormat="false" ht="15" hidden="false" customHeight="false" outlineLevel="0" collapsed="false">
      <c r="A418" s="31" t="s">
        <v>524</v>
      </c>
      <c r="B418" s="32" t="n">
        <v>1</v>
      </c>
      <c r="C418" s="11" t="n">
        <v>0</v>
      </c>
      <c r="D418" s="11" t="n">
        <v>0</v>
      </c>
      <c r="E418" s="11" t="n">
        <v>0</v>
      </c>
      <c r="F418" s="11" t="n">
        <v>85.5</v>
      </c>
      <c r="G418" s="12" t="n">
        <f aca="false">SUM(C418:F418)</f>
        <v>85.5</v>
      </c>
      <c r="H418" s="31" t="s">
        <v>110</v>
      </c>
      <c r="I418" s="33" t="s">
        <v>108</v>
      </c>
    </row>
    <row r="419" customFormat="false" ht="15" hidden="false" customHeight="false" outlineLevel="0" collapsed="false">
      <c r="A419" s="28" t="s">
        <v>525</v>
      </c>
      <c r="B419" s="29" t="n">
        <v>1</v>
      </c>
      <c r="C419" s="15" t="n">
        <v>0</v>
      </c>
      <c r="D419" s="15" t="n">
        <v>0</v>
      </c>
      <c r="E419" s="15" t="n">
        <v>0</v>
      </c>
      <c r="F419" s="15" t="n">
        <v>85.5</v>
      </c>
      <c r="G419" s="16" t="n">
        <f aca="false">SUM(C419:F419)</f>
        <v>85.5</v>
      </c>
      <c r="H419" s="28" t="s">
        <v>110</v>
      </c>
      <c r="I419" s="30" t="s">
        <v>108</v>
      </c>
    </row>
    <row r="420" customFormat="false" ht="15" hidden="false" customHeight="false" outlineLevel="0" collapsed="false">
      <c r="A420" s="31" t="s">
        <v>526</v>
      </c>
      <c r="B420" s="32" t="n">
        <v>1</v>
      </c>
      <c r="C420" s="11" t="n">
        <v>0</v>
      </c>
      <c r="D420" s="11" t="n">
        <v>0</v>
      </c>
      <c r="E420" s="11" t="n">
        <v>0</v>
      </c>
      <c r="F420" s="11" t="n">
        <v>85.5</v>
      </c>
      <c r="G420" s="12" t="n">
        <f aca="false">SUM(C420:F420)</f>
        <v>85.5</v>
      </c>
      <c r="H420" s="31" t="s">
        <v>110</v>
      </c>
      <c r="I420" s="33" t="s">
        <v>108</v>
      </c>
    </row>
    <row r="421" customFormat="false" ht="15" hidden="false" customHeight="false" outlineLevel="0" collapsed="false">
      <c r="A421" s="28" t="s">
        <v>527</v>
      </c>
      <c r="B421" s="29" t="n">
        <v>1</v>
      </c>
      <c r="C421" s="15" t="n">
        <v>0</v>
      </c>
      <c r="D421" s="15" t="n">
        <v>0</v>
      </c>
      <c r="E421" s="15" t="n">
        <v>0</v>
      </c>
      <c r="F421" s="15" t="n">
        <v>85.5</v>
      </c>
      <c r="G421" s="16" t="n">
        <f aca="false">SUM(C421:F421)</f>
        <v>85.5</v>
      </c>
      <c r="H421" s="28" t="s">
        <v>110</v>
      </c>
      <c r="I421" s="30" t="s">
        <v>108</v>
      </c>
    </row>
    <row r="422" customFormat="false" ht="15" hidden="false" customHeight="false" outlineLevel="0" collapsed="false">
      <c r="A422" s="31" t="s">
        <v>528</v>
      </c>
      <c r="B422" s="32" t="n">
        <v>1</v>
      </c>
      <c r="C422" s="11" t="n">
        <v>0</v>
      </c>
      <c r="D422" s="11" t="n">
        <v>0</v>
      </c>
      <c r="E422" s="11" t="n">
        <v>0</v>
      </c>
      <c r="F422" s="11" t="n">
        <v>85.5</v>
      </c>
      <c r="G422" s="12" t="n">
        <f aca="false">SUM(C422:F422)</f>
        <v>85.5</v>
      </c>
      <c r="H422" s="31" t="s">
        <v>110</v>
      </c>
      <c r="I422" s="33" t="s">
        <v>108</v>
      </c>
    </row>
    <row r="423" customFormat="false" ht="15" hidden="false" customHeight="false" outlineLevel="0" collapsed="false">
      <c r="A423" s="28" t="s">
        <v>529</v>
      </c>
      <c r="B423" s="29" t="n">
        <v>4</v>
      </c>
      <c r="C423" s="15" t="n">
        <v>0</v>
      </c>
      <c r="D423" s="15" t="n">
        <v>0</v>
      </c>
      <c r="E423" s="15" t="n">
        <v>0</v>
      </c>
      <c r="F423" s="15" t="n">
        <v>70.6</v>
      </c>
      <c r="G423" s="16" t="n">
        <f aca="false">SUM(C423:F423)</f>
        <v>70.6</v>
      </c>
      <c r="H423" s="28" t="s">
        <v>110</v>
      </c>
      <c r="I423" s="30" t="s">
        <v>108</v>
      </c>
    </row>
    <row r="424" customFormat="false" ht="15" hidden="false" customHeight="false" outlineLevel="0" collapsed="false">
      <c r="A424" s="31" t="s">
        <v>530</v>
      </c>
      <c r="B424" s="32" t="n">
        <v>2</v>
      </c>
      <c r="C424" s="11" t="n">
        <v>0</v>
      </c>
      <c r="D424" s="11" t="n">
        <v>0</v>
      </c>
      <c r="E424" s="11" t="n">
        <v>0</v>
      </c>
      <c r="F424" s="11" t="n">
        <v>35.3</v>
      </c>
      <c r="G424" s="12" t="n">
        <f aca="false">SUM(C424:F424)</f>
        <v>35.3</v>
      </c>
      <c r="H424" s="31" t="s">
        <v>110</v>
      </c>
      <c r="I424" s="33" t="s">
        <v>108</v>
      </c>
    </row>
    <row r="425" customFormat="false" ht="15" hidden="false" customHeight="false" outlineLevel="0" collapsed="false">
      <c r="A425" s="28" t="s">
        <v>531</v>
      </c>
      <c r="B425" s="29" t="n">
        <v>2</v>
      </c>
      <c r="C425" s="15" t="n">
        <v>0</v>
      </c>
      <c r="D425" s="15" t="n">
        <v>0</v>
      </c>
      <c r="E425" s="15" t="n">
        <v>0</v>
      </c>
      <c r="F425" s="15" t="n">
        <v>35.3</v>
      </c>
      <c r="G425" s="16" t="n">
        <f aca="false">SUM(C425:F425)</f>
        <v>35.3</v>
      </c>
      <c r="H425" s="28" t="s">
        <v>110</v>
      </c>
      <c r="I425" s="30" t="s">
        <v>108</v>
      </c>
    </row>
    <row r="426" customFormat="false" ht="15" hidden="false" customHeight="false" outlineLevel="0" collapsed="false">
      <c r="A426" s="31" t="s">
        <v>532</v>
      </c>
      <c r="B426" s="32" t="n">
        <v>2</v>
      </c>
      <c r="C426" s="11" t="n">
        <v>0</v>
      </c>
      <c r="D426" s="11" t="n">
        <v>0</v>
      </c>
      <c r="E426" s="11" t="n">
        <v>0</v>
      </c>
      <c r="F426" s="11" t="n">
        <v>35.3</v>
      </c>
      <c r="G426" s="12" t="n">
        <f aca="false">SUM(C426:F426)</f>
        <v>35.3</v>
      </c>
      <c r="H426" s="31" t="s">
        <v>110</v>
      </c>
      <c r="I426" s="33" t="s">
        <v>108</v>
      </c>
    </row>
    <row r="427" customFormat="false" ht="15" hidden="false" customHeight="false" outlineLevel="0" collapsed="false">
      <c r="A427" s="28" t="s">
        <v>533</v>
      </c>
      <c r="B427" s="29" t="n">
        <v>2</v>
      </c>
      <c r="C427" s="15" t="n">
        <v>0</v>
      </c>
      <c r="D427" s="15" t="n">
        <v>0</v>
      </c>
      <c r="E427" s="15" t="n">
        <v>0</v>
      </c>
      <c r="F427" s="15" t="n">
        <v>35.3</v>
      </c>
      <c r="G427" s="16" t="n">
        <f aca="false">SUM(C427:F427)</f>
        <v>35.3</v>
      </c>
      <c r="H427" s="28" t="s">
        <v>110</v>
      </c>
      <c r="I427" s="30" t="s">
        <v>108</v>
      </c>
    </row>
    <row r="428" customFormat="false" ht="15" hidden="false" customHeight="false" outlineLevel="0" collapsed="false">
      <c r="A428" s="31" t="s">
        <v>534</v>
      </c>
      <c r="B428" s="32" t="n">
        <v>2</v>
      </c>
      <c r="C428" s="11" t="n">
        <v>0</v>
      </c>
      <c r="D428" s="11" t="n">
        <v>0</v>
      </c>
      <c r="E428" s="11" t="n">
        <v>0</v>
      </c>
      <c r="F428" s="11" t="n">
        <v>35.3</v>
      </c>
      <c r="G428" s="12" t="n">
        <f aca="false">SUM(C428:F428)</f>
        <v>35.3</v>
      </c>
      <c r="H428" s="31" t="s">
        <v>110</v>
      </c>
      <c r="I428" s="33" t="s">
        <v>108</v>
      </c>
    </row>
    <row r="429" customFormat="false" ht="15" hidden="false" customHeight="false" outlineLevel="0" collapsed="false">
      <c r="A429" s="28" t="s">
        <v>535</v>
      </c>
      <c r="B429" s="29" t="n">
        <v>2</v>
      </c>
      <c r="C429" s="15" t="n">
        <v>0</v>
      </c>
      <c r="D429" s="15" t="n">
        <v>0</v>
      </c>
      <c r="E429" s="15" t="n">
        <v>0</v>
      </c>
      <c r="F429" s="15" t="n">
        <v>35.3</v>
      </c>
      <c r="G429" s="16" t="n">
        <f aca="false">SUM(C429:F429)</f>
        <v>35.3</v>
      </c>
      <c r="H429" s="28" t="s">
        <v>110</v>
      </c>
      <c r="I429" s="30" t="s">
        <v>108</v>
      </c>
    </row>
    <row r="430" customFormat="false" ht="15" hidden="false" customHeight="false" outlineLevel="0" collapsed="false">
      <c r="A430" s="31" t="s">
        <v>536</v>
      </c>
      <c r="B430" s="32" t="n">
        <v>2</v>
      </c>
      <c r="C430" s="11" t="n">
        <v>0</v>
      </c>
      <c r="D430" s="11" t="n">
        <v>0</v>
      </c>
      <c r="E430" s="11" t="n">
        <v>0</v>
      </c>
      <c r="F430" s="11" t="n">
        <v>35.3</v>
      </c>
      <c r="G430" s="12" t="n">
        <f aca="false">SUM(C430:F430)</f>
        <v>35.3</v>
      </c>
      <c r="H430" s="31" t="s">
        <v>110</v>
      </c>
      <c r="I430" s="33" t="s">
        <v>108</v>
      </c>
    </row>
    <row r="431" customFormat="false" ht="15" hidden="false" customHeight="false" outlineLevel="0" collapsed="false">
      <c r="A431" s="28" t="s">
        <v>537</v>
      </c>
      <c r="B431" s="29" t="n">
        <v>2</v>
      </c>
      <c r="C431" s="15" t="n">
        <v>0</v>
      </c>
      <c r="D431" s="15" t="n">
        <v>0</v>
      </c>
      <c r="E431" s="15" t="n">
        <v>0</v>
      </c>
      <c r="F431" s="15" t="n">
        <v>35.3</v>
      </c>
      <c r="G431" s="16" t="n">
        <f aca="false">SUM(C431:F431)</f>
        <v>35.3</v>
      </c>
      <c r="H431" s="28" t="s">
        <v>110</v>
      </c>
      <c r="I431" s="30" t="s">
        <v>108</v>
      </c>
    </row>
    <row r="432" customFormat="false" ht="15" hidden="false" customHeight="false" outlineLevel="0" collapsed="false">
      <c r="A432" s="31" t="s">
        <v>538</v>
      </c>
      <c r="B432" s="32" t="n">
        <v>1</v>
      </c>
      <c r="C432" s="11" t="n">
        <v>0</v>
      </c>
      <c r="D432" s="11" t="n">
        <v>0</v>
      </c>
      <c r="E432" s="11" t="n">
        <v>0</v>
      </c>
      <c r="F432" s="11" t="n">
        <v>17.65</v>
      </c>
      <c r="G432" s="12" t="n">
        <f aca="false">SUM(C432:F432)</f>
        <v>17.65</v>
      </c>
      <c r="H432" s="31" t="s">
        <v>110</v>
      </c>
      <c r="I432" s="33" t="s">
        <v>108</v>
      </c>
    </row>
    <row r="433" customFormat="false" ht="15" hidden="false" customHeight="false" outlineLevel="0" collapsed="false">
      <c r="A433" s="28" t="s">
        <v>539</v>
      </c>
      <c r="B433" s="29" t="n">
        <v>1</v>
      </c>
      <c r="C433" s="15" t="n">
        <v>0</v>
      </c>
      <c r="D433" s="15" t="n">
        <v>0</v>
      </c>
      <c r="E433" s="15" t="n">
        <v>0</v>
      </c>
      <c r="F433" s="15" t="n">
        <v>17.65</v>
      </c>
      <c r="G433" s="16" t="n">
        <f aca="false">SUM(C433:F433)</f>
        <v>17.65</v>
      </c>
      <c r="H433" s="28" t="s">
        <v>110</v>
      </c>
      <c r="I433" s="30" t="s">
        <v>108</v>
      </c>
    </row>
    <row r="434" customFormat="false" ht="15" hidden="false" customHeight="false" outlineLevel="0" collapsed="false">
      <c r="A434" s="31" t="s">
        <v>540</v>
      </c>
      <c r="B434" s="32" t="n">
        <v>1</v>
      </c>
      <c r="C434" s="11" t="n">
        <v>0</v>
      </c>
      <c r="D434" s="11" t="n">
        <v>0</v>
      </c>
      <c r="E434" s="11" t="n">
        <v>0</v>
      </c>
      <c r="F434" s="11" t="n">
        <v>17.65</v>
      </c>
      <c r="G434" s="12" t="n">
        <f aca="false">SUM(C434:F434)</f>
        <v>17.65</v>
      </c>
      <c r="H434" s="31" t="s">
        <v>110</v>
      </c>
      <c r="I434" s="33" t="s">
        <v>108</v>
      </c>
    </row>
    <row r="435" customFormat="false" ht="15" hidden="false" customHeight="false" outlineLevel="0" collapsed="false">
      <c r="A435" s="28" t="s">
        <v>541</v>
      </c>
      <c r="B435" s="29" t="n">
        <v>1</v>
      </c>
      <c r="C435" s="15" t="n">
        <v>0</v>
      </c>
      <c r="D435" s="15" t="n">
        <v>0</v>
      </c>
      <c r="E435" s="15" t="n">
        <v>0</v>
      </c>
      <c r="F435" s="15" t="n">
        <v>17.65</v>
      </c>
      <c r="G435" s="16" t="n">
        <f aca="false">SUM(C435:F435)</f>
        <v>17.65</v>
      </c>
      <c r="H435" s="28" t="s">
        <v>110</v>
      </c>
      <c r="I435" s="30" t="s">
        <v>108</v>
      </c>
    </row>
    <row r="436" customFormat="false" ht="15" hidden="false" customHeight="false" outlineLevel="0" collapsed="false">
      <c r="A436" s="31" t="s">
        <v>542</v>
      </c>
      <c r="B436" s="32" t="n">
        <v>1</v>
      </c>
      <c r="C436" s="11" t="n">
        <v>0</v>
      </c>
      <c r="D436" s="11" t="n">
        <v>0</v>
      </c>
      <c r="E436" s="11" t="n">
        <v>0</v>
      </c>
      <c r="F436" s="11" t="n">
        <v>17.65</v>
      </c>
      <c r="G436" s="12" t="n">
        <f aca="false">SUM(C436:F436)</f>
        <v>17.65</v>
      </c>
      <c r="H436" s="31" t="s">
        <v>110</v>
      </c>
      <c r="I436" s="33" t="s">
        <v>108</v>
      </c>
    </row>
    <row r="437" customFormat="false" ht="15" hidden="false" customHeight="false" outlineLevel="0" collapsed="false">
      <c r="A437" s="28" t="s">
        <v>543</v>
      </c>
      <c r="B437" s="29" t="n">
        <v>1</v>
      </c>
      <c r="C437" s="15" t="n">
        <v>0</v>
      </c>
      <c r="D437" s="15" t="n">
        <v>0</v>
      </c>
      <c r="E437" s="15" t="n">
        <v>0</v>
      </c>
      <c r="F437" s="15" t="n">
        <v>17.65</v>
      </c>
      <c r="G437" s="16" t="n">
        <f aca="false">SUM(C437:F437)</f>
        <v>17.65</v>
      </c>
      <c r="H437" s="28" t="s">
        <v>110</v>
      </c>
      <c r="I437" s="30" t="s">
        <v>108</v>
      </c>
    </row>
    <row r="438" customFormat="false" ht="15" hidden="false" customHeight="false" outlineLevel="0" collapsed="false">
      <c r="A438" s="31" t="s">
        <v>544</v>
      </c>
      <c r="B438" s="32" t="n">
        <v>1</v>
      </c>
      <c r="C438" s="11" t="n">
        <v>0</v>
      </c>
      <c r="D438" s="11" t="n">
        <v>0</v>
      </c>
      <c r="E438" s="11" t="n">
        <v>0</v>
      </c>
      <c r="F438" s="11" t="n">
        <v>17.65</v>
      </c>
      <c r="G438" s="12" t="n">
        <f aca="false">SUM(C438:F438)</f>
        <v>17.65</v>
      </c>
      <c r="H438" s="31" t="s">
        <v>110</v>
      </c>
      <c r="I438" s="33" t="s">
        <v>108</v>
      </c>
    </row>
    <row r="439" customFormat="false" ht="15" hidden="false" customHeight="false" outlineLevel="0" collapsed="false">
      <c r="A439" s="28" t="s">
        <v>545</v>
      </c>
      <c r="B439" s="29" t="n">
        <v>1</v>
      </c>
      <c r="C439" s="15" t="n">
        <v>0</v>
      </c>
      <c r="D439" s="15" t="n">
        <v>0</v>
      </c>
      <c r="E439" s="15" t="n">
        <v>0</v>
      </c>
      <c r="F439" s="15" t="n">
        <v>17.65</v>
      </c>
      <c r="G439" s="16" t="n">
        <f aca="false">SUM(C439:F439)</f>
        <v>17.65</v>
      </c>
      <c r="H439" s="28" t="s">
        <v>110</v>
      </c>
      <c r="I439" s="30" t="s">
        <v>108</v>
      </c>
    </row>
    <row r="440" customFormat="false" ht="15" hidden="false" customHeight="false" outlineLevel="0" collapsed="false">
      <c r="A440" s="31" t="s">
        <v>546</v>
      </c>
      <c r="B440" s="32" t="n">
        <v>1</v>
      </c>
      <c r="C440" s="11" t="n">
        <v>0</v>
      </c>
      <c r="D440" s="11" t="n">
        <v>0</v>
      </c>
      <c r="E440" s="11" t="n">
        <v>0</v>
      </c>
      <c r="F440" s="11" t="n">
        <v>17.65</v>
      </c>
      <c r="G440" s="12" t="n">
        <f aca="false">SUM(C440:F440)</f>
        <v>17.65</v>
      </c>
      <c r="H440" s="31" t="s">
        <v>110</v>
      </c>
      <c r="I440" s="33" t="s">
        <v>108</v>
      </c>
    </row>
    <row r="441" customFormat="false" ht="15" hidden="false" customHeight="false" outlineLevel="0" collapsed="false">
      <c r="A441" s="28" t="s">
        <v>547</v>
      </c>
      <c r="B441" s="29" t="n">
        <v>1</v>
      </c>
      <c r="C441" s="15" t="n">
        <v>0</v>
      </c>
      <c r="D441" s="15" t="n">
        <v>0</v>
      </c>
      <c r="E441" s="15" t="n">
        <v>0</v>
      </c>
      <c r="F441" s="15" t="n">
        <v>17.65</v>
      </c>
      <c r="G441" s="16" t="n">
        <f aca="false">SUM(C441:F441)</f>
        <v>17.65</v>
      </c>
      <c r="H441" s="28" t="s">
        <v>110</v>
      </c>
      <c r="I441" s="30" t="s">
        <v>108</v>
      </c>
    </row>
    <row r="442" customFormat="false" ht="15" hidden="false" customHeight="false" outlineLevel="0" collapsed="false">
      <c r="A442" s="31" t="s">
        <v>548</v>
      </c>
      <c r="B442" s="32" t="n">
        <v>1</v>
      </c>
      <c r="C442" s="11" t="n">
        <v>0</v>
      </c>
      <c r="D442" s="11" t="n">
        <v>0</v>
      </c>
      <c r="E442" s="11" t="n">
        <v>0</v>
      </c>
      <c r="F442" s="11" t="n">
        <v>17.65</v>
      </c>
      <c r="G442" s="12" t="n">
        <f aca="false">SUM(C442:F442)</f>
        <v>17.65</v>
      </c>
      <c r="H442" s="31" t="s">
        <v>110</v>
      </c>
      <c r="I442" s="33" t="s">
        <v>108</v>
      </c>
    </row>
    <row r="443" customFormat="false" ht="15" hidden="false" customHeight="false" outlineLevel="0" collapsed="false">
      <c r="A443" s="28" t="s">
        <v>549</v>
      </c>
      <c r="B443" s="29" t="n">
        <v>1</v>
      </c>
      <c r="C443" s="15" t="n">
        <v>0</v>
      </c>
      <c r="D443" s="15" t="n">
        <v>0</v>
      </c>
      <c r="E443" s="15" t="n">
        <v>0</v>
      </c>
      <c r="F443" s="15" t="n">
        <v>17.65</v>
      </c>
      <c r="G443" s="16" t="n">
        <f aca="false">SUM(C443:F443)</f>
        <v>17.65</v>
      </c>
      <c r="H443" s="28" t="s">
        <v>110</v>
      </c>
      <c r="I443" s="30" t="s">
        <v>108</v>
      </c>
    </row>
    <row r="444" customFormat="false" ht="15" hidden="false" customHeight="false" outlineLevel="0" collapsed="false">
      <c r="A444" s="31" t="s">
        <v>550</v>
      </c>
      <c r="B444" s="32" t="n">
        <v>1</v>
      </c>
      <c r="C444" s="11" t="n">
        <v>0</v>
      </c>
      <c r="D444" s="11" t="n">
        <v>0</v>
      </c>
      <c r="E444" s="11" t="n">
        <v>0</v>
      </c>
      <c r="F444" s="11" t="n">
        <v>17.65</v>
      </c>
      <c r="G444" s="12" t="n">
        <f aca="false">SUM(C444:F444)</f>
        <v>17.65</v>
      </c>
      <c r="H444" s="31" t="s">
        <v>110</v>
      </c>
      <c r="I444" s="33" t="s">
        <v>108</v>
      </c>
    </row>
    <row r="445" customFormat="false" ht="15" hidden="false" customHeight="false" outlineLevel="0" collapsed="false">
      <c r="A445" s="28" t="s">
        <v>551</v>
      </c>
      <c r="B445" s="29" t="n">
        <v>1</v>
      </c>
      <c r="C445" s="15" t="n">
        <v>0</v>
      </c>
      <c r="D445" s="15" t="n">
        <v>0</v>
      </c>
      <c r="E445" s="15" t="n">
        <v>0</v>
      </c>
      <c r="F445" s="15" t="n">
        <v>17.65</v>
      </c>
      <c r="G445" s="16" t="n">
        <f aca="false">SUM(C445:F445)</f>
        <v>17.65</v>
      </c>
      <c r="H445" s="28" t="s">
        <v>110</v>
      </c>
      <c r="I445" s="30" t="s">
        <v>108</v>
      </c>
    </row>
    <row r="446" customFormat="false" ht="15" hidden="false" customHeight="false" outlineLevel="0" collapsed="false">
      <c r="A446" s="31" t="s">
        <v>552</v>
      </c>
      <c r="B446" s="32" t="n">
        <v>1</v>
      </c>
      <c r="C446" s="11" t="n">
        <v>0</v>
      </c>
      <c r="D446" s="11" t="n">
        <v>0</v>
      </c>
      <c r="E446" s="11" t="n">
        <v>0</v>
      </c>
      <c r="F446" s="11" t="n">
        <v>17.65</v>
      </c>
      <c r="G446" s="12" t="n">
        <f aca="false">SUM(C446:F446)</f>
        <v>17.65</v>
      </c>
      <c r="H446" s="31" t="s">
        <v>110</v>
      </c>
      <c r="I446" s="33" t="s">
        <v>108</v>
      </c>
    </row>
    <row r="447" customFormat="false" ht="15" hidden="false" customHeight="false" outlineLevel="0" collapsed="false">
      <c r="A447" s="28" t="s">
        <v>553</v>
      </c>
      <c r="B447" s="29" t="n">
        <v>1</v>
      </c>
      <c r="C447" s="15" t="n">
        <v>0</v>
      </c>
      <c r="D447" s="15" t="n">
        <v>0</v>
      </c>
      <c r="E447" s="15" t="n">
        <v>0</v>
      </c>
      <c r="F447" s="15" t="n">
        <v>17.65</v>
      </c>
      <c r="G447" s="16" t="n">
        <f aca="false">SUM(C447:F447)</f>
        <v>17.65</v>
      </c>
      <c r="H447" s="28" t="s">
        <v>110</v>
      </c>
      <c r="I447" s="30" t="s">
        <v>108</v>
      </c>
    </row>
    <row r="448" customFormat="false" ht="15" hidden="false" customHeight="false" outlineLevel="0" collapsed="false">
      <c r="A448" s="31" t="s">
        <v>554</v>
      </c>
      <c r="B448" s="32" t="n">
        <v>1</v>
      </c>
      <c r="C448" s="11" t="n">
        <v>0</v>
      </c>
      <c r="D448" s="11" t="n">
        <v>0</v>
      </c>
      <c r="E448" s="11" t="n">
        <v>0</v>
      </c>
      <c r="F448" s="11" t="n">
        <v>17.65</v>
      </c>
      <c r="G448" s="12" t="n">
        <f aca="false">SUM(C448:F448)</f>
        <v>17.65</v>
      </c>
      <c r="H448" s="31" t="s">
        <v>110</v>
      </c>
      <c r="I448" s="33" t="s">
        <v>108</v>
      </c>
    </row>
    <row r="449" customFormat="false" ht="15" hidden="false" customHeight="false" outlineLevel="0" collapsed="false">
      <c r="A449" s="28" t="s">
        <v>555</v>
      </c>
      <c r="B449" s="29" t="n">
        <v>1</v>
      </c>
      <c r="C449" s="15" t="n">
        <v>0</v>
      </c>
      <c r="D449" s="15" t="n">
        <v>0</v>
      </c>
      <c r="E449" s="15" t="n">
        <v>0</v>
      </c>
      <c r="F449" s="15" t="n">
        <v>17.65</v>
      </c>
      <c r="G449" s="16" t="n">
        <f aca="false">SUM(C449:F449)</f>
        <v>17.65</v>
      </c>
      <c r="H449" s="28" t="s">
        <v>110</v>
      </c>
      <c r="I449" s="30" t="s">
        <v>108</v>
      </c>
    </row>
    <row r="450" customFormat="false" ht="15" hidden="false" customHeight="false" outlineLevel="0" collapsed="false">
      <c r="A450" s="31" t="s">
        <v>556</v>
      </c>
      <c r="B450" s="32" t="n">
        <v>1</v>
      </c>
      <c r="C450" s="11" t="n">
        <v>0</v>
      </c>
      <c r="D450" s="11" t="n">
        <v>0</v>
      </c>
      <c r="E450" s="11" t="n">
        <v>0</v>
      </c>
      <c r="F450" s="11" t="n">
        <v>17.65</v>
      </c>
      <c r="G450" s="12" t="n">
        <f aca="false">SUM(C450:F450)</f>
        <v>17.65</v>
      </c>
      <c r="H450" s="31" t="s">
        <v>110</v>
      </c>
      <c r="I450" s="33" t="s">
        <v>108</v>
      </c>
    </row>
    <row r="451" customFormat="false" ht="15" hidden="false" customHeight="false" outlineLevel="0" collapsed="false">
      <c r="A451" s="28" t="s">
        <v>557</v>
      </c>
      <c r="B451" s="29" t="n">
        <v>1</v>
      </c>
      <c r="C451" s="15" t="n">
        <v>0</v>
      </c>
      <c r="D451" s="15" t="n">
        <v>0</v>
      </c>
      <c r="E451" s="15" t="n">
        <v>0</v>
      </c>
      <c r="F451" s="15" t="n">
        <v>17.65</v>
      </c>
      <c r="G451" s="16" t="n">
        <f aca="false">SUM(C451:F451)</f>
        <v>17.65</v>
      </c>
      <c r="H451" s="28" t="s">
        <v>110</v>
      </c>
      <c r="I451" s="30" t="s">
        <v>108</v>
      </c>
    </row>
    <row r="452" customFormat="false" ht="15" hidden="false" customHeight="false" outlineLevel="0" collapsed="false">
      <c r="A452" s="31" t="s">
        <v>558</v>
      </c>
      <c r="B452" s="32" t="n">
        <v>1</v>
      </c>
      <c r="C452" s="11" t="n">
        <v>0</v>
      </c>
      <c r="D452" s="11" t="n">
        <v>0</v>
      </c>
      <c r="E452" s="11" t="n">
        <v>0</v>
      </c>
      <c r="F452" s="11" t="n">
        <v>17.65</v>
      </c>
      <c r="G452" s="12" t="n">
        <f aca="false">SUM(C452:F452)</f>
        <v>17.65</v>
      </c>
      <c r="H452" s="31" t="s">
        <v>110</v>
      </c>
      <c r="I452" s="33" t="s">
        <v>108</v>
      </c>
    </row>
    <row r="453" customFormat="false" ht="15" hidden="false" customHeight="false" outlineLevel="0" collapsed="false">
      <c r="A453" s="28" t="s">
        <v>559</v>
      </c>
      <c r="B453" s="29" t="n">
        <v>1</v>
      </c>
      <c r="C453" s="15" t="n">
        <v>0</v>
      </c>
      <c r="D453" s="15" t="n">
        <v>0</v>
      </c>
      <c r="E453" s="15" t="n">
        <v>0</v>
      </c>
      <c r="F453" s="15" t="n">
        <v>17.65</v>
      </c>
      <c r="G453" s="16" t="n">
        <f aca="false">SUM(C453:F453)</f>
        <v>17.65</v>
      </c>
      <c r="H453" s="28" t="s">
        <v>110</v>
      </c>
      <c r="I453" s="30" t="s">
        <v>108</v>
      </c>
    </row>
    <row r="454" customFormat="false" ht="15" hidden="false" customHeight="false" outlineLevel="0" collapsed="false">
      <c r="A454" s="31" t="s">
        <v>560</v>
      </c>
      <c r="B454" s="32" t="n">
        <v>1</v>
      </c>
      <c r="C454" s="11" t="n">
        <v>0</v>
      </c>
      <c r="D454" s="11" t="n">
        <v>0</v>
      </c>
      <c r="E454" s="11" t="n">
        <v>0</v>
      </c>
      <c r="F454" s="11" t="n">
        <v>17.65</v>
      </c>
      <c r="G454" s="12" t="n">
        <f aca="false">SUM(C454:F454)</f>
        <v>17.65</v>
      </c>
      <c r="H454" s="31" t="s">
        <v>110</v>
      </c>
      <c r="I454" s="33" t="s">
        <v>108</v>
      </c>
    </row>
    <row r="455" customFormat="false" ht="15" hidden="false" customHeight="false" outlineLevel="0" collapsed="false">
      <c r="A455" s="28" t="s">
        <v>561</v>
      </c>
      <c r="B455" s="29" t="n">
        <v>1</v>
      </c>
      <c r="C455" s="15" t="n">
        <v>0</v>
      </c>
      <c r="D455" s="15" t="n">
        <v>0</v>
      </c>
      <c r="E455" s="15" t="n">
        <v>0</v>
      </c>
      <c r="F455" s="15" t="n">
        <v>17.65</v>
      </c>
      <c r="G455" s="16" t="n">
        <f aca="false">SUM(C455:F455)</f>
        <v>17.65</v>
      </c>
      <c r="H455" s="28" t="s">
        <v>110</v>
      </c>
      <c r="I455" s="30" t="s">
        <v>108</v>
      </c>
    </row>
    <row r="456" customFormat="false" ht="15" hidden="false" customHeight="false" outlineLevel="0" collapsed="false">
      <c r="A456" s="31" t="s">
        <v>562</v>
      </c>
      <c r="B456" s="32" t="n">
        <v>1</v>
      </c>
      <c r="C456" s="11" t="n">
        <v>0</v>
      </c>
      <c r="D456" s="11" t="n">
        <v>0</v>
      </c>
      <c r="E456" s="11" t="n">
        <v>0</v>
      </c>
      <c r="F456" s="11" t="n">
        <v>17.65</v>
      </c>
      <c r="G456" s="12" t="n">
        <f aca="false">SUM(C456:F456)</f>
        <v>17.65</v>
      </c>
      <c r="H456" s="31" t="s">
        <v>110</v>
      </c>
      <c r="I456" s="33" t="s">
        <v>108</v>
      </c>
    </row>
    <row r="457" customFormat="false" ht="15" hidden="false" customHeight="false" outlineLevel="0" collapsed="false">
      <c r="A457" s="28" t="s">
        <v>563</v>
      </c>
      <c r="B457" s="29" t="n">
        <v>1</v>
      </c>
      <c r="C457" s="15" t="n">
        <v>0</v>
      </c>
      <c r="D457" s="15" t="n">
        <v>0</v>
      </c>
      <c r="E457" s="15" t="n">
        <v>0</v>
      </c>
      <c r="F457" s="15" t="n">
        <v>17.65</v>
      </c>
      <c r="G457" s="16" t="n">
        <f aca="false">SUM(C457:F457)</f>
        <v>17.65</v>
      </c>
      <c r="H457" s="28" t="s">
        <v>110</v>
      </c>
      <c r="I457" s="30" t="s">
        <v>108</v>
      </c>
    </row>
    <row r="458" customFormat="false" ht="15" hidden="false" customHeight="false" outlineLevel="0" collapsed="false">
      <c r="A458" s="31" t="s">
        <v>564</v>
      </c>
      <c r="B458" s="32" t="n">
        <v>1</v>
      </c>
      <c r="C458" s="11" t="n">
        <v>0</v>
      </c>
      <c r="D458" s="11" t="n">
        <v>0</v>
      </c>
      <c r="E458" s="11" t="n">
        <v>0</v>
      </c>
      <c r="F458" s="11" t="n">
        <v>17.65</v>
      </c>
      <c r="G458" s="12" t="n">
        <f aca="false">SUM(C458:F458)</f>
        <v>17.65</v>
      </c>
      <c r="H458" s="31" t="s">
        <v>110</v>
      </c>
      <c r="I458" s="33" t="s">
        <v>108</v>
      </c>
    </row>
    <row r="459" customFormat="false" ht="15" hidden="false" customHeight="false" outlineLevel="0" collapsed="false">
      <c r="A459" s="28" t="s">
        <v>565</v>
      </c>
      <c r="B459" s="29" t="n">
        <v>1</v>
      </c>
      <c r="C459" s="15" t="n">
        <v>0</v>
      </c>
      <c r="D459" s="15" t="n">
        <v>0</v>
      </c>
      <c r="E459" s="15" t="n">
        <v>0</v>
      </c>
      <c r="F459" s="15" t="n">
        <v>17.65</v>
      </c>
      <c r="G459" s="16" t="n">
        <f aca="false">SUM(C459:F459)</f>
        <v>17.65</v>
      </c>
      <c r="H459" s="28" t="s">
        <v>110</v>
      </c>
      <c r="I459" s="30" t="s">
        <v>108</v>
      </c>
    </row>
    <row r="460" customFormat="false" ht="15" hidden="false" customHeight="false" outlineLevel="0" collapsed="false">
      <c r="A460" s="31" t="s">
        <v>566</v>
      </c>
      <c r="B460" s="32" t="n">
        <v>1</v>
      </c>
      <c r="C460" s="11" t="n">
        <v>0</v>
      </c>
      <c r="D460" s="11" t="n">
        <v>0</v>
      </c>
      <c r="E460" s="11" t="n">
        <v>0</v>
      </c>
      <c r="F460" s="11" t="n">
        <v>17.65</v>
      </c>
      <c r="G460" s="12" t="n">
        <f aca="false">SUM(C460:F460)</f>
        <v>17.65</v>
      </c>
      <c r="H460" s="31" t="s">
        <v>110</v>
      </c>
      <c r="I460" s="33" t="s">
        <v>108</v>
      </c>
    </row>
    <row r="461" customFormat="false" ht="15" hidden="false" customHeight="false" outlineLevel="0" collapsed="false">
      <c r="A461" s="28" t="s">
        <v>567</v>
      </c>
      <c r="B461" s="29" t="n">
        <v>1</v>
      </c>
      <c r="C461" s="15" t="n">
        <v>0</v>
      </c>
      <c r="D461" s="15" t="n">
        <v>0</v>
      </c>
      <c r="E461" s="15" t="n">
        <v>0</v>
      </c>
      <c r="F461" s="15" t="n">
        <v>17.65</v>
      </c>
      <c r="G461" s="16" t="n">
        <f aca="false">SUM(C461:F461)</f>
        <v>17.65</v>
      </c>
      <c r="H461" s="28" t="s">
        <v>110</v>
      </c>
      <c r="I461" s="30" t="s">
        <v>108</v>
      </c>
    </row>
    <row r="462" customFormat="false" ht="15" hidden="false" customHeight="false" outlineLevel="0" collapsed="false">
      <c r="A462" s="31" t="s">
        <v>568</v>
      </c>
      <c r="B462" s="32" t="n">
        <v>1</v>
      </c>
      <c r="C462" s="11" t="n">
        <v>0</v>
      </c>
      <c r="D462" s="11" t="n">
        <v>0</v>
      </c>
      <c r="E462" s="11" t="n">
        <v>0</v>
      </c>
      <c r="F462" s="11" t="n">
        <v>17.65</v>
      </c>
      <c r="G462" s="12" t="n">
        <f aca="false">SUM(C462:F462)</f>
        <v>17.65</v>
      </c>
      <c r="H462" s="31" t="s">
        <v>110</v>
      </c>
      <c r="I462" s="33" t="s">
        <v>108</v>
      </c>
    </row>
    <row r="463" customFormat="false" ht="15" hidden="false" customHeight="false" outlineLevel="0" collapsed="false">
      <c r="A463" s="28" t="s">
        <v>569</v>
      </c>
      <c r="B463" s="29" t="n">
        <v>1</v>
      </c>
      <c r="C463" s="15" t="n">
        <v>0</v>
      </c>
      <c r="D463" s="15" t="n">
        <v>0</v>
      </c>
      <c r="E463" s="15" t="n">
        <v>0</v>
      </c>
      <c r="F463" s="15" t="n">
        <v>17.65</v>
      </c>
      <c r="G463" s="16" t="n">
        <f aca="false">SUM(C463:F463)</f>
        <v>17.65</v>
      </c>
      <c r="H463" s="28" t="s">
        <v>110</v>
      </c>
      <c r="I463" s="30" t="s">
        <v>108</v>
      </c>
    </row>
    <row r="464" customFormat="false" ht="15" hidden="false" customHeight="false" outlineLevel="0" collapsed="false">
      <c r="A464" s="31" t="s">
        <v>570</v>
      </c>
      <c r="B464" s="32" t="n">
        <v>1</v>
      </c>
      <c r="C464" s="11" t="n">
        <v>0</v>
      </c>
      <c r="D464" s="11" t="n">
        <v>0</v>
      </c>
      <c r="E464" s="11" t="n">
        <v>0</v>
      </c>
      <c r="F464" s="11" t="n">
        <v>17.65</v>
      </c>
      <c r="G464" s="12" t="n">
        <f aca="false">SUM(C464:F464)</f>
        <v>17.65</v>
      </c>
      <c r="H464" s="31" t="s">
        <v>110</v>
      </c>
      <c r="I464" s="33" t="s">
        <v>108</v>
      </c>
    </row>
    <row r="465" customFormat="false" ht="15" hidden="false" customHeight="false" outlineLevel="0" collapsed="false">
      <c r="A465" s="28" t="s">
        <v>571</v>
      </c>
      <c r="B465" s="29" t="n">
        <v>1</v>
      </c>
      <c r="C465" s="15" t="n">
        <v>0</v>
      </c>
      <c r="D465" s="15" t="n">
        <v>0</v>
      </c>
      <c r="E465" s="15" t="n">
        <v>0</v>
      </c>
      <c r="F465" s="15" t="n">
        <v>17.65</v>
      </c>
      <c r="G465" s="16" t="n">
        <f aca="false">SUM(C465:F465)</f>
        <v>17.65</v>
      </c>
      <c r="H465" s="28" t="s">
        <v>110</v>
      </c>
      <c r="I465" s="30" t="s">
        <v>108</v>
      </c>
    </row>
    <row r="466" customFormat="false" ht="15" hidden="false" customHeight="false" outlineLevel="0" collapsed="false">
      <c r="A466" s="31" t="s">
        <v>572</v>
      </c>
      <c r="B466" s="32" t="n">
        <v>1</v>
      </c>
      <c r="C466" s="11" t="n">
        <v>0</v>
      </c>
      <c r="D466" s="11" t="n">
        <v>0</v>
      </c>
      <c r="E466" s="11" t="n">
        <v>0</v>
      </c>
      <c r="F466" s="11" t="n">
        <v>17.65</v>
      </c>
      <c r="G466" s="12" t="n">
        <f aca="false">SUM(C466:F466)</f>
        <v>17.65</v>
      </c>
      <c r="H466" s="31" t="s">
        <v>110</v>
      </c>
      <c r="I466" s="33" t="s">
        <v>108</v>
      </c>
    </row>
    <row r="467" customFormat="false" ht="15" hidden="false" customHeight="false" outlineLevel="0" collapsed="false">
      <c r="A467" s="28" t="s">
        <v>573</v>
      </c>
      <c r="B467" s="29" t="n">
        <v>1</v>
      </c>
      <c r="C467" s="15" t="n">
        <v>0</v>
      </c>
      <c r="D467" s="15" t="n">
        <v>0</v>
      </c>
      <c r="E467" s="15" t="n">
        <v>0</v>
      </c>
      <c r="F467" s="15" t="n">
        <v>17.65</v>
      </c>
      <c r="G467" s="16" t="n">
        <f aca="false">SUM(C467:F467)</f>
        <v>17.65</v>
      </c>
      <c r="H467" s="28" t="s">
        <v>110</v>
      </c>
      <c r="I467" s="30" t="s">
        <v>108</v>
      </c>
    </row>
    <row r="468" customFormat="false" ht="15" hidden="false" customHeight="false" outlineLevel="0" collapsed="false">
      <c r="A468" s="31" t="s">
        <v>574</v>
      </c>
      <c r="B468" s="32" t="n">
        <v>1</v>
      </c>
      <c r="C468" s="11" t="n">
        <v>0</v>
      </c>
      <c r="D468" s="11" t="n">
        <v>0</v>
      </c>
      <c r="E468" s="11" t="n">
        <v>0</v>
      </c>
      <c r="F468" s="11" t="n">
        <v>17.65</v>
      </c>
      <c r="G468" s="12" t="n">
        <f aca="false">SUM(C468:F468)</f>
        <v>17.65</v>
      </c>
      <c r="H468" s="31" t="s">
        <v>110</v>
      </c>
      <c r="I468" s="33" t="s">
        <v>108</v>
      </c>
    </row>
    <row r="469" customFormat="false" ht="15" hidden="false" customHeight="false" outlineLevel="0" collapsed="false">
      <c r="A469" s="28" t="s">
        <v>575</v>
      </c>
      <c r="B469" s="29" t="n">
        <v>1</v>
      </c>
      <c r="C469" s="15" t="n">
        <v>0</v>
      </c>
      <c r="D469" s="15" t="n">
        <v>0</v>
      </c>
      <c r="E469" s="15" t="n">
        <v>0</v>
      </c>
      <c r="F469" s="15" t="n">
        <v>17.65</v>
      </c>
      <c r="G469" s="16" t="n">
        <f aca="false">SUM(C469:F469)</f>
        <v>17.65</v>
      </c>
      <c r="H469" s="28" t="s">
        <v>110</v>
      </c>
      <c r="I469" s="30" t="s">
        <v>108</v>
      </c>
    </row>
    <row r="470" customFormat="false" ht="15" hidden="false" customHeight="false" outlineLevel="0" collapsed="false">
      <c r="A470" s="31" t="s">
        <v>576</v>
      </c>
      <c r="B470" s="32" t="n">
        <v>1</v>
      </c>
      <c r="C470" s="11" t="n">
        <v>0</v>
      </c>
      <c r="D470" s="11" t="n">
        <v>0</v>
      </c>
      <c r="E470" s="11" t="n">
        <v>0</v>
      </c>
      <c r="F470" s="11" t="n">
        <v>17.65</v>
      </c>
      <c r="G470" s="12" t="n">
        <f aca="false">SUM(C470:F470)</f>
        <v>17.65</v>
      </c>
      <c r="H470" s="31" t="s">
        <v>110</v>
      </c>
      <c r="I470" s="33" t="s">
        <v>108</v>
      </c>
    </row>
    <row r="471" customFormat="false" ht="15" hidden="false" customHeight="false" outlineLevel="0" collapsed="false">
      <c r="A471" s="28" t="s">
        <v>577</v>
      </c>
      <c r="B471" s="29" t="n">
        <v>1</v>
      </c>
      <c r="C471" s="15" t="n">
        <v>0</v>
      </c>
      <c r="D471" s="15" t="n">
        <v>0</v>
      </c>
      <c r="E471" s="15" t="n">
        <v>0</v>
      </c>
      <c r="F471" s="15" t="n">
        <v>17.65</v>
      </c>
      <c r="G471" s="16" t="n">
        <f aca="false">SUM(C471:F471)</f>
        <v>17.65</v>
      </c>
      <c r="H471" s="28" t="s">
        <v>110</v>
      </c>
      <c r="I471" s="30" t="s">
        <v>108</v>
      </c>
    </row>
    <row r="472" customFormat="false" ht="15" hidden="false" customHeight="false" outlineLevel="0" collapsed="false">
      <c r="A472" s="31" t="s">
        <v>578</v>
      </c>
      <c r="B472" s="32" t="n">
        <v>1</v>
      </c>
      <c r="C472" s="11" t="n">
        <v>0</v>
      </c>
      <c r="D472" s="11" t="n">
        <v>0</v>
      </c>
      <c r="E472" s="11" t="n">
        <v>0</v>
      </c>
      <c r="F472" s="11" t="n">
        <v>17.65</v>
      </c>
      <c r="G472" s="12" t="n">
        <f aca="false">SUM(C472:F472)</f>
        <v>17.65</v>
      </c>
      <c r="H472" s="31" t="s">
        <v>110</v>
      </c>
      <c r="I472" s="33" t="s">
        <v>108</v>
      </c>
    </row>
    <row r="473" customFormat="false" ht="15" hidden="false" customHeight="false" outlineLevel="0" collapsed="false">
      <c r="A473" s="28" t="s">
        <v>579</v>
      </c>
      <c r="B473" s="29" t="n">
        <v>1</v>
      </c>
      <c r="C473" s="15" t="n">
        <v>0</v>
      </c>
      <c r="D473" s="15" t="n">
        <v>0</v>
      </c>
      <c r="E473" s="15" t="n">
        <v>0</v>
      </c>
      <c r="F473" s="15" t="n">
        <v>17.65</v>
      </c>
      <c r="G473" s="16" t="n">
        <f aca="false">SUM(C473:F473)</f>
        <v>17.65</v>
      </c>
      <c r="H473" s="28" t="s">
        <v>110</v>
      </c>
      <c r="I473" s="30" t="s">
        <v>108</v>
      </c>
    </row>
    <row r="474" customFormat="false" ht="15" hidden="false" customHeight="false" outlineLevel="0" collapsed="false">
      <c r="A474" s="31" t="s">
        <v>580</v>
      </c>
      <c r="B474" s="32" t="n">
        <v>1</v>
      </c>
      <c r="C474" s="11" t="n">
        <v>0</v>
      </c>
      <c r="D474" s="11" t="n">
        <v>0</v>
      </c>
      <c r="E474" s="11" t="n">
        <v>0</v>
      </c>
      <c r="F474" s="11" t="n">
        <v>17.65</v>
      </c>
      <c r="G474" s="12" t="n">
        <f aca="false">SUM(C474:F474)</f>
        <v>17.65</v>
      </c>
      <c r="H474" s="31" t="s">
        <v>110</v>
      </c>
      <c r="I474" s="33" t="s">
        <v>108</v>
      </c>
    </row>
    <row r="475" customFormat="false" ht="15" hidden="false" customHeight="false" outlineLevel="0" collapsed="false">
      <c r="A475" s="28" t="s">
        <v>581</v>
      </c>
      <c r="B475" s="29" t="n">
        <v>2</v>
      </c>
      <c r="C475" s="15" t="n">
        <v>0</v>
      </c>
      <c r="D475" s="15" t="n">
        <v>0</v>
      </c>
      <c r="E475" s="15" t="n">
        <v>0</v>
      </c>
      <c r="F475" s="15" t="n">
        <v>15.5</v>
      </c>
      <c r="G475" s="16" t="n">
        <f aca="false">SUM(C475:F475)</f>
        <v>15.5</v>
      </c>
      <c r="H475" s="28" t="s">
        <v>110</v>
      </c>
      <c r="I475" s="30" t="s">
        <v>108</v>
      </c>
    </row>
    <row r="476" customFormat="false" ht="15" hidden="false" customHeight="false" outlineLevel="0" collapsed="false">
      <c r="A476" s="31" t="s">
        <v>582</v>
      </c>
      <c r="B476" s="32" t="n">
        <v>1</v>
      </c>
      <c r="C476" s="11" t="n">
        <v>0</v>
      </c>
      <c r="D476" s="11" t="n">
        <v>0</v>
      </c>
      <c r="E476" s="11" t="n">
        <v>0</v>
      </c>
      <c r="F476" s="11" t="n">
        <v>7.75</v>
      </c>
      <c r="G476" s="12" t="n">
        <f aca="false">SUM(C476:F476)</f>
        <v>7.75</v>
      </c>
      <c r="H476" s="31" t="s">
        <v>110</v>
      </c>
      <c r="I476" s="33" t="s">
        <v>108</v>
      </c>
    </row>
    <row r="477" customFormat="false" ht="15" hidden="false" customHeight="false" outlineLevel="0" collapsed="false">
      <c r="A477" s="28" t="s">
        <v>583</v>
      </c>
      <c r="B477" s="29" t="n">
        <v>1</v>
      </c>
      <c r="C477" s="15" t="n">
        <v>0</v>
      </c>
      <c r="D477" s="15" t="n">
        <v>0</v>
      </c>
      <c r="E477" s="15" t="n">
        <v>0</v>
      </c>
      <c r="F477" s="15" t="n">
        <v>7.75</v>
      </c>
      <c r="G477" s="16" t="n">
        <f aca="false">SUM(C477:F477)</f>
        <v>7.75</v>
      </c>
      <c r="H477" s="28" t="s">
        <v>110</v>
      </c>
      <c r="I477" s="30" t="s">
        <v>108</v>
      </c>
    </row>
    <row r="478" customFormat="false" ht="15" hidden="false" customHeight="false" outlineLevel="0" collapsed="false">
      <c r="A478" s="31" t="s">
        <v>584</v>
      </c>
      <c r="B478" s="32" t="n">
        <v>1</v>
      </c>
      <c r="C478" s="11" t="n">
        <v>0</v>
      </c>
      <c r="D478" s="11" t="n">
        <v>0</v>
      </c>
      <c r="E478" s="11" t="n">
        <v>0</v>
      </c>
      <c r="F478" s="11" t="n">
        <v>7.75</v>
      </c>
      <c r="G478" s="12" t="n">
        <f aca="false">SUM(C478:F478)</f>
        <v>7.75</v>
      </c>
      <c r="H478" s="31" t="s">
        <v>110</v>
      </c>
      <c r="I478" s="33" t="s">
        <v>108</v>
      </c>
    </row>
    <row r="479" customFormat="false" ht="15" hidden="false" customHeight="false" outlineLevel="0" collapsed="false">
      <c r="A479" s="28" t="s">
        <v>585</v>
      </c>
      <c r="B479" s="29" t="n">
        <v>1</v>
      </c>
      <c r="C479" s="15" t="n">
        <v>0</v>
      </c>
      <c r="D479" s="15" t="n">
        <v>0</v>
      </c>
      <c r="E479" s="15" t="n">
        <v>0</v>
      </c>
      <c r="F479" s="15" t="n">
        <v>7.75</v>
      </c>
      <c r="G479" s="16" t="n">
        <f aca="false">SUM(C479:F479)</f>
        <v>7.75</v>
      </c>
      <c r="H479" s="28" t="s">
        <v>110</v>
      </c>
      <c r="I479" s="30" t="s">
        <v>108</v>
      </c>
    </row>
    <row r="480" customFormat="false" ht="15" hidden="false" customHeight="false" outlineLevel="0" collapsed="false">
      <c r="A480" s="31" t="s">
        <v>586</v>
      </c>
      <c r="B480" s="32" t="n">
        <v>1</v>
      </c>
      <c r="C480" s="11" t="n">
        <v>0</v>
      </c>
      <c r="D480" s="11" t="n">
        <v>0</v>
      </c>
      <c r="E480" s="11" t="n">
        <v>0</v>
      </c>
      <c r="F480" s="11" t="n">
        <v>7.75</v>
      </c>
      <c r="G480" s="12" t="n">
        <f aca="false">SUM(C480:F480)</f>
        <v>7.75</v>
      </c>
      <c r="H480" s="31" t="s">
        <v>110</v>
      </c>
      <c r="I480" s="33" t="s">
        <v>108</v>
      </c>
    </row>
    <row r="481" customFormat="false" ht="15" hidden="false" customHeight="false" outlineLevel="0" collapsed="false">
      <c r="A481" s="28" t="s">
        <v>587</v>
      </c>
      <c r="B481" s="29" t="n">
        <v>1</v>
      </c>
      <c r="C481" s="15" t="n">
        <v>0</v>
      </c>
      <c r="D481" s="15" t="n">
        <v>0</v>
      </c>
      <c r="E481" s="15" t="n">
        <v>0</v>
      </c>
      <c r="F481" s="15" t="n">
        <v>7.75</v>
      </c>
      <c r="G481" s="16" t="n">
        <f aca="false">SUM(C481:F481)</f>
        <v>7.75</v>
      </c>
      <c r="H481" s="28" t="s">
        <v>110</v>
      </c>
      <c r="I481" s="30" t="s">
        <v>108</v>
      </c>
    </row>
    <row r="482" customFormat="false" ht="15" hidden="false" customHeight="false" outlineLevel="0" collapsed="false">
      <c r="A482" s="31" t="s">
        <v>588</v>
      </c>
      <c r="B482" s="32" t="n">
        <v>1</v>
      </c>
      <c r="C482" s="11" t="n">
        <v>0</v>
      </c>
      <c r="D482" s="11" t="n">
        <v>0</v>
      </c>
      <c r="E482" s="11" t="n">
        <v>0</v>
      </c>
      <c r="F482" s="11" t="n">
        <v>7.75</v>
      </c>
      <c r="G482" s="12" t="n">
        <f aca="false">SUM(C482:F482)</f>
        <v>7.75</v>
      </c>
      <c r="H482" s="31" t="s">
        <v>110</v>
      </c>
      <c r="I482" s="33" t="s">
        <v>108</v>
      </c>
    </row>
    <row r="483" customFormat="false" ht="15" hidden="false" customHeight="false" outlineLevel="0" collapsed="false">
      <c r="A483" s="28" t="s">
        <v>589</v>
      </c>
      <c r="B483" s="29" t="n">
        <v>1</v>
      </c>
      <c r="C483" s="15" t="n">
        <v>0</v>
      </c>
      <c r="D483" s="15" t="n">
        <v>0</v>
      </c>
      <c r="E483" s="15" t="n">
        <v>0</v>
      </c>
      <c r="F483" s="15" t="n">
        <v>7.75</v>
      </c>
      <c r="G483" s="16" t="n">
        <f aca="false">SUM(C483:F483)</f>
        <v>7.75</v>
      </c>
      <c r="H483" s="28" t="s">
        <v>110</v>
      </c>
      <c r="I483" s="30" t="s">
        <v>108</v>
      </c>
    </row>
    <row r="484" customFormat="false" ht="15" hidden="false" customHeight="false" outlineLevel="0" collapsed="false">
      <c r="A484" s="31" t="s">
        <v>590</v>
      </c>
      <c r="B484" s="32" t="n">
        <v>1</v>
      </c>
      <c r="C484" s="11" t="n">
        <v>0</v>
      </c>
      <c r="D484" s="11" t="n">
        <v>0</v>
      </c>
      <c r="E484" s="11" t="n">
        <v>0</v>
      </c>
      <c r="F484" s="11" t="n">
        <v>7.75</v>
      </c>
      <c r="G484" s="12" t="n">
        <f aca="false">SUM(C484:F484)</f>
        <v>7.75</v>
      </c>
      <c r="H484" s="31" t="s">
        <v>110</v>
      </c>
      <c r="I484" s="33" t="s">
        <v>108</v>
      </c>
    </row>
    <row r="485" customFormat="false" ht="15" hidden="false" customHeight="false" outlineLevel="0" collapsed="false">
      <c r="A485" s="28" t="s">
        <v>591</v>
      </c>
      <c r="B485" s="29" t="n">
        <v>8</v>
      </c>
      <c r="C485" s="15" t="n">
        <v>0</v>
      </c>
      <c r="D485" s="15" t="n">
        <v>0</v>
      </c>
      <c r="E485" s="15" t="n">
        <v>0</v>
      </c>
      <c r="F485" s="15" t="n">
        <v>0</v>
      </c>
      <c r="G485" s="16" t="n">
        <f aca="false">SUM(C485:F485)</f>
        <v>0</v>
      </c>
      <c r="H485" s="28" t="s">
        <v>97</v>
      </c>
      <c r="I485" s="30" t="s">
        <v>115</v>
      </c>
    </row>
    <row r="486" customFormat="false" ht="15" hidden="false" customHeight="false" outlineLevel="0" collapsed="false">
      <c r="A486" s="31" t="s">
        <v>592</v>
      </c>
      <c r="B486" s="32" t="n">
        <v>4</v>
      </c>
      <c r="C486" s="11" t="n">
        <v>0</v>
      </c>
      <c r="D486" s="11" t="n">
        <v>0</v>
      </c>
      <c r="E486" s="11" t="n">
        <v>0</v>
      </c>
      <c r="F486" s="11" t="n">
        <v>-166.37</v>
      </c>
      <c r="G486" s="12" t="n">
        <f aca="false">SUM(C486:F486)</f>
        <v>-166.37</v>
      </c>
      <c r="H486" s="31" t="s">
        <v>593</v>
      </c>
      <c r="I486" s="33" t="s">
        <v>115</v>
      </c>
    </row>
    <row r="487" customFormat="false" ht="15" hidden="false" customHeight="false" outlineLevel="0" collapsed="false">
      <c r="A487" s="28" t="s">
        <v>594</v>
      </c>
      <c r="B487" s="29" t="n">
        <v>75</v>
      </c>
      <c r="C487" s="15" t="n">
        <v>-277.45</v>
      </c>
      <c r="D487" s="15" t="n">
        <v>0</v>
      </c>
      <c r="E487" s="15" t="n">
        <v>0</v>
      </c>
      <c r="F487" s="15" t="n">
        <v>0</v>
      </c>
      <c r="G487" s="16" t="n">
        <f aca="false">SUM(C487:F487)</f>
        <v>-277.45</v>
      </c>
      <c r="H487" s="28" t="s">
        <v>137</v>
      </c>
      <c r="I487" s="30" t="s">
        <v>115</v>
      </c>
    </row>
    <row r="488" customFormat="false" ht="15" hidden="false" customHeight="false" outlineLevel="0" collapsed="false">
      <c r="A488" s="19" t="s">
        <v>595</v>
      </c>
      <c r="B488" s="34" t="n">
        <f aca="false">SUM(B5:B487)</f>
        <v>5452</v>
      </c>
      <c r="C488" s="20" t="n">
        <f aca="false">SUM(C5:C487)</f>
        <v>258397.4</v>
      </c>
      <c r="D488" s="20" t="n">
        <f aca="false">SUM(D5:D487)</f>
        <v>994023.7</v>
      </c>
      <c r="E488" s="20" t="n">
        <f aca="false">SUM(E5:E487)</f>
        <v>694689.05</v>
      </c>
      <c r="F488" s="20" t="n">
        <f aca="false">SUM(F5:F487)</f>
        <v>460656.62</v>
      </c>
      <c r="G488" s="20" t="n">
        <f aca="false">SUM(G5:G487)</f>
        <v>2407766.77</v>
      </c>
      <c r="H488" s="21"/>
      <c r="I488" s="21"/>
    </row>
    <row r="490" customFormat="false" ht="15" hidden="false" customHeight="false" outlineLevel="0" collapsed="false">
      <c r="A490" s="35" t="s">
        <v>596</v>
      </c>
      <c r="B490" s="36" t="n">
        <v>319</v>
      </c>
      <c r="G490" s="37" t="n">
        <v>904116.12</v>
      </c>
    </row>
    <row r="491" customFormat="false" ht="15" hidden="false" customHeight="false" outlineLevel="0" collapsed="false">
      <c r="A491" s="35" t="s">
        <v>597</v>
      </c>
      <c r="B491" s="36" t="n">
        <v>15698</v>
      </c>
      <c r="G491" s="37" t="n">
        <v>8065429.62</v>
      </c>
    </row>
    <row r="492" customFormat="false" ht="15" hidden="false" customHeight="false" outlineLevel="0" collapsed="false">
      <c r="A492" s="38" t="s">
        <v>598</v>
      </c>
      <c r="B492" s="39" t="n">
        <f aca="false">B488+B490+B491</f>
        <v>21469</v>
      </c>
      <c r="G492" s="40" t="n">
        <f aca="false">G488+G490+G491</f>
        <v>11377312.51</v>
      </c>
    </row>
    <row r="493" customFormat="false" ht="15" hidden="false" customHeight="false" outlineLevel="0" collapsed="false">
      <c r="A493" s="35" t="s">
        <v>599</v>
      </c>
      <c r="B493" s="35" t="str">
        <f aca="false">IF(B492=21469,"TRUE","FALSE")</f>
        <v>TRUE</v>
      </c>
      <c r="G493" s="35" t="str">
        <f aca="false">IF(ROUND(G492,2)=11377312.51,"TRUE","FALSE")</f>
        <v>TRUE</v>
      </c>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4" min="2" style="0" width="17"/>
    <col collapsed="false" customWidth="true" hidden="false" outlineLevel="0" max="5" min="5" style="0" width="15"/>
    <col collapsed="false" customWidth="true" hidden="false" outlineLevel="0" max="7" min="6" style="0" width="13"/>
    <col collapsed="false" customWidth="true" hidden="false" outlineLevel="0" max="8" min="8" style="0" width="52"/>
  </cols>
  <sheetData>
    <row r="1" customFormat="false" ht="25.5" hidden="false" customHeight="true" outlineLevel="0" collapsed="false">
      <c r="A1" s="1" t="s">
        <v>600</v>
      </c>
      <c r="B1" s="1"/>
      <c r="C1" s="1"/>
      <c r="D1" s="1"/>
      <c r="E1" s="1"/>
      <c r="F1" s="1"/>
      <c r="G1" s="1"/>
      <c r="H1" s="1"/>
    </row>
    <row r="2" customFormat="false" ht="15.75" hidden="false" customHeight="true" outlineLevel="0" collapsed="false">
      <c r="A2" s="2" t="s">
        <v>601</v>
      </c>
      <c r="B2" s="2"/>
      <c r="C2" s="2"/>
      <c r="D2" s="2"/>
      <c r="E2" s="2"/>
      <c r="F2" s="2"/>
      <c r="G2" s="2"/>
      <c r="H2" s="2"/>
    </row>
    <row r="4" customFormat="false" ht="30" hidden="false" customHeight="true" outlineLevel="0" collapsed="false">
      <c r="A4" s="8" t="s">
        <v>602</v>
      </c>
      <c r="B4" s="8" t="s">
        <v>603</v>
      </c>
      <c r="C4" s="8" t="s">
        <v>604</v>
      </c>
      <c r="D4" s="8" t="s">
        <v>605</v>
      </c>
      <c r="E4" s="8" t="s">
        <v>606</v>
      </c>
      <c r="F4" s="8" t="s">
        <v>607</v>
      </c>
      <c r="G4" s="8" t="s">
        <v>608</v>
      </c>
      <c r="H4" s="8" t="s">
        <v>609</v>
      </c>
    </row>
    <row r="5" customFormat="false" ht="15" hidden="false" customHeight="false" outlineLevel="0" collapsed="false">
      <c r="A5" s="41" t="s">
        <v>610</v>
      </c>
      <c r="B5" s="15" t="n">
        <v>90513.94</v>
      </c>
      <c r="C5" s="15" t="n">
        <v>25408.16</v>
      </c>
      <c r="D5" s="15" t="n">
        <v>117180.3</v>
      </c>
      <c r="E5" s="17" t="n">
        <f aca="false">IFERROR(B5/D5,"")</f>
        <v>0.772433079621745</v>
      </c>
      <c r="F5" s="15" t="n">
        <v>90513.94</v>
      </c>
      <c r="G5" s="15" t="n">
        <f aca="false">ROUND(F5-B5,2)</f>
        <v>0</v>
      </c>
      <c r="H5" s="30" t="s">
        <v>611</v>
      </c>
    </row>
    <row r="6" customFormat="false" ht="15" hidden="false" customHeight="false" outlineLevel="0" collapsed="false">
      <c r="A6" s="42" t="s">
        <v>612</v>
      </c>
      <c r="B6" s="11" t="n">
        <v>90498.18</v>
      </c>
      <c r="C6" s="11" t="n">
        <v>25408.16</v>
      </c>
      <c r="D6" s="11" t="n">
        <v>117164.54</v>
      </c>
      <c r="E6" s="18" t="n">
        <f aca="false">IFERROR(B6/D6,"")</f>
        <v>0.772402469211248</v>
      </c>
      <c r="F6" s="11" t="n">
        <v>90498.18</v>
      </c>
      <c r="G6" s="11" t="n">
        <f aca="false">ROUND(F6-B6,2)</f>
        <v>0</v>
      </c>
      <c r="H6" s="33" t="s">
        <v>613</v>
      </c>
    </row>
    <row r="7" customFormat="false" ht="15" hidden="false" customHeight="false" outlineLevel="0" collapsed="false">
      <c r="A7" s="41" t="s">
        <v>614</v>
      </c>
      <c r="B7" s="15" t="n">
        <v>113227.4</v>
      </c>
      <c r="C7" s="15" t="n">
        <v>31760.2</v>
      </c>
      <c r="D7" s="15" t="n">
        <v>146560.35</v>
      </c>
      <c r="E7" s="17" t="n">
        <f aca="false">IFERROR(B7/D7,"")</f>
        <v>0.772565021849361</v>
      </c>
      <c r="F7" s="15" t="n">
        <v>113227.4</v>
      </c>
      <c r="G7" s="15" t="n">
        <f aca="false">ROUND(F7-B7,2)</f>
        <v>0</v>
      </c>
      <c r="H7" s="30" t="s">
        <v>615</v>
      </c>
    </row>
    <row r="8" customFormat="false" ht="15" hidden="false" customHeight="false" outlineLevel="0" collapsed="false">
      <c r="A8" s="42" t="s">
        <v>616</v>
      </c>
      <c r="B8" s="11" t="n">
        <v>81685.14</v>
      </c>
      <c r="C8" s="11" t="n">
        <v>26366.28</v>
      </c>
      <c r="D8" s="11" t="n">
        <v>109309.62</v>
      </c>
      <c r="E8" s="18" t="n">
        <f aca="false">IFERROR(B8/D8,"")</f>
        <v>0.747282261158716</v>
      </c>
      <c r="F8" s="11" t="n">
        <v>81685.14</v>
      </c>
      <c r="G8" s="11" t="n">
        <f aca="false">ROUND(F8-B8,2)</f>
        <v>0</v>
      </c>
      <c r="H8" s="33" t="s">
        <v>617</v>
      </c>
    </row>
    <row r="9" customFormat="false" ht="15" hidden="false" customHeight="false" outlineLevel="0" collapsed="false">
      <c r="A9" s="41" t="s">
        <v>618</v>
      </c>
      <c r="B9" s="15" t="n">
        <v>81978.72</v>
      </c>
      <c r="C9" s="15" t="n">
        <v>24968.28</v>
      </c>
      <c r="D9" s="15" t="n">
        <v>108205.2</v>
      </c>
      <c r="E9" s="17" t="n">
        <f aca="false">IFERROR(B9/D9,"")</f>
        <v>0.757622739018088</v>
      </c>
      <c r="F9" s="15" t="n">
        <v>81978.72</v>
      </c>
      <c r="G9" s="15" t="n">
        <f aca="false">ROUND(F9-B9,2)</f>
        <v>0</v>
      </c>
      <c r="H9" s="30" t="s">
        <v>619</v>
      </c>
    </row>
    <row r="10" customFormat="false" ht="15" hidden="false" customHeight="false" outlineLevel="0" collapsed="false">
      <c r="A10" s="42" t="s">
        <v>620</v>
      </c>
      <c r="B10" s="11" t="n">
        <v>102473.4</v>
      </c>
      <c r="C10" s="11" t="n">
        <v>31210.35</v>
      </c>
      <c r="D10" s="11" t="n">
        <v>135256.5</v>
      </c>
      <c r="E10" s="18" t="n">
        <f aca="false">IFERROR(B10/D10,"")</f>
        <v>0.757622739018088</v>
      </c>
      <c r="F10" s="11" t="n">
        <v>102473.4</v>
      </c>
      <c r="G10" s="11" t="n">
        <f aca="false">ROUND(F10-B10,2)</f>
        <v>0</v>
      </c>
      <c r="H10" s="33" t="s">
        <v>621</v>
      </c>
    </row>
    <row r="11" customFormat="false" ht="15" hidden="false" customHeight="false" outlineLevel="0" collapsed="false">
      <c r="A11" s="41" t="s">
        <v>622</v>
      </c>
      <c r="B11" s="15" t="n">
        <v>82013.67</v>
      </c>
      <c r="C11" s="15" t="n">
        <v>24968.28</v>
      </c>
      <c r="D11" s="15" t="n">
        <v>108240.15</v>
      </c>
      <c r="E11" s="17" t="n">
        <f aca="false">IFERROR(B11/D11,"")</f>
        <v>0.757701000968679</v>
      </c>
      <c r="F11" s="15" t="n">
        <v>82013.67</v>
      </c>
      <c r="G11" s="15" t="n">
        <f aca="false">ROUND(F11-B11,2)</f>
        <v>0</v>
      </c>
      <c r="H11" s="30" t="s">
        <v>623</v>
      </c>
    </row>
    <row r="12" customFormat="false" ht="15" hidden="false" customHeight="false" outlineLevel="0" collapsed="false">
      <c r="A12" s="42" t="s">
        <v>624</v>
      </c>
      <c r="B12" s="11" t="n">
        <v>82118.52</v>
      </c>
      <c r="C12" s="11" t="n">
        <v>24968.28</v>
      </c>
      <c r="D12" s="11" t="n">
        <v>108289.08</v>
      </c>
      <c r="E12" s="18" t="n">
        <f aca="false">IFERROR(B12/D12,"")</f>
        <v>0.758326878388846</v>
      </c>
      <c r="F12" s="11" t="n">
        <v>82118.52</v>
      </c>
      <c r="G12" s="11" t="n">
        <f aca="false">ROUND(F12-B12,2)</f>
        <v>0</v>
      </c>
      <c r="H12" s="33" t="s">
        <v>625</v>
      </c>
    </row>
    <row r="13" customFormat="false" ht="15" hidden="false" customHeight="false" outlineLevel="0" collapsed="false">
      <c r="A13" s="41" t="s">
        <v>626</v>
      </c>
      <c r="B13" s="15" t="n">
        <v>113739.99</v>
      </c>
      <c r="C13" s="15" t="n">
        <v>31739.23</v>
      </c>
      <c r="D13" s="15" t="n">
        <v>146702.47</v>
      </c>
      <c r="E13" s="17" t="n">
        <f aca="false">IFERROR(B13/D13,"")</f>
        <v>0.775310667911726</v>
      </c>
      <c r="F13" s="15" t="n">
        <v>113739.99</v>
      </c>
      <c r="G13" s="15" t="n">
        <f aca="false">ROUND(F13-B13,2)</f>
        <v>0</v>
      </c>
      <c r="H13" s="30" t="s">
        <v>627</v>
      </c>
    </row>
    <row r="14" customFormat="false" ht="15" hidden="false" customHeight="false" outlineLevel="0" collapsed="false">
      <c r="A14" s="42" t="s">
        <v>628</v>
      </c>
      <c r="B14" s="11" t="n">
        <v>90944.59</v>
      </c>
      <c r="C14" s="11" t="n">
        <v>25156.52</v>
      </c>
      <c r="D14" s="11" t="n">
        <v>116995.83</v>
      </c>
      <c r="E14" s="18" t="n">
        <f aca="false">IFERROR(B14/D14,"")</f>
        <v>0.777331892940116</v>
      </c>
      <c r="F14" s="11" t="n">
        <v>90944.59</v>
      </c>
      <c r="G14" s="11" t="n">
        <f aca="false">ROUND(F14-B14,2)</f>
        <v>0</v>
      </c>
      <c r="H14" s="33" t="s">
        <v>629</v>
      </c>
    </row>
    <row r="15" customFormat="false" ht="15" hidden="false" customHeight="false" outlineLevel="0" collapsed="false">
      <c r="A15" s="41" t="s">
        <v>630</v>
      </c>
      <c r="B15" s="15" t="n">
        <v>91140.39</v>
      </c>
      <c r="C15" s="15" t="n">
        <v>25156.52</v>
      </c>
      <c r="D15" s="15" t="n">
        <v>117191.63</v>
      </c>
      <c r="E15" s="17" t="n">
        <f aca="false">IFERROR(B15/D15,"")</f>
        <v>0.777703919639995</v>
      </c>
      <c r="F15" s="15" t="n">
        <v>91140.39</v>
      </c>
      <c r="G15" s="15" t="n">
        <f aca="false">ROUND(F15-B15,2)</f>
        <v>0</v>
      </c>
      <c r="H15" s="30" t="s">
        <v>631</v>
      </c>
    </row>
    <row r="16" customFormat="false" ht="15" hidden="false" customHeight="false" outlineLevel="0" collapsed="false">
      <c r="A16" s="42" t="s">
        <v>632</v>
      </c>
      <c r="B16" s="11" t="n">
        <v>102794.94</v>
      </c>
      <c r="C16" s="11" t="n">
        <v>30909.78</v>
      </c>
      <c r="D16" s="11" t="n">
        <v>134823.12</v>
      </c>
      <c r="E16" s="18" t="n">
        <f aca="false">IFERROR(B16/D16,"")</f>
        <v>0.762442969722107</v>
      </c>
      <c r="F16" s="11" t="n">
        <v>102794.94</v>
      </c>
      <c r="G16" s="11" t="n">
        <f aca="false">ROUND(F16-B16,2)</f>
        <v>0</v>
      </c>
      <c r="H16" s="33" t="s">
        <v>633</v>
      </c>
    </row>
    <row r="17" customFormat="false" ht="15" hidden="false" customHeight="false" outlineLevel="0" collapsed="false">
      <c r="A17" s="19" t="s">
        <v>21</v>
      </c>
      <c r="B17" s="20" t="n">
        <f aca="false">SUM(B5:B16)</f>
        <v>1123128.88</v>
      </c>
      <c r="C17" s="20" t="n">
        <f aca="false">SUM(C5:C16)</f>
        <v>328020.04</v>
      </c>
      <c r="D17" s="20" t="n">
        <f aca="false">SUM(D5:D16)</f>
        <v>1465918.79</v>
      </c>
      <c r="E17" s="43" t="n">
        <f aca="false">IFERROR(B17/D17,"")</f>
        <v>0.766160368269787</v>
      </c>
      <c r="F17" s="20" t="n">
        <f aca="false">SUM(F5:F16)</f>
        <v>1123128.88</v>
      </c>
      <c r="G17" s="20" t="n">
        <f aca="false">SUM(G5:G16)</f>
        <v>0</v>
      </c>
      <c r="H17" s="21"/>
    </row>
    <row r="19" customFormat="false" ht="15" hidden="false" customHeight="false" outlineLevel="0" collapsed="false">
      <c r="A19" s="35" t="s">
        <v>634</v>
      </c>
      <c r="G19" s="44" t="n">
        <f aca="false">G17</f>
        <v>0</v>
      </c>
      <c r="H19" s="35" t="str">
        <f aca="false">IF(ROUND(G17,2)=0,"TRUE","FALSE")</f>
        <v>TRUE</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3" min="3" style="0" width="9"/>
    <col collapsed="false" customWidth="true" hidden="false" outlineLevel="0" max="4" min="4" style="0" width="16"/>
    <col collapsed="false" customWidth="true" hidden="false" outlineLevel="0" max="6" min="5" style="0" width="13"/>
    <col collapsed="false" customWidth="true" hidden="false" outlineLevel="0" max="7" min="7" style="0" width="12"/>
    <col collapsed="false" customWidth="true" hidden="false" outlineLevel="0" max="8" min="8" style="0" width="15"/>
    <col collapsed="false" customWidth="true" hidden="false" outlineLevel="0" max="9" min="9" style="0" width="58"/>
    <col collapsed="false" customWidth="true" hidden="false" outlineLevel="0" max="10" min="10" style="0" width="13"/>
    <col collapsed="false" customWidth="true" hidden="false" outlineLevel="0" max="11" min="11" style="0" width="20"/>
  </cols>
  <sheetData>
    <row r="1" customFormat="false" ht="25.5" hidden="false" customHeight="true" outlineLevel="0" collapsed="false">
      <c r="A1" s="1" t="s">
        <v>635</v>
      </c>
      <c r="B1" s="1"/>
      <c r="C1" s="1"/>
      <c r="D1" s="1"/>
      <c r="E1" s="1"/>
      <c r="F1" s="1"/>
      <c r="G1" s="1"/>
      <c r="H1" s="1"/>
      <c r="I1" s="1"/>
      <c r="J1" s="1"/>
      <c r="K1" s="1"/>
    </row>
    <row r="2" customFormat="false" ht="15.75" hidden="false" customHeight="true" outlineLevel="0" collapsed="false">
      <c r="A2" s="2" t="s">
        <v>636</v>
      </c>
      <c r="B2" s="2"/>
      <c r="C2" s="2"/>
      <c r="D2" s="2"/>
      <c r="E2" s="2"/>
      <c r="F2" s="2"/>
      <c r="G2" s="2"/>
      <c r="H2" s="2"/>
      <c r="I2" s="2"/>
      <c r="J2" s="2"/>
      <c r="K2" s="2"/>
    </row>
    <row r="4" customFormat="false" ht="30" hidden="false" customHeight="true" outlineLevel="0" collapsed="false">
      <c r="A4" s="8" t="s">
        <v>637</v>
      </c>
      <c r="B4" s="8" t="s">
        <v>638</v>
      </c>
      <c r="C4" s="8" t="s">
        <v>639</v>
      </c>
      <c r="D4" s="8" t="s">
        <v>640</v>
      </c>
      <c r="E4" s="8" t="s">
        <v>641</v>
      </c>
      <c r="F4" s="8" t="s">
        <v>642</v>
      </c>
      <c r="G4" s="8" t="s">
        <v>643</v>
      </c>
      <c r="H4" s="8" t="s">
        <v>644</v>
      </c>
      <c r="I4" s="8" t="s">
        <v>645</v>
      </c>
      <c r="J4" s="8" t="s">
        <v>646</v>
      </c>
      <c r="K4" s="8" t="s">
        <v>647</v>
      </c>
    </row>
    <row r="5" customFormat="false" ht="15" hidden="false" customHeight="false" outlineLevel="0" collapsed="false">
      <c r="A5" s="41" t="n">
        <v>4014</v>
      </c>
      <c r="B5" s="41" t="s">
        <v>17</v>
      </c>
      <c r="C5" s="41" t="s">
        <v>648</v>
      </c>
      <c r="D5" s="41" t="s">
        <v>649</v>
      </c>
      <c r="E5" s="41" t="s">
        <v>650</v>
      </c>
      <c r="F5" s="41" t="s">
        <v>651</v>
      </c>
      <c r="G5" s="41" t="s">
        <v>97</v>
      </c>
      <c r="H5" s="15" t="n">
        <v>69749.33</v>
      </c>
      <c r="I5" s="30" t="s">
        <v>652</v>
      </c>
      <c r="J5" s="41" t="s">
        <v>653</v>
      </c>
      <c r="K5" s="41" t="s">
        <v>12</v>
      </c>
    </row>
    <row r="6" customFormat="false" ht="15" hidden="false" customHeight="false" outlineLevel="0" collapsed="false">
      <c r="A6" s="42" t="n">
        <v>4015</v>
      </c>
      <c r="B6" s="42" t="s">
        <v>17</v>
      </c>
      <c r="C6" s="42" t="s">
        <v>648</v>
      </c>
      <c r="D6" s="42" t="s">
        <v>649</v>
      </c>
      <c r="E6" s="42" t="s">
        <v>650</v>
      </c>
      <c r="F6" s="42" t="s">
        <v>654</v>
      </c>
      <c r="G6" s="42" t="s">
        <v>97</v>
      </c>
      <c r="H6" s="11" t="n">
        <v>69881.06</v>
      </c>
      <c r="I6" s="33" t="s">
        <v>655</v>
      </c>
      <c r="J6" s="42" t="s">
        <v>653</v>
      </c>
      <c r="K6" s="42" t="s">
        <v>12</v>
      </c>
    </row>
    <row r="7" customFormat="false" ht="15" hidden="false" customHeight="false" outlineLevel="0" collapsed="false">
      <c r="A7" s="41" t="n">
        <v>3744</v>
      </c>
      <c r="B7" s="41" t="s">
        <v>17</v>
      </c>
      <c r="C7" s="41" t="s">
        <v>648</v>
      </c>
      <c r="D7" s="41" t="s">
        <v>649</v>
      </c>
      <c r="E7" s="41" t="s">
        <v>656</v>
      </c>
      <c r="F7" s="41" t="s">
        <v>657</v>
      </c>
      <c r="G7" s="41" t="s">
        <v>97</v>
      </c>
      <c r="H7" s="15" t="n">
        <v>87962.49</v>
      </c>
      <c r="I7" s="30" t="s">
        <v>658</v>
      </c>
      <c r="J7" s="41" t="s">
        <v>653</v>
      </c>
      <c r="K7" s="41" t="s">
        <v>12</v>
      </c>
    </row>
    <row r="8" customFormat="false" ht="15" hidden="false" customHeight="false" outlineLevel="0" collapsed="false">
      <c r="A8" s="42" t="n">
        <v>3452</v>
      </c>
      <c r="B8" s="42" t="s">
        <v>17</v>
      </c>
      <c r="C8" s="42" t="s">
        <v>648</v>
      </c>
      <c r="D8" s="42" t="s">
        <v>649</v>
      </c>
      <c r="E8" s="42" t="s">
        <v>659</v>
      </c>
      <c r="F8" s="42" t="s">
        <v>660</v>
      </c>
      <c r="G8" s="42" t="s">
        <v>97</v>
      </c>
      <c r="H8" s="11" t="n">
        <v>70561.15</v>
      </c>
      <c r="I8" s="33" t="s">
        <v>661</v>
      </c>
      <c r="J8" s="42" t="s">
        <v>653</v>
      </c>
      <c r="K8" s="42" t="s">
        <v>12</v>
      </c>
    </row>
    <row r="9" customFormat="false" ht="15" hidden="false" customHeight="false" outlineLevel="0" collapsed="false">
      <c r="A9" s="41" t="n">
        <v>2331</v>
      </c>
      <c r="B9" s="41" t="s">
        <v>17</v>
      </c>
      <c r="C9" s="41" t="s">
        <v>648</v>
      </c>
      <c r="D9" s="41" t="s">
        <v>649</v>
      </c>
      <c r="E9" s="41" t="s">
        <v>662</v>
      </c>
      <c r="F9" s="41" t="s">
        <v>663</v>
      </c>
      <c r="G9" s="41" t="s">
        <v>97</v>
      </c>
      <c r="H9" s="15" t="n">
        <v>88933.62</v>
      </c>
      <c r="I9" s="30" t="s">
        <v>664</v>
      </c>
      <c r="J9" s="41" t="s">
        <v>653</v>
      </c>
      <c r="K9" s="41" t="s">
        <v>12</v>
      </c>
    </row>
    <row r="10" customFormat="false" ht="15" hidden="false" customHeight="false" outlineLevel="0" collapsed="false">
      <c r="A10" s="42" t="n">
        <v>2313</v>
      </c>
      <c r="B10" s="42" t="s">
        <v>17</v>
      </c>
      <c r="C10" s="42" t="s">
        <v>648</v>
      </c>
      <c r="D10" s="42" t="s">
        <v>649</v>
      </c>
      <c r="E10" s="42" t="s">
        <v>665</v>
      </c>
      <c r="F10" s="42" t="s">
        <v>666</v>
      </c>
      <c r="G10" s="42" t="s">
        <v>97</v>
      </c>
      <c r="H10" s="11" t="n">
        <v>70726.58</v>
      </c>
      <c r="I10" s="33" t="s">
        <v>667</v>
      </c>
      <c r="J10" s="42" t="s">
        <v>653</v>
      </c>
      <c r="K10" s="42" t="s">
        <v>12</v>
      </c>
    </row>
    <row r="11" customFormat="false" ht="15" hidden="false" customHeight="false" outlineLevel="0" collapsed="false">
      <c r="A11" s="41" t="n">
        <v>1618</v>
      </c>
      <c r="B11" s="41" t="s">
        <v>17</v>
      </c>
      <c r="C11" s="41" t="s">
        <v>648</v>
      </c>
      <c r="D11" s="41" t="s">
        <v>649</v>
      </c>
      <c r="E11" s="41" t="s">
        <v>668</v>
      </c>
      <c r="F11" s="41" t="s">
        <v>669</v>
      </c>
      <c r="G11" s="41" t="s">
        <v>97</v>
      </c>
      <c r="H11" s="15" t="n">
        <v>71483.27</v>
      </c>
      <c r="I11" s="30" t="s">
        <v>670</v>
      </c>
      <c r="J11" s="41" t="s">
        <v>653</v>
      </c>
      <c r="K11" s="41" t="s">
        <v>12</v>
      </c>
    </row>
    <row r="12" customFormat="false" ht="15" hidden="false" customHeight="false" outlineLevel="0" collapsed="false">
      <c r="A12" s="42" t="n">
        <v>753</v>
      </c>
      <c r="B12" s="42" t="s">
        <v>17</v>
      </c>
      <c r="C12" s="42" t="s">
        <v>648</v>
      </c>
      <c r="D12" s="42" t="s">
        <v>649</v>
      </c>
      <c r="E12" s="42" t="s">
        <v>671</v>
      </c>
      <c r="F12" s="42" t="s">
        <v>672</v>
      </c>
      <c r="G12" s="42" t="s">
        <v>97</v>
      </c>
      <c r="H12" s="11" t="n">
        <v>71492.46</v>
      </c>
      <c r="I12" s="33" t="s">
        <v>673</v>
      </c>
      <c r="J12" s="42" t="s">
        <v>653</v>
      </c>
      <c r="K12" s="42" t="s">
        <v>12</v>
      </c>
    </row>
    <row r="13" customFormat="false" ht="15" hidden="false" customHeight="false" outlineLevel="0" collapsed="false">
      <c r="A13" s="41" t="n">
        <v>695</v>
      </c>
      <c r="B13" s="41" t="s">
        <v>17</v>
      </c>
      <c r="C13" s="41" t="s">
        <v>648</v>
      </c>
      <c r="D13" s="41" t="s">
        <v>649</v>
      </c>
      <c r="E13" s="41" t="s">
        <v>674</v>
      </c>
      <c r="F13" s="41" t="s">
        <v>675</v>
      </c>
      <c r="G13" s="41" t="s">
        <v>97</v>
      </c>
      <c r="H13" s="15" t="n">
        <v>89508.19</v>
      </c>
      <c r="I13" s="30" t="s">
        <v>676</v>
      </c>
      <c r="J13" s="41" t="s">
        <v>653</v>
      </c>
      <c r="K13" s="41" t="s">
        <v>12</v>
      </c>
    </row>
    <row r="14" customFormat="false" ht="15" hidden="false" customHeight="false" outlineLevel="0" collapsed="false">
      <c r="A14" s="42" t="n">
        <v>202</v>
      </c>
      <c r="B14" s="42" t="s">
        <v>17</v>
      </c>
      <c r="C14" s="42" t="s">
        <v>648</v>
      </c>
      <c r="D14" s="42" t="s">
        <v>649</v>
      </c>
      <c r="E14" s="42" t="s">
        <v>677</v>
      </c>
      <c r="F14" s="42" t="s">
        <v>678</v>
      </c>
      <c r="G14" s="42" t="s">
        <v>97</v>
      </c>
      <c r="H14" s="11" t="n">
        <v>71678.52</v>
      </c>
      <c r="I14" s="33" t="s">
        <v>679</v>
      </c>
      <c r="J14" s="42" t="s">
        <v>653</v>
      </c>
      <c r="K14" s="42" t="s">
        <v>12</v>
      </c>
    </row>
    <row r="15" customFormat="false" ht="15" hidden="false" customHeight="false" outlineLevel="0" collapsed="false">
      <c r="A15" s="41" t="n">
        <v>203</v>
      </c>
      <c r="B15" s="41" t="s">
        <v>17</v>
      </c>
      <c r="C15" s="41" t="s">
        <v>648</v>
      </c>
      <c r="D15" s="41" t="s">
        <v>649</v>
      </c>
      <c r="E15" s="41" t="s">
        <v>677</v>
      </c>
      <c r="F15" s="41" t="s">
        <v>680</v>
      </c>
      <c r="G15" s="41" t="s">
        <v>97</v>
      </c>
      <c r="H15" s="15" t="n">
        <v>71641.76</v>
      </c>
      <c r="I15" s="30" t="s">
        <v>681</v>
      </c>
      <c r="J15" s="41" t="s">
        <v>653</v>
      </c>
      <c r="K15" s="41" t="s">
        <v>12</v>
      </c>
    </row>
    <row r="16" customFormat="false" ht="15" hidden="false" customHeight="false" outlineLevel="0" collapsed="false">
      <c r="A16" s="42" t="n">
        <v>199</v>
      </c>
      <c r="B16" s="42" t="s">
        <v>17</v>
      </c>
      <c r="C16" s="42" t="s">
        <v>648</v>
      </c>
      <c r="D16" s="42" t="s">
        <v>649</v>
      </c>
      <c r="E16" s="42" t="s">
        <v>682</v>
      </c>
      <c r="F16" s="42" t="s">
        <v>683</v>
      </c>
      <c r="G16" s="42" t="s">
        <v>97</v>
      </c>
      <c r="H16" s="11" t="n">
        <v>89600.41</v>
      </c>
      <c r="I16" s="33" t="s">
        <v>684</v>
      </c>
      <c r="J16" s="42" t="s">
        <v>653</v>
      </c>
      <c r="K16" s="42" t="s">
        <v>12</v>
      </c>
    </row>
    <row r="17" customFormat="false" ht="15" hidden="false" customHeight="false" outlineLevel="0" collapsed="false">
      <c r="A17" s="41" t="n">
        <v>11997</v>
      </c>
      <c r="B17" s="41" t="s">
        <v>18</v>
      </c>
      <c r="C17" s="41" t="s">
        <v>648</v>
      </c>
      <c r="D17" s="41" t="s">
        <v>649</v>
      </c>
      <c r="E17" s="41" t="s">
        <v>685</v>
      </c>
      <c r="F17" s="41" t="s">
        <v>686</v>
      </c>
      <c r="G17" s="41" t="s">
        <v>97</v>
      </c>
      <c r="H17" s="15" t="n">
        <v>75593.95</v>
      </c>
      <c r="I17" s="30" t="s">
        <v>687</v>
      </c>
      <c r="J17" s="41" t="s">
        <v>653</v>
      </c>
      <c r="K17" s="41" t="s">
        <v>12</v>
      </c>
    </row>
    <row r="18" customFormat="false" ht="15" hidden="false" customHeight="false" outlineLevel="0" collapsed="false">
      <c r="A18" s="42" t="n">
        <v>10784</v>
      </c>
      <c r="B18" s="42" t="s">
        <v>18</v>
      </c>
      <c r="C18" s="42" t="s">
        <v>648</v>
      </c>
      <c r="D18" s="42" t="s">
        <v>649</v>
      </c>
      <c r="E18" s="42" t="s">
        <v>688</v>
      </c>
      <c r="F18" s="42" t="s">
        <v>689</v>
      </c>
      <c r="G18" s="42" t="s">
        <v>97</v>
      </c>
      <c r="H18" s="11" t="n">
        <v>75639.06</v>
      </c>
      <c r="I18" s="33" t="s">
        <v>690</v>
      </c>
      <c r="J18" s="42" t="s">
        <v>653</v>
      </c>
      <c r="K18" s="42" t="s">
        <v>12</v>
      </c>
    </row>
    <row r="19" customFormat="false" ht="15" hidden="false" customHeight="false" outlineLevel="0" collapsed="false">
      <c r="A19" s="41" t="n">
        <v>9914</v>
      </c>
      <c r="B19" s="41" t="s">
        <v>18</v>
      </c>
      <c r="C19" s="41" t="s">
        <v>648</v>
      </c>
      <c r="D19" s="41" t="s">
        <v>649</v>
      </c>
      <c r="E19" s="41" t="s">
        <v>691</v>
      </c>
      <c r="F19" s="41" t="s">
        <v>692</v>
      </c>
      <c r="G19" s="41" t="s">
        <v>97</v>
      </c>
      <c r="H19" s="15" t="n">
        <v>95512.57</v>
      </c>
      <c r="I19" s="30" t="s">
        <v>693</v>
      </c>
      <c r="J19" s="41" t="s">
        <v>653</v>
      </c>
      <c r="K19" s="41" t="s">
        <v>12</v>
      </c>
    </row>
    <row r="20" customFormat="false" ht="15" hidden="false" customHeight="false" outlineLevel="0" collapsed="false">
      <c r="A20" s="42" t="n">
        <v>9442</v>
      </c>
      <c r="B20" s="42" t="s">
        <v>18</v>
      </c>
      <c r="C20" s="42" t="s">
        <v>648</v>
      </c>
      <c r="D20" s="42" t="s">
        <v>649</v>
      </c>
      <c r="E20" s="42" t="s">
        <v>694</v>
      </c>
      <c r="F20" s="42" t="s">
        <v>695</v>
      </c>
      <c r="G20" s="42" t="s">
        <v>97</v>
      </c>
      <c r="H20" s="11" t="n">
        <v>76540.82</v>
      </c>
      <c r="I20" s="33" t="s">
        <v>696</v>
      </c>
      <c r="J20" s="42" t="s">
        <v>653</v>
      </c>
      <c r="K20" s="42" t="s">
        <v>12</v>
      </c>
    </row>
    <row r="21" customFormat="false" ht="15" hidden="false" customHeight="false" outlineLevel="0" collapsed="false">
      <c r="A21" s="41" t="n">
        <v>8774</v>
      </c>
      <c r="B21" s="41" t="s">
        <v>18</v>
      </c>
      <c r="C21" s="41" t="s">
        <v>648</v>
      </c>
      <c r="D21" s="41" t="s">
        <v>649</v>
      </c>
      <c r="E21" s="41" t="s">
        <v>697</v>
      </c>
      <c r="F21" s="41" t="s">
        <v>698</v>
      </c>
      <c r="G21" s="41" t="s">
        <v>97</v>
      </c>
      <c r="H21" s="15" t="n">
        <v>76781.38</v>
      </c>
      <c r="I21" s="30" t="s">
        <v>699</v>
      </c>
      <c r="J21" s="41" t="s">
        <v>653</v>
      </c>
      <c r="K21" s="41" t="s">
        <v>12</v>
      </c>
    </row>
    <row r="22" customFormat="false" ht="15" hidden="false" customHeight="false" outlineLevel="0" collapsed="false">
      <c r="A22" s="42" t="n">
        <v>8217</v>
      </c>
      <c r="B22" s="42" t="s">
        <v>18</v>
      </c>
      <c r="C22" s="42" t="s">
        <v>648</v>
      </c>
      <c r="D22" s="42" t="s">
        <v>649</v>
      </c>
      <c r="E22" s="42" t="s">
        <v>700</v>
      </c>
      <c r="F22" s="42" t="s">
        <v>701</v>
      </c>
      <c r="G22" s="42" t="s">
        <v>97</v>
      </c>
      <c r="H22" s="11" t="n">
        <v>96186.15</v>
      </c>
      <c r="I22" s="33" t="s">
        <v>702</v>
      </c>
      <c r="J22" s="42" t="s">
        <v>653</v>
      </c>
      <c r="K22" s="42" t="s">
        <v>12</v>
      </c>
    </row>
    <row r="23" customFormat="false" ht="15" hidden="false" customHeight="false" outlineLevel="0" collapsed="false">
      <c r="A23" s="41" t="n">
        <v>7626</v>
      </c>
      <c r="B23" s="41" t="s">
        <v>18</v>
      </c>
      <c r="C23" s="41" t="s">
        <v>648</v>
      </c>
      <c r="D23" s="41" t="s">
        <v>649</v>
      </c>
      <c r="E23" s="41" t="s">
        <v>703</v>
      </c>
      <c r="F23" s="41" t="s">
        <v>704</v>
      </c>
      <c r="G23" s="41" t="s">
        <v>97</v>
      </c>
      <c r="H23" s="15" t="n">
        <v>77251.79</v>
      </c>
      <c r="I23" s="30" t="s">
        <v>705</v>
      </c>
      <c r="J23" s="41" t="s">
        <v>653</v>
      </c>
      <c r="K23" s="41" t="s">
        <v>12</v>
      </c>
    </row>
    <row r="24" customFormat="false" ht="15" hidden="false" customHeight="false" outlineLevel="0" collapsed="false">
      <c r="A24" s="42" t="n">
        <v>6205</v>
      </c>
      <c r="B24" s="42" t="s">
        <v>18</v>
      </c>
      <c r="C24" s="42" t="s">
        <v>648</v>
      </c>
      <c r="D24" s="42" t="s">
        <v>649</v>
      </c>
      <c r="E24" s="42" t="s">
        <v>706</v>
      </c>
      <c r="F24" s="42" t="s">
        <v>707</v>
      </c>
      <c r="G24" s="42" t="s">
        <v>97</v>
      </c>
      <c r="H24" s="11" t="n">
        <v>96813.94</v>
      </c>
      <c r="I24" s="33" t="s">
        <v>708</v>
      </c>
      <c r="J24" s="42" t="s">
        <v>653</v>
      </c>
      <c r="K24" s="42" t="s">
        <v>12</v>
      </c>
    </row>
    <row r="25" customFormat="false" ht="15" hidden="false" customHeight="false" outlineLevel="0" collapsed="false">
      <c r="A25" s="41" t="n">
        <v>6206</v>
      </c>
      <c r="B25" s="41" t="s">
        <v>18</v>
      </c>
      <c r="C25" s="41" t="s">
        <v>648</v>
      </c>
      <c r="D25" s="41" t="s">
        <v>649</v>
      </c>
      <c r="E25" s="41" t="s">
        <v>706</v>
      </c>
      <c r="F25" s="41" t="s">
        <v>709</v>
      </c>
      <c r="G25" s="41" t="s">
        <v>97</v>
      </c>
      <c r="H25" s="15" t="n">
        <v>77314.19</v>
      </c>
      <c r="I25" s="30" t="s">
        <v>710</v>
      </c>
      <c r="J25" s="41" t="s">
        <v>653</v>
      </c>
      <c r="K25" s="41" t="s">
        <v>12</v>
      </c>
    </row>
    <row r="26" customFormat="false" ht="15" hidden="false" customHeight="false" outlineLevel="0" collapsed="false">
      <c r="A26" s="42" t="n">
        <v>6094</v>
      </c>
      <c r="B26" s="42" t="s">
        <v>18</v>
      </c>
      <c r="C26" s="42" t="s">
        <v>648</v>
      </c>
      <c r="D26" s="42" t="s">
        <v>649</v>
      </c>
      <c r="E26" s="42" t="s">
        <v>711</v>
      </c>
      <c r="F26" s="42" t="s">
        <v>712</v>
      </c>
      <c r="G26" s="42" t="s">
        <v>97</v>
      </c>
      <c r="H26" s="11" t="n">
        <v>77572.3</v>
      </c>
      <c r="I26" s="33" t="s">
        <v>713</v>
      </c>
      <c r="J26" s="42" t="s">
        <v>653</v>
      </c>
      <c r="K26" s="42" t="s">
        <v>12</v>
      </c>
    </row>
    <row r="27" customFormat="false" ht="15" hidden="false" customHeight="false" outlineLevel="0" collapsed="false">
      <c r="A27" s="41" t="n">
        <v>6095</v>
      </c>
      <c r="B27" s="41" t="s">
        <v>18</v>
      </c>
      <c r="C27" s="41" t="s">
        <v>648</v>
      </c>
      <c r="D27" s="41" t="s">
        <v>649</v>
      </c>
      <c r="E27" s="41" t="s">
        <v>711</v>
      </c>
      <c r="F27" s="41" t="s">
        <v>714</v>
      </c>
      <c r="G27" s="41" t="s">
        <v>97</v>
      </c>
      <c r="H27" s="15" t="n">
        <v>77610.96</v>
      </c>
      <c r="I27" s="30" t="s">
        <v>715</v>
      </c>
      <c r="J27" s="41" t="s">
        <v>653</v>
      </c>
      <c r="K27" s="41" t="s">
        <v>12</v>
      </c>
    </row>
    <row r="28" customFormat="false" ht="15" hidden="false" customHeight="false" outlineLevel="0" collapsed="false">
      <c r="A28" s="42" t="n">
        <v>6096</v>
      </c>
      <c r="B28" s="42" t="s">
        <v>18</v>
      </c>
      <c r="C28" s="42" t="s">
        <v>648</v>
      </c>
      <c r="D28" s="42" t="s">
        <v>649</v>
      </c>
      <c r="E28" s="42" t="s">
        <v>711</v>
      </c>
      <c r="F28" s="42" t="s">
        <v>716</v>
      </c>
      <c r="G28" s="42" t="s">
        <v>97</v>
      </c>
      <c r="H28" s="11" t="n">
        <v>97100.69</v>
      </c>
      <c r="I28" s="33" t="s">
        <v>717</v>
      </c>
      <c r="J28" s="42" t="s">
        <v>653</v>
      </c>
      <c r="K28" s="42" t="s">
        <v>12</v>
      </c>
    </row>
    <row r="29" customFormat="false" ht="15" hidden="false" customHeight="false" outlineLevel="0" collapsed="false">
      <c r="A29" s="41" t="n">
        <v>17580</v>
      </c>
      <c r="B29" s="41" t="s">
        <v>19</v>
      </c>
      <c r="C29" s="41" t="s">
        <v>718</v>
      </c>
      <c r="D29" s="41" t="s">
        <v>719</v>
      </c>
      <c r="E29" s="41" t="s">
        <v>720</v>
      </c>
      <c r="F29" s="41" t="s">
        <v>721</v>
      </c>
      <c r="G29" s="41" t="s">
        <v>97</v>
      </c>
      <c r="H29" s="15" t="n">
        <v>90513.94</v>
      </c>
      <c r="I29" s="30" t="s">
        <v>722</v>
      </c>
      <c r="J29" s="41" t="s">
        <v>653</v>
      </c>
      <c r="K29" s="41" t="s">
        <v>12</v>
      </c>
    </row>
    <row r="30" customFormat="false" ht="15" hidden="false" customHeight="false" outlineLevel="0" collapsed="false">
      <c r="A30" s="42" t="n">
        <v>17581</v>
      </c>
      <c r="B30" s="42" t="s">
        <v>19</v>
      </c>
      <c r="C30" s="42" t="s">
        <v>718</v>
      </c>
      <c r="D30" s="42" t="s">
        <v>719</v>
      </c>
      <c r="E30" s="42" t="s">
        <v>720</v>
      </c>
      <c r="F30" s="42" t="s">
        <v>721</v>
      </c>
      <c r="G30" s="42" t="s">
        <v>97</v>
      </c>
      <c r="H30" s="11" t="n">
        <v>90498.18</v>
      </c>
      <c r="I30" s="33" t="s">
        <v>723</v>
      </c>
      <c r="J30" s="42" t="s">
        <v>653</v>
      </c>
      <c r="K30" s="42" t="s">
        <v>12</v>
      </c>
    </row>
    <row r="31" customFormat="false" ht="15" hidden="false" customHeight="false" outlineLevel="0" collapsed="false">
      <c r="A31" s="41" t="n">
        <v>17596</v>
      </c>
      <c r="B31" s="41" t="s">
        <v>19</v>
      </c>
      <c r="C31" s="41" t="s">
        <v>648</v>
      </c>
      <c r="D31" s="41" t="s">
        <v>649</v>
      </c>
      <c r="E31" s="41" t="s">
        <v>720</v>
      </c>
      <c r="F31" s="41" t="s">
        <v>724</v>
      </c>
      <c r="G31" s="41" t="s">
        <v>97</v>
      </c>
      <c r="H31" s="15" t="n">
        <v>1811.98</v>
      </c>
      <c r="I31" s="30" t="s">
        <v>725</v>
      </c>
      <c r="J31" s="41" t="s">
        <v>653</v>
      </c>
      <c r="K31" s="41" t="s">
        <v>726</v>
      </c>
    </row>
    <row r="32" customFormat="false" ht="15" hidden="false" customHeight="false" outlineLevel="0" collapsed="false">
      <c r="A32" s="42" t="n">
        <v>17599</v>
      </c>
      <c r="B32" s="42" t="s">
        <v>19</v>
      </c>
      <c r="C32" s="42" t="s">
        <v>648</v>
      </c>
      <c r="D32" s="42" t="s">
        <v>649</v>
      </c>
      <c r="E32" s="42" t="s">
        <v>720</v>
      </c>
      <c r="F32" s="42" t="s">
        <v>727</v>
      </c>
      <c r="G32" s="42" t="s">
        <v>97</v>
      </c>
      <c r="H32" s="11" t="n">
        <v>1808.68</v>
      </c>
      <c r="I32" s="33" t="s">
        <v>728</v>
      </c>
      <c r="J32" s="42" t="s">
        <v>653</v>
      </c>
      <c r="K32" s="42" t="s">
        <v>726</v>
      </c>
    </row>
    <row r="33" customFormat="false" ht="15" hidden="false" customHeight="false" outlineLevel="0" collapsed="false">
      <c r="A33" s="41" t="n">
        <v>17302</v>
      </c>
      <c r="B33" s="41" t="s">
        <v>19</v>
      </c>
      <c r="C33" s="41" t="s">
        <v>718</v>
      </c>
      <c r="D33" s="41" t="s">
        <v>719</v>
      </c>
      <c r="E33" s="41" t="s">
        <v>729</v>
      </c>
      <c r="F33" s="41" t="s">
        <v>730</v>
      </c>
      <c r="G33" s="41" t="s">
        <v>97</v>
      </c>
      <c r="H33" s="15" t="n">
        <v>113227.4</v>
      </c>
      <c r="I33" s="30" t="s">
        <v>731</v>
      </c>
      <c r="J33" s="41" t="s">
        <v>653</v>
      </c>
      <c r="K33" s="41" t="s">
        <v>12</v>
      </c>
    </row>
    <row r="34" customFormat="false" ht="15" hidden="false" customHeight="false" outlineLevel="0" collapsed="false">
      <c r="A34" s="42" t="n">
        <v>17331</v>
      </c>
      <c r="B34" s="42" t="s">
        <v>19</v>
      </c>
      <c r="C34" s="42" t="s">
        <v>648</v>
      </c>
      <c r="D34" s="42" t="s">
        <v>649</v>
      </c>
      <c r="E34" s="42" t="s">
        <v>729</v>
      </c>
      <c r="F34" s="42" t="s">
        <v>732</v>
      </c>
      <c r="G34" s="42" t="s">
        <v>97</v>
      </c>
      <c r="H34" s="11" t="n">
        <v>2296.27</v>
      </c>
      <c r="I34" s="33" t="s">
        <v>733</v>
      </c>
      <c r="J34" s="42" t="s">
        <v>653</v>
      </c>
      <c r="K34" s="42" t="s">
        <v>726</v>
      </c>
    </row>
    <row r="35" customFormat="false" ht="15" hidden="false" customHeight="false" outlineLevel="0" collapsed="false">
      <c r="A35" s="41" t="n">
        <v>17085</v>
      </c>
      <c r="B35" s="41" t="s">
        <v>19</v>
      </c>
      <c r="C35" s="41" t="s">
        <v>718</v>
      </c>
      <c r="D35" s="41" t="s">
        <v>719</v>
      </c>
      <c r="E35" s="41" t="s">
        <v>734</v>
      </c>
      <c r="F35" s="41" t="s">
        <v>735</v>
      </c>
      <c r="G35" s="41" t="s">
        <v>97</v>
      </c>
      <c r="H35" s="15" t="n">
        <v>81685.14</v>
      </c>
      <c r="I35" s="30" t="s">
        <v>736</v>
      </c>
      <c r="J35" s="41" t="s">
        <v>653</v>
      </c>
      <c r="K35" s="41" t="s">
        <v>12</v>
      </c>
    </row>
    <row r="36" customFormat="false" ht="15" hidden="false" customHeight="false" outlineLevel="0" collapsed="false">
      <c r="A36" s="42" t="n">
        <v>17086</v>
      </c>
      <c r="B36" s="42" t="s">
        <v>19</v>
      </c>
      <c r="C36" s="42" t="s">
        <v>718</v>
      </c>
      <c r="D36" s="42" t="s">
        <v>719</v>
      </c>
      <c r="E36" s="42" t="s">
        <v>734</v>
      </c>
      <c r="F36" s="42" t="s">
        <v>735</v>
      </c>
      <c r="G36" s="42" t="s">
        <v>97</v>
      </c>
      <c r="H36" s="11" t="n">
        <v>81978.72</v>
      </c>
      <c r="I36" s="33" t="s">
        <v>737</v>
      </c>
      <c r="J36" s="42" t="s">
        <v>653</v>
      </c>
      <c r="K36" s="42" t="s">
        <v>12</v>
      </c>
    </row>
    <row r="37" customFormat="false" ht="15" hidden="false" customHeight="false" outlineLevel="0" collapsed="false">
      <c r="A37" s="41" t="n">
        <v>17098</v>
      </c>
      <c r="B37" s="41" t="s">
        <v>19</v>
      </c>
      <c r="C37" s="41" t="s">
        <v>648</v>
      </c>
      <c r="D37" s="41" t="s">
        <v>649</v>
      </c>
      <c r="E37" s="41" t="s">
        <v>734</v>
      </c>
      <c r="F37" s="41" t="s">
        <v>738</v>
      </c>
      <c r="G37" s="41" t="s">
        <v>97</v>
      </c>
      <c r="H37" s="15" t="n">
        <v>1877.87</v>
      </c>
      <c r="I37" s="30" t="s">
        <v>739</v>
      </c>
      <c r="J37" s="41" t="s">
        <v>653</v>
      </c>
      <c r="K37" s="41" t="s">
        <v>726</v>
      </c>
    </row>
    <row r="38" customFormat="false" ht="15" hidden="false" customHeight="false" outlineLevel="0" collapsed="false">
      <c r="A38" s="42" t="n">
        <v>16657</v>
      </c>
      <c r="B38" s="42" t="s">
        <v>19</v>
      </c>
      <c r="C38" s="42" t="s">
        <v>648</v>
      </c>
      <c r="D38" s="42" t="s">
        <v>649</v>
      </c>
      <c r="E38" s="42" t="s">
        <v>740</v>
      </c>
      <c r="F38" s="42" t="s">
        <v>741</v>
      </c>
      <c r="G38" s="42" t="s">
        <v>97</v>
      </c>
      <c r="H38" s="11" t="n">
        <v>1884.45</v>
      </c>
      <c r="I38" s="33" t="s">
        <v>742</v>
      </c>
      <c r="J38" s="42" t="s">
        <v>653</v>
      </c>
      <c r="K38" s="42" t="s">
        <v>726</v>
      </c>
    </row>
    <row r="39" customFormat="false" ht="15" hidden="false" customHeight="false" outlineLevel="0" collapsed="false">
      <c r="A39" s="41" t="n">
        <v>15631</v>
      </c>
      <c r="B39" s="41" t="s">
        <v>19</v>
      </c>
      <c r="C39" s="41" t="s">
        <v>718</v>
      </c>
      <c r="D39" s="41" t="s">
        <v>719</v>
      </c>
      <c r="E39" s="41" t="s">
        <v>743</v>
      </c>
      <c r="F39" s="41" t="s">
        <v>744</v>
      </c>
      <c r="G39" s="41" t="s">
        <v>97</v>
      </c>
      <c r="H39" s="15" t="n">
        <v>102473.4</v>
      </c>
      <c r="I39" s="30" t="s">
        <v>745</v>
      </c>
      <c r="J39" s="41" t="s">
        <v>653</v>
      </c>
      <c r="K39" s="41" t="s">
        <v>12</v>
      </c>
    </row>
    <row r="40" customFormat="false" ht="15" hidden="false" customHeight="false" outlineLevel="0" collapsed="false">
      <c r="A40" s="42" t="n">
        <v>15634</v>
      </c>
      <c r="B40" s="42" t="s">
        <v>19</v>
      </c>
      <c r="C40" s="42" t="s">
        <v>648</v>
      </c>
      <c r="D40" s="42" t="s">
        <v>649</v>
      </c>
      <c r="E40" s="42" t="s">
        <v>743</v>
      </c>
      <c r="F40" s="42" t="s">
        <v>746</v>
      </c>
      <c r="G40" s="42" t="s">
        <v>97</v>
      </c>
      <c r="H40" s="11" t="n">
        <v>2355.57</v>
      </c>
      <c r="I40" s="33" t="s">
        <v>747</v>
      </c>
      <c r="J40" s="42" t="s">
        <v>653</v>
      </c>
      <c r="K40" s="42" t="s">
        <v>726</v>
      </c>
    </row>
    <row r="41" customFormat="false" ht="15" hidden="false" customHeight="false" outlineLevel="0" collapsed="false">
      <c r="A41" s="41" t="n">
        <v>15168</v>
      </c>
      <c r="B41" s="41" t="s">
        <v>19</v>
      </c>
      <c r="C41" s="41" t="s">
        <v>648</v>
      </c>
      <c r="D41" s="41" t="s">
        <v>649</v>
      </c>
      <c r="E41" s="41" t="s">
        <v>748</v>
      </c>
      <c r="F41" s="41" t="s">
        <v>749</v>
      </c>
      <c r="G41" s="41" t="s">
        <v>97</v>
      </c>
      <c r="H41" s="15" t="n">
        <v>1900.93</v>
      </c>
      <c r="I41" s="30" t="s">
        <v>750</v>
      </c>
      <c r="J41" s="41" t="s">
        <v>653</v>
      </c>
      <c r="K41" s="41" t="s">
        <v>726</v>
      </c>
    </row>
    <row r="42" customFormat="false" ht="15" hidden="false" customHeight="false" outlineLevel="0" collapsed="false">
      <c r="A42" s="42" t="n">
        <v>15169</v>
      </c>
      <c r="B42" s="42" t="s">
        <v>19</v>
      </c>
      <c r="C42" s="42" t="s">
        <v>648</v>
      </c>
      <c r="D42" s="42" t="s">
        <v>649</v>
      </c>
      <c r="E42" s="42" t="s">
        <v>748</v>
      </c>
      <c r="F42" s="42" t="s">
        <v>749</v>
      </c>
      <c r="G42" s="42" t="s">
        <v>97</v>
      </c>
      <c r="H42" s="11" t="n">
        <v>1950.34</v>
      </c>
      <c r="I42" s="33" t="s">
        <v>751</v>
      </c>
      <c r="J42" s="42" t="s">
        <v>653</v>
      </c>
      <c r="K42" s="42" t="s">
        <v>726</v>
      </c>
    </row>
    <row r="43" customFormat="false" ht="15" hidden="false" customHeight="false" outlineLevel="0" collapsed="false">
      <c r="A43" s="41" t="n">
        <v>15170</v>
      </c>
      <c r="B43" s="41" t="s">
        <v>19</v>
      </c>
      <c r="C43" s="41" t="s">
        <v>718</v>
      </c>
      <c r="D43" s="41" t="s">
        <v>719</v>
      </c>
      <c r="E43" s="41" t="s">
        <v>748</v>
      </c>
      <c r="F43" s="41" t="s">
        <v>752</v>
      </c>
      <c r="G43" s="41" t="s">
        <v>97</v>
      </c>
      <c r="H43" s="15" t="n">
        <v>82013.67</v>
      </c>
      <c r="I43" s="30" t="s">
        <v>753</v>
      </c>
      <c r="J43" s="41" t="s">
        <v>653</v>
      </c>
      <c r="K43" s="41" t="s">
        <v>12</v>
      </c>
    </row>
    <row r="44" customFormat="false" ht="15" hidden="false" customHeight="false" outlineLevel="0" collapsed="false">
      <c r="A44" s="42" t="n">
        <v>15171</v>
      </c>
      <c r="B44" s="42" t="s">
        <v>19</v>
      </c>
      <c r="C44" s="42" t="s">
        <v>718</v>
      </c>
      <c r="D44" s="42" t="s">
        <v>719</v>
      </c>
      <c r="E44" s="42" t="s">
        <v>748</v>
      </c>
      <c r="F44" s="42" t="s">
        <v>752</v>
      </c>
      <c r="G44" s="42" t="s">
        <v>97</v>
      </c>
      <c r="H44" s="11" t="n">
        <v>82118.52</v>
      </c>
      <c r="I44" s="33" t="s">
        <v>754</v>
      </c>
      <c r="J44" s="42" t="s">
        <v>653</v>
      </c>
      <c r="K44" s="42" t="s">
        <v>12</v>
      </c>
    </row>
    <row r="45" customFormat="false" ht="15" hidden="false" customHeight="false" outlineLevel="0" collapsed="false">
      <c r="A45" s="41" t="n">
        <v>14835</v>
      </c>
      <c r="B45" s="41" t="s">
        <v>19</v>
      </c>
      <c r="C45" s="41" t="s">
        <v>648</v>
      </c>
      <c r="D45" s="41" t="s">
        <v>649</v>
      </c>
      <c r="E45" s="41" t="s">
        <v>755</v>
      </c>
      <c r="F45" s="41" t="s">
        <v>756</v>
      </c>
      <c r="G45" s="41" t="s">
        <v>97</v>
      </c>
      <c r="H45" s="15" t="n">
        <v>2411.57</v>
      </c>
      <c r="I45" s="30" t="s">
        <v>757</v>
      </c>
      <c r="J45" s="41" t="s">
        <v>653</v>
      </c>
      <c r="K45" s="41" t="s">
        <v>726</v>
      </c>
    </row>
    <row r="46" customFormat="false" ht="15" hidden="false" customHeight="false" outlineLevel="0" collapsed="false">
      <c r="A46" s="42" t="n">
        <v>14777</v>
      </c>
      <c r="B46" s="42" t="s">
        <v>19</v>
      </c>
      <c r="C46" s="42" t="s">
        <v>718</v>
      </c>
      <c r="D46" s="42" t="s">
        <v>719</v>
      </c>
      <c r="E46" s="42" t="s">
        <v>758</v>
      </c>
      <c r="F46" s="42" t="s">
        <v>759</v>
      </c>
      <c r="G46" s="42" t="s">
        <v>97</v>
      </c>
      <c r="H46" s="11" t="n">
        <v>113739.99</v>
      </c>
      <c r="I46" s="33" t="s">
        <v>760</v>
      </c>
      <c r="J46" s="42" t="s">
        <v>653</v>
      </c>
      <c r="K46" s="42" t="s">
        <v>12</v>
      </c>
    </row>
    <row r="47" customFormat="false" ht="15" hidden="false" customHeight="false" outlineLevel="0" collapsed="false">
      <c r="A47" s="41" t="n">
        <v>14107</v>
      </c>
      <c r="B47" s="41" t="s">
        <v>19</v>
      </c>
      <c r="C47" s="41" t="s">
        <v>648</v>
      </c>
      <c r="D47" s="41" t="s">
        <v>649</v>
      </c>
      <c r="E47" s="41" t="s">
        <v>761</v>
      </c>
      <c r="F47" s="41" t="s">
        <v>762</v>
      </c>
      <c r="G47" s="41" t="s">
        <v>97</v>
      </c>
      <c r="H47" s="15" t="n">
        <v>1937.17</v>
      </c>
      <c r="I47" s="30" t="s">
        <v>763</v>
      </c>
      <c r="J47" s="41" t="s">
        <v>653</v>
      </c>
      <c r="K47" s="41" t="s">
        <v>726</v>
      </c>
    </row>
    <row r="48" customFormat="false" ht="15" hidden="false" customHeight="false" outlineLevel="0" collapsed="false">
      <c r="A48" s="42" t="n">
        <v>14108</v>
      </c>
      <c r="B48" s="42" t="s">
        <v>19</v>
      </c>
      <c r="C48" s="42" t="s">
        <v>648</v>
      </c>
      <c r="D48" s="42" t="s">
        <v>649</v>
      </c>
      <c r="E48" s="42" t="s">
        <v>761</v>
      </c>
      <c r="F48" s="42" t="s">
        <v>762</v>
      </c>
      <c r="G48" s="42" t="s">
        <v>97</v>
      </c>
      <c r="H48" s="11" t="n">
        <v>1976.7</v>
      </c>
      <c r="I48" s="33" t="s">
        <v>764</v>
      </c>
      <c r="J48" s="42" t="s">
        <v>653</v>
      </c>
      <c r="K48" s="42" t="s">
        <v>726</v>
      </c>
    </row>
    <row r="49" customFormat="false" ht="15" hidden="false" customHeight="false" outlineLevel="0" collapsed="false">
      <c r="A49" s="41" t="n">
        <v>14105</v>
      </c>
      <c r="B49" s="41" t="s">
        <v>19</v>
      </c>
      <c r="C49" s="41" t="s">
        <v>718</v>
      </c>
      <c r="D49" s="41" t="s">
        <v>719</v>
      </c>
      <c r="E49" s="41" t="s">
        <v>765</v>
      </c>
      <c r="F49" s="41" t="s">
        <v>766</v>
      </c>
      <c r="G49" s="41" t="s">
        <v>97</v>
      </c>
      <c r="H49" s="15" t="n">
        <v>90944.59</v>
      </c>
      <c r="I49" s="30" t="s">
        <v>767</v>
      </c>
      <c r="J49" s="41" t="s">
        <v>653</v>
      </c>
      <c r="K49" s="41" t="s">
        <v>12</v>
      </c>
    </row>
    <row r="50" customFormat="false" ht="15" hidden="false" customHeight="false" outlineLevel="0" collapsed="false">
      <c r="A50" s="42" t="n">
        <v>14106</v>
      </c>
      <c r="B50" s="42" t="s">
        <v>19</v>
      </c>
      <c r="C50" s="42" t="s">
        <v>718</v>
      </c>
      <c r="D50" s="42" t="s">
        <v>719</v>
      </c>
      <c r="E50" s="42" t="s">
        <v>765</v>
      </c>
      <c r="F50" s="42" t="s">
        <v>766</v>
      </c>
      <c r="G50" s="42" t="s">
        <v>97</v>
      </c>
      <c r="H50" s="11" t="n">
        <v>91140.39</v>
      </c>
      <c r="I50" s="33" t="s">
        <v>768</v>
      </c>
      <c r="J50" s="42" t="s">
        <v>653</v>
      </c>
      <c r="K50" s="42" t="s">
        <v>12</v>
      </c>
    </row>
    <row r="51" customFormat="false" ht="15" hidden="false" customHeight="false" outlineLevel="0" collapsed="false">
      <c r="A51" s="41" t="n">
        <v>14026</v>
      </c>
      <c r="B51" s="41" t="s">
        <v>19</v>
      </c>
      <c r="C51" s="41" t="s">
        <v>718</v>
      </c>
      <c r="D51" s="41" t="s">
        <v>719</v>
      </c>
      <c r="E51" s="41" t="s">
        <v>769</v>
      </c>
      <c r="F51" s="41" t="s">
        <v>770</v>
      </c>
      <c r="G51" s="41" t="s">
        <v>97</v>
      </c>
      <c r="H51" s="15" t="n">
        <v>-244.65</v>
      </c>
      <c r="I51" s="30" t="s">
        <v>771</v>
      </c>
      <c r="J51" s="41" t="s">
        <v>653</v>
      </c>
      <c r="K51" s="41" t="s">
        <v>772</v>
      </c>
    </row>
    <row r="52" customFormat="false" ht="15" hidden="false" customHeight="false" outlineLevel="0" collapsed="false">
      <c r="A52" s="42" t="n">
        <v>14027</v>
      </c>
      <c r="B52" s="42" t="s">
        <v>19</v>
      </c>
      <c r="C52" s="42" t="s">
        <v>718</v>
      </c>
      <c r="D52" s="42" t="s">
        <v>719</v>
      </c>
      <c r="E52" s="42" t="s">
        <v>769</v>
      </c>
      <c r="F52" s="42" t="s">
        <v>773</v>
      </c>
      <c r="G52" s="42" t="s">
        <v>97</v>
      </c>
      <c r="H52" s="11" t="n">
        <v>102794.94</v>
      </c>
      <c r="I52" s="33" t="s">
        <v>771</v>
      </c>
      <c r="J52" s="42" t="s">
        <v>653</v>
      </c>
      <c r="K52" s="42" t="s">
        <v>12</v>
      </c>
    </row>
    <row r="53" customFormat="false" ht="15" hidden="false" customHeight="false" outlineLevel="0" collapsed="false">
      <c r="A53" s="41" t="n">
        <v>14028</v>
      </c>
      <c r="B53" s="41" t="s">
        <v>19</v>
      </c>
      <c r="C53" s="41" t="s">
        <v>718</v>
      </c>
      <c r="D53" s="41" t="s">
        <v>719</v>
      </c>
      <c r="E53" s="41" t="s">
        <v>769</v>
      </c>
      <c r="F53" s="41" t="s">
        <v>774</v>
      </c>
      <c r="G53" s="41" t="s">
        <v>97</v>
      </c>
      <c r="H53" s="15" t="n">
        <v>244.65</v>
      </c>
      <c r="I53" s="30" t="s">
        <v>771</v>
      </c>
      <c r="J53" s="41" t="s">
        <v>653</v>
      </c>
      <c r="K53" s="41" t="s">
        <v>772</v>
      </c>
    </row>
    <row r="54" customFormat="false" ht="15" hidden="false" customHeight="false" outlineLevel="0" collapsed="false">
      <c r="A54" s="42" t="n">
        <v>14030</v>
      </c>
      <c r="B54" s="42" t="s">
        <v>19</v>
      </c>
      <c r="C54" s="42" t="s">
        <v>648</v>
      </c>
      <c r="D54" s="42" t="s">
        <v>649</v>
      </c>
      <c r="E54" s="42" t="s">
        <v>769</v>
      </c>
      <c r="F54" s="42" t="s">
        <v>775</v>
      </c>
      <c r="G54" s="42" t="s">
        <v>97</v>
      </c>
      <c r="H54" s="11" t="n">
        <v>2490.64</v>
      </c>
      <c r="I54" s="33" t="s">
        <v>776</v>
      </c>
      <c r="J54" s="42" t="s">
        <v>653</v>
      </c>
      <c r="K54" s="42" t="s">
        <v>726</v>
      </c>
    </row>
    <row r="55" customFormat="false" ht="15" hidden="false" customHeight="false" outlineLevel="0" collapsed="false">
      <c r="A55" s="21"/>
      <c r="B55" s="21"/>
      <c r="C55" s="21"/>
      <c r="D55" s="21"/>
      <c r="E55" s="21"/>
      <c r="F55" s="21"/>
      <c r="G55" s="19" t="s">
        <v>21</v>
      </c>
      <c r="H55" s="45" t="n">
        <f aca="false">SUM(H5:H54)</f>
        <v>3070967.69</v>
      </c>
      <c r="I55" s="21"/>
      <c r="J55" s="21"/>
      <c r="K55" s="21"/>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2"/>
    <col collapsed="false" customWidth="true" hidden="false" outlineLevel="0" max="3" min="3" style="0" width="16"/>
    <col collapsed="false" customWidth="true" hidden="false" outlineLevel="0" max="4" min="4" style="0" width="14"/>
    <col collapsed="false" customWidth="true" hidden="false" outlineLevel="0" max="5" min="5" style="0" width="16"/>
    <col collapsed="false" customWidth="true" hidden="false" outlineLevel="0" max="6" min="6" style="0" width="30"/>
  </cols>
  <sheetData>
    <row r="1" customFormat="false" ht="25.5" hidden="false" customHeight="true" outlineLevel="0" collapsed="false">
      <c r="A1" s="1" t="s">
        <v>777</v>
      </c>
      <c r="B1" s="1"/>
      <c r="C1" s="1"/>
      <c r="D1" s="1"/>
      <c r="E1" s="1"/>
      <c r="F1" s="1"/>
    </row>
    <row r="2" customFormat="false" ht="15.75" hidden="false" customHeight="true" outlineLevel="0" collapsed="false">
      <c r="A2" s="2" t="s">
        <v>778</v>
      </c>
      <c r="B2" s="2"/>
      <c r="C2" s="2"/>
      <c r="D2" s="2"/>
      <c r="E2" s="2"/>
      <c r="F2" s="2"/>
    </row>
    <row r="4" customFormat="false" ht="30" hidden="false" customHeight="true" outlineLevel="0" collapsed="false">
      <c r="A4" s="8" t="s">
        <v>29</v>
      </c>
      <c r="B4" s="8" t="s">
        <v>779</v>
      </c>
      <c r="C4" s="8" t="s">
        <v>644</v>
      </c>
      <c r="D4" s="8" t="s">
        <v>780</v>
      </c>
      <c r="E4" s="8" t="s">
        <v>781</v>
      </c>
      <c r="F4" s="8" t="s">
        <v>782</v>
      </c>
    </row>
    <row r="5" customFormat="false" ht="15" hidden="false" customHeight="false" outlineLevel="0" collapsed="false">
      <c r="A5" s="41" t="s">
        <v>783</v>
      </c>
      <c r="B5" s="30" t="s">
        <v>784</v>
      </c>
      <c r="C5" s="15" t="n">
        <v>122039.79</v>
      </c>
      <c r="D5" s="15" t="n">
        <v>12203.98</v>
      </c>
      <c r="E5" s="15" t="n">
        <v>134243.77</v>
      </c>
      <c r="F5" s="30" t="s">
        <v>785</v>
      </c>
    </row>
    <row r="6" customFormat="false" ht="15" hidden="false" customHeight="false" outlineLevel="0" collapsed="false">
      <c r="A6" s="42" t="s">
        <v>786</v>
      </c>
      <c r="B6" s="33" t="s">
        <v>787</v>
      </c>
      <c r="C6" s="11" t="n">
        <v>51742.21</v>
      </c>
      <c r="D6" s="11" t="n">
        <v>5174.23</v>
      </c>
      <c r="E6" s="11" t="n">
        <v>56916.44</v>
      </c>
      <c r="F6" s="33" t="s">
        <v>785</v>
      </c>
    </row>
    <row r="7" customFormat="false" ht="15" hidden="false" customHeight="false" outlineLevel="0" collapsed="false">
      <c r="A7" s="41" t="s">
        <v>788</v>
      </c>
      <c r="B7" s="30" t="s">
        <v>789</v>
      </c>
      <c r="C7" s="15" t="n">
        <v>748333.63</v>
      </c>
      <c r="D7" s="15" t="n">
        <v>74833.36</v>
      </c>
      <c r="E7" s="15" t="n">
        <v>823166.99</v>
      </c>
      <c r="F7" s="30" t="s">
        <v>785</v>
      </c>
    </row>
    <row r="8" customFormat="false" ht="15" hidden="false" customHeight="false" outlineLevel="0" collapsed="false">
      <c r="A8" s="42" t="s">
        <v>790</v>
      </c>
      <c r="B8" s="33" t="s">
        <v>791</v>
      </c>
      <c r="C8" s="11" t="n">
        <v>136670.63</v>
      </c>
      <c r="D8" s="11" t="n">
        <v>13667.06</v>
      </c>
      <c r="E8" s="11" t="n">
        <v>150337.69</v>
      </c>
      <c r="F8" s="33" t="s">
        <v>785</v>
      </c>
    </row>
    <row r="9" customFormat="false" ht="15" hidden="false" customHeight="false" outlineLevel="0" collapsed="false">
      <c r="A9" s="41" t="s">
        <v>792</v>
      </c>
      <c r="B9" s="30" t="s">
        <v>793</v>
      </c>
      <c r="C9" s="15" t="n">
        <v>11285.7</v>
      </c>
      <c r="D9" s="15" t="n">
        <v>1128.57</v>
      </c>
      <c r="E9" s="15" t="n">
        <v>12414.27</v>
      </c>
      <c r="F9" s="30" t="s">
        <v>785</v>
      </c>
    </row>
    <row r="10" customFormat="false" ht="15" hidden="false" customHeight="false" outlineLevel="0" collapsed="false">
      <c r="A10" s="42" t="s">
        <v>794</v>
      </c>
      <c r="B10" s="33" t="s">
        <v>795</v>
      </c>
      <c r="C10" s="11" t="n">
        <v>433728.96</v>
      </c>
      <c r="D10" s="11" t="n">
        <v>43372.9</v>
      </c>
      <c r="E10" s="11" t="n">
        <v>477101.86</v>
      </c>
      <c r="F10" s="33" t="s">
        <v>785</v>
      </c>
    </row>
    <row r="11" customFormat="false" ht="15" hidden="false" customHeight="false" outlineLevel="0" collapsed="false">
      <c r="A11" s="46" t="s">
        <v>796</v>
      </c>
      <c r="B11" s="47" t="s">
        <v>797</v>
      </c>
      <c r="C11" s="48" t="n">
        <v>3186.04</v>
      </c>
      <c r="D11" s="48" t="n">
        <v>318.6</v>
      </c>
      <c r="E11" s="48" t="n">
        <v>3504.64</v>
      </c>
      <c r="F11" s="47" t="s">
        <v>798</v>
      </c>
    </row>
    <row r="12" customFormat="false" ht="15" hidden="false" customHeight="false" outlineLevel="0" collapsed="false">
      <c r="A12" s="46" t="s">
        <v>799</v>
      </c>
      <c r="B12" s="47" t="s">
        <v>800</v>
      </c>
      <c r="C12" s="48" t="n">
        <v>114780.13</v>
      </c>
      <c r="D12" s="48" t="n">
        <v>11478.01</v>
      </c>
      <c r="E12" s="48" t="n">
        <v>126258.14</v>
      </c>
      <c r="F12" s="47" t="s">
        <v>798</v>
      </c>
    </row>
    <row r="13" customFormat="false" ht="15" hidden="false" customHeight="false" outlineLevel="0" collapsed="false">
      <c r="A13" s="41" t="s">
        <v>801</v>
      </c>
      <c r="B13" s="30" t="s">
        <v>802</v>
      </c>
      <c r="C13" s="15" t="n">
        <v>124878.98</v>
      </c>
      <c r="D13" s="15" t="n">
        <v>12487.9</v>
      </c>
      <c r="E13" s="15" t="n">
        <v>137366.88</v>
      </c>
      <c r="F13" s="30" t="s">
        <v>785</v>
      </c>
    </row>
    <row r="14" customFormat="false" ht="15" hidden="false" customHeight="false" outlineLevel="0" collapsed="false">
      <c r="A14" s="42" t="s">
        <v>803</v>
      </c>
      <c r="B14" s="33" t="s">
        <v>804</v>
      </c>
      <c r="C14" s="11" t="n">
        <v>23598.78</v>
      </c>
      <c r="D14" s="11" t="n">
        <v>2359.88</v>
      </c>
      <c r="E14" s="11" t="n">
        <v>25958.66</v>
      </c>
      <c r="F14" s="33" t="s">
        <v>785</v>
      </c>
    </row>
    <row r="15" customFormat="false" ht="15" hidden="false" customHeight="false" outlineLevel="0" collapsed="false">
      <c r="A15" s="21"/>
      <c r="B15" s="19" t="s">
        <v>805</v>
      </c>
      <c r="C15" s="20" t="n">
        <f aca="false">SUM(C5:C14)</f>
        <v>1770244.85</v>
      </c>
      <c r="D15" s="20" t="n">
        <f aca="false">SUM(D5:D14)</f>
        <v>177024.49</v>
      </c>
      <c r="E15" s="20" t="n">
        <f aca="false">SUM(E5:E14)</f>
        <v>1947269.34</v>
      </c>
      <c r="F15" s="21"/>
    </row>
    <row r="17" customFormat="false" ht="15" hidden="false" customHeight="false" outlineLevel="0" collapsed="false">
      <c r="B17" s="35" t="s">
        <v>806</v>
      </c>
      <c r="C17" s="49" t="n">
        <f aca="false">C11+C12</f>
        <v>117966.17</v>
      </c>
      <c r="F17" s="50"/>
    </row>
    <row r="18" customFormat="false" ht="15" hidden="false" customHeight="false" outlineLevel="0" collapsed="false">
      <c r="B18" s="35" t="s">
        <v>807</v>
      </c>
      <c r="C18" s="49" t="n">
        <v>89600.41</v>
      </c>
      <c r="F18" s="50" t="s">
        <v>684</v>
      </c>
    </row>
    <row r="19" customFormat="false" ht="22.35" hidden="false" customHeight="false" outlineLevel="0" collapsed="false">
      <c r="B19" s="35" t="s">
        <v>808</v>
      </c>
      <c r="C19" s="51" t="n">
        <f aca="false">IFERROR(C18/C17,"")</f>
        <v>0.759543265666759</v>
      </c>
      <c r="F19" s="50" t="s">
        <v>809</v>
      </c>
    </row>
    <row r="20" customFormat="false" ht="22.35" hidden="false" customHeight="false" outlineLevel="0" collapsed="false">
      <c r="B20" s="35" t="s">
        <v>810</v>
      </c>
      <c r="C20" s="49" t="n">
        <v>161.34</v>
      </c>
      <c r="F20" s="50" t="s">
        <v>811</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44"/>
    <col collapsed="false" customWidth="true" hidden="false" outlineLevel="0" max="6" min="4" style="0" width="13"/>
    <col collapsed="false" customWidth="true" hidden="false" outlineLevel="0" max="7" min="7" style="0" width="12"/>
    <col collapsed="false" customWidth="true" hidden="false" outlineLevel="0" max="8" min="8" style="0" width="11"/>
    <col collapsed="false" customWidth="true" hidden="false" outlineLevel="0" max="9" min="9" style="0" width="13"/>
    <col collapsed="false" customWidth="true" hidden="false" outlineLevel="0" max="10" min="10" style="0" width="10"/>
    <col collapsed="false" customWidth="true" hidden="false" outlineLevel="0" max="11" min="11" style="0" width="30"/>
  </cols>
  <sheetData>
    <row r="1" customFormat="false" ht="25.5" hidden="false" customHeight="true" outlineLevel="0" collapsed="false">
      <c r="A1" s="1" t="s">
        <v>812</v>
      </c>
      <c r="B1" s="1"/>
      <c r="C1" s="1"/>
      <c r="D1" s="1"/>
      <c r="E1" s="1"/>
      <c r="F1" s="1"/>
      <c r="G1" s="1"/>
      <c r="H1" s="1"/>
      <c r="I1" s="1"/>
      <c r="J1" s="1"/>
      <c r="K1" s="1"/>
    </row>
    <row r="2" customFormat="false" ht="15.75" hidden="false" customHeight="true" outlineLevel="0" collapsed="false">
      <c r="A2" s="2" t="s">
        <v>813</v>
      </c>
      <c r="B2" s="2"/>
      <c r="C2" s="2"/>
      <c r="D2" s="2"/>
      <c r="E2" s="2"/>
      <c r="F2" s="2"/>
      <c r="G2" s="2"/>
      <c r="H2" s="2"/>
      <c r="I2" s="2"/>
      <c r="J2" s="2"/>
      <c r="K2" s="2"/>
    </row>
    <row r="4" customFormat="false" ht="30" hidden="false" customHeight="true" outlineLevel="0" collapsed="false">
      <c r="A4" s="8" t="s">
        <v>814</v>
      </c>
      <c r="B4" s="8" t="s">
        <v>815</v>
      </c>
      <c r="C4" s="8" t="s">
        <v>816</v>
      </c>
      <c r="D4" s="8" t="s">
        <v>817</v>
      </c>
      <c r="E4" s="8" t="s">
        <v>607</v>
      </c>
      <c r="F4" s="8" t="s">
        <v>608</v>
      </c>
      <c r="G4" s="8" t="s">
        <v>818</v>
      </c>
      <c r="H4" s="8" t="s">
        <v>819</v>
      </c>
      <c r="I4" s="8" t="s">
        <v>820</v>
      </c>
      <c r="J4" s="8" t="s">
        <v>821</v>
      </c>
      <c r="K4" s="8" t="s">
        <v>822</v>
      </c>
    </row>
    <row r="5" customFormat="false" ht="15" hidden="false" customHeight="false" outlineLevel="0" collapsed="false">
      <c r="A5" s="41" t="s">
        <v>823</v>
      </c>
      <c r="B5" s="41" t="s">
        <v>824</v>
      </c>
      <c r="C5" s="30" t="s">
        <v>825</v>
      </c>
      <c r="D5" s="15" t="n">
        <v>1352.99</v>
      </c>
      <c r="E5" s="15" t="n">
        <v>1352.99</v>
      </c>
      <c r="F5" s="15" t="n">
        <f aca="false">ROUND(E5-D5,2)</f>
        <v>0</v>
      </c>
      <c r="G5" s="29" t="n">
        <v>4</v>
      </c>
      <c r="H5" s="41" t="s">
        <v>97</v>
      </c>
      <c r="I5" s="41" t="s">
        <v>826</v>
      </c>
      <c r="J5" s="41" t="s">
        <v>827</v>
      </c>
      <c r="K5" s="30" t="s">
        <v>828</v>
      </c>
    </row>
    <row r="6" customFormat="false" ht="15" hidden="false" customHeight="false" outlineLevel="0" collapsed="false">
      <c r="A6" s="42" t="s">
        <v>829</v>
      </c>
      <c r="B6" s="42" t="s">
        <v>824</v>
      </c>
      <c r="C6" s="33" t="s">
        <v>825</v>
      </c>
      <c r="D6" s="11" t="n">
        <v>1261.9</v>
      </c>
      <c r="E6" s="11" t="n">
        <v>1261.9</v>
      </c>
      <c r="F6" s="11" t="n">
        <f aca="false">ROUND(E6-D6,2)</f>
        <v>0</v>
      </c>
      <c r="G6" s="32" t="n">
        <v>4</v>
      </c>
      <c r="H6" s="42" t="s">
        <v>97</v>
      </c>
      <c r="I6" s="42" t="s">
        <v>826</v>
      </c>
      <c r="J6" s="42" t="s">
        <v>830</v>
      </c>
      <c r="K6" s="33" t="s">
        <v>831</v>
      </c>
    </row>
    <row r="7" customFormat="false" ht="22.35" hidden="false" customHeight="false" outlineLevel="0" collapsed="false">
      <c r="A7" s="41" t="s">
        <v>823</v>
      </c>
      <c r="B7" s="41" t="s">
        <v>832</v>
      </c>
      <c r="C7" s="30" t="s">
        <v>833</v>
      </c>
      <c r="D7" s="15" t="n">
        <v>1080.73</v>
      </c>
      <c r="E7" s="15" t="n">
        <v>1080.73</v>
      </c>
      <c r="F7" s="15" t="n">
        <f aca="false">ROUND(E7-D7,2)</f>
        <v>0</v>
      </c>
      <c r="G7" s="29" t="n">
        <v>8</v>
      </c>
      <c r="H7" s="41" t="s">
        <v>97</v>
      </c>
      <c r="I7" s="41" t="s">
        <v>834</v>
      </c>
      <c r="J7" s="41" t="s">
        <v>835</v>
      </c>
      <c r="K7" s="30" t="s">
        <v>836</v>
      </c>
    </row>
    <row r="8" customFormat="false" ht="15" hidden="false" customHeight="false" outlineLevel="0" collapsed="false">
      <c r="A8" s="42" t="s">
        <v>823</v>
      </c>
      <c r="B8" s="42" t="s">
        <v>837</v>
      </c>
      <c r="C8" s="33" t="s">
        <v>838</v>
      </c>
      <c r="D8" s="11" t="n">
        <v>762.67</v>
      </c>
      <c r="E8" s="11" t="n">
        <v>762.67</v>
      </c>
      <c r="F8" s="11" t="n">
        <f aca="false">ROUND(E8-D8,2)</f>
        <v>0</v>
      </c>
      <c r="G8" s="32" t="n">
        <v>4</v>
      </c>
      <c r="H8" s="42" t="s">
        <v>97</v>
      </c>
      <c r="I8" s="42" t="s">
        <v>839</v>
      </c>
      <c r="J8" s="42" t="s">
        <v>840</v>
      </c>
      <c r="K8" s="33" t="s">
        <v>841</v>
      </c>
    </row>
    <row r="9" customFormat="false" ht="15" hidden="false" customHeight="false" outlineLevel="0" collapsed="false">
      <c r="A9" s="41" t="s">
        <v>823</v>
      </c>
      <c r="B9" s="41" t="s">
        <v>842</v>
      </c>
      <c r="C9" s="30" t="s">
        <v>843</v>
      </c>
      <c r="D9" s="15" t="n">
        <v>759.73</v>
      </c>
      <c r="E9" s="15" t="n">
        <v>759.73</v>
      </c>
      <c r="F9" s="15" t="n">
        <f aca="false">ROUND(E9-D9,2)</f>
        <v>0</v>
      </c>
      <c r="G9" s="29" t="n">
        <v>2</v>
      </c>
      <c r="H9" s="41" t="s">
        <v>97</v>
      </c>
      <c r="I9" s="41" t="s">
        <v>844</v>
      </c>
      <c r="J9" s="41" t="s">
        <v>845</v>
      </c>
      <c r="K9" s="30" t="s">
        <v>846</v>
      </c>
    </row>
    <row r="10" customFormat="false" ht="22.35" hidden="false" customHeight="false" outlineLevel="0" collapsed="false">
      <c r="A10" s="42" t="s">
        <v>829</v>
      </c>
      <c r="B10" s="42" t="s">
        <v>847</v>
      </c>
      <c r="C10" s="33" t="s">
        <v>848</v>
      </c>
      <c r="D10" s="11" t="n">
        <v>639.2</v>
      </c>
      <c r="E10" s="11" t="n">
        <v>639.2</v>
      </c>
      <c r="F10" s="11" t="n">
        <f aca="false">ROUND(E10-D10,2)</f>
        <v>0</v>
      </c>
      <c r="G10" s="32" t="n">
        <v>8</v>
      </c>
      <c r="H10" s="42" t="s">
        <v>97</v>
      </c>
      <c r="I10" s="42" t="s">
        <v>849</v>
      </c>
      <c r="J10" s="42" t="s">
        <v>850</v>
      </c>
      <c r="K10" s="33" t="s">
        <v>851</v>
      </c>
    </row>
    <row r="11" customFormat="false" ht="15" hidden="false" customHeight="false" outlineLevel="0" collapsed="false">
      <c r="A11" s="41" t="s">
        <v>852</v>
      </c>
      <c r="B11" s="41" t="s">
        <v>842</v>
      </c>
      <c r="C11" s="30" t="s">
        <v>843</v>
      </c>
      <c r="D11" s="15" t="n">
        <v>618.23</v>
      </c>
      <c r="E11" s="15" t="n">
        <v>618.23</v>
      </c>
      <c r="F11" s="15" t="n">
        <f aca="false">ROUND(E11-D11,2)</f>
        <v>0</v>
      </c>
      <c r="G11" s="29" t="n">
        <v>4</v>
      </c>
      <c r="H11" s="41" t="s">
        <v>97</v>
      </c>
      <c r="I11" s="41" t="s">
        <v>844</v>
      </c>
      <c r="J11" s="41" t="s">
        <v>853</v>
      </c>
      <c r="K11" s="30" t="s">
        <v>854</v>
      </c>
    </row>
    <row r="12" customFormat="false" ht="22.35" hidden="false" customHeight="false" outlineLevel="0" collapsed="false">
      <c r="A12" s="42" t="s">
        <v>823</v>
      </c>
      <c r="B12" s="42" t="s">
        <v>855</v>
      </c>
      <c r="C12" s="33" t="s">
        <v>856</v>
      </c>
      <c r="D12" s="11" t="n">
        <v>606.54</v>
      </c>
      <c r="E12" s="11" t="n">
        <v>606.54</v>
      </c>
      <c r="F12" s="11" t="n">
        <f aca="false">ROUND(E12-D12,2)</f>
        <v>0</v>
      </c>
      <c r="G12" s="32" t="n">
        <v>5</v>
      </c>
      <c r="H12" s="42" t="s">
        <v>97</v>
      </c>
      <c r="I12" s="42" t="s">
        <v>857</v>
      </c>
      <c r="J12" s="42" t="s">
        <v>858</v>
      </c>
      <c r="K12" s="33" t="s">
        <v>859</v>
      </c>
    </row>
    <row r="13" customFormat="false" ht="15" hidden="false" customHeight="false" outlineLevel="0" collapsed="false">
      <c r="A13" s="41" t="s">
        <v>852</v>
      </c>
      <c r="B13" s="41" t="s">
        <v>860</v>
      </c>
      <c r="C13" s="30" t="s">
        <v>861</v>
      </c>
      <c r="D13" s="15" t="n">
        <v>494.66</v>
      </c>
      <c r="E13" s="15" t="n">
        <v>494.66</v>
      </c>
      <c r="F13" s="15" t="n">
        <f aca="false">ROUND(E13-D13,2)</f>
        <v>0</v>
      </c>
      <c r="G13" s="29" t="n">
        <v>4</v>
      </c>
      <c r="H13" s="41" t="s">
        <v>97</v>
      </c>
      <c r="I13" s="41" t="s">
        <v>862</v>
      </c>
      <c r="J13" s="41" t="s">
        <v>863</v>
      </c>
      <c r="K13" s="30" t="s">
        <v>864</v>
      </c>
    </row>
    <row r="14" customFormat="false" ht="15" hidden="false" customHeight="false" outlineLevel="0" collapsed="false">
      <c r="A14" s="42" t="s">
        <v>823</v>
      </c>
      <c r="B14" s="42" t="s">
        <v>860</v>
      </c>
      <c r="C14" s="33" t="s">
        <v>861</v>
      </c>
      <c r="D14" s="11" t="n">
        <v>472.53</v>
      </c>
      <c r="E14" s="11" t="n">
        <v>472.53</v>
      </c>
      <c r="F14" s="11" t="n">
        <f aca="false">ROUND(E14-D14,2)</f>
        <v>0</v>
      </c>
      <c r="G14" s="32" t="n">
        <v>2</v>
      </c>
      <c r="H14" s="42" t="s">
        <v>97</v>
      </c>
      <c r="I14" s="42" t="s">
        <v>862</v>
      </c>
      <c r="J14" s="42" t="s">
        <v>865</v>
      </c>
      <c r="K14" s="33" t="s">
        <v>866</v>
      </c>
    </row>
    <row r="15" customFormat="false" ht="22.35" hidden="false" customHeight="false" outlineLevel="0" collapsed="false">
      <c r="A15" s="41" t="s">
        <v>823</v>
      </c>
      <c r="B15" s="41" t="s">
        <v>867</v>
      </c>
      <c r="C15" s="30" t="s">
        <v>868</v>
      </c>
      <c r="D15" s="15" t="n">
        <v>454.55</v>
      </c>
      <c r="E15" s="15" t="n">
        <v>454.55</v>
      </c>
      <c r="F15" s="15" t="n">
        <f aca="false">ROUND(E15-D15,2)</f>
        <v>0</v>
      </c>
      <c r="G15" s="29" t="n">
        <v>6</v>
      </c>
      <c r="H15" s="41" t="s">
        <v>97</v>
      </c>
      <c r="I15" s="41" t="s">
        <v>869</v>
      </c>
      <c r="J15" s="41" t="s">
        <v>870</v>
      </c>
      <c r="K15" s="30" t="s">
        <v>871</v>
      </c>
    </row>
    <row r="16" customFormat="false" ht="15" hidden="false" customHeight="false" outlineLevel="0" collapsed="false">
      <c r="A16" s="42" t="s">
        <v>823</v>
      </c>
      <c r="B16" s="42" t="s">
        <v>872</v>
      </c>
      <c r="C16" s="33" t="s">
        <v>873</v>
      </c>
      <c r="D16" s="11" t="n">
        <v>407.24</v>
      </c>
      <c r="E16" s="11" t="n">
        <v>407.24</v>
      </c>
      <c r="F16" s="11" t="n">
        <f aca="false">ROUND(E16-D16,2)</f>
        <v>0</v>
      </c>
      <c r="G16" s="32" t="n">
        <v>4</v>
      </c>
      <c r="H16" s="42" t="s">
        <v>97</v>
      </c>
      <c r="I16" s="42" t="s">
        <v>874</v>
      </c>
      <c r="J16" s="42" t="s">
        <v>875</v>
      </c>
      <c r="K16" s="33" t="s">
        <v>876</v>
      </c>
    </row>
    <row r="17" customFormat="false" ht="15" hidden="false" customHeight="false" outlineLevel="0" collapsed="false">
      <c r="A17" s="41" t="s">
        <v>877</v>
      </c>
      <c r="B17" s="41" t="s">
        <v>878</v>
      </c>
      <c r="C17" s="30" t="s">
        <v>879</v>
      </c>
      <c r="D17" s="15" t="n">
        <v>396.37</v>
      </c>
      <c r="E17" s="15" t="n">
        <v>396.37</v>
      </c>
      <c r="F17" s="15" t="n">
        <f aca="false">ROUND(E17-D17,2)</f>
        <v>0</v>
      </c>
      <c r="G17" s="29" t="n">
        <v>4</v>
      </c>
      <c r="H17" s="41" t="s">
        <v>97</v>
      </c>
      <c r="I17" s="41" t="s">
        <v>880</v>
      </c>
      <c r="J17" s="41" t="s">
        <v>881</v>
      </c>
      <c r="K17" s="30" t="s">
        <v>882</v>
      </c>
    </row>
    <row r="18" customFormat="false" ht="15" hidden="false" customHeight="false" outlineLevel="0" collapsed="false">
      <c r="A18" s="42" t="s">
        <v>829</v>
      </c>
      <c r="B18" s="42" t="s">
        <v>872</v>
      </c>
      <c r="C18" s="33" t="s">
        <v>873</v>
      </c>
      <c r="D18" s="11" t="n">
        <v>350.85</v>
      </c>
      <c r="E18" s="11" t="n">
        <v>350.85</v>
      </c>
      <c r="F18" s="11" t="n">
        <f aca="false">ROUND(E18-D18,2)</f>
        <v>0</v>
      </c>
      <c r="G18" s="32" t="n">
        <v>6</v>
      </c>
      <c r="H18" s="42" t="s">
        <v>97</v>
      </c>
      <c r="I18" s="42" t="s">
        <v>874</v>
      </c>
      <c r="J18" s="42" t="s">
        <v>883</v>
      </c>
      <c r="K18" s="33" t="s">
        <v>884</v>
      </c>
    </row>
    <row r="19" customFormat="false" ht="15" hidden="false" customHeight="false" outlineLevel="0" collapsed="false">
      <c r="A19" s="41" t="s">
        <v>852</v>
      </c>
      <c r="B19" s="41" t="s">
        <v>885</v>
      </c>
      <c r="C19" s="30" t="s">
        <v>886</v>
      </c>
      <c r="D19" s="15" t="n">
        <v>342.72</v>
      </c>
      <c r="E19" s="15" t="n">
        <v>342.72</v>
      </c>
      <c r="F19" s="15" t="n">
        <f aca="false">ROUND(E19-D19,2)</f>
        <v>0</v>
      </c>
      <c r="G19" s="29" t="n">
        <v>4</v>
      </c>
      <c r="H19" s="41" t="s">
        <v>97</v>
      </c>
      <c r="I19" s="41" t="s">
        <v>887</v>
      </c>
      <c r="J19" s="41" t="s">
        <v>888</v>
      </c>
      <c r="K19" s="30" t="s">
        <v>889</v>
      </c>
    </row>
    <row r="20" customFormat="false" ht="15" hidden="false" customHeight="false" outlineLevel="0" collapsed="false">
      <c r="A20" s="42" t="s">
        <v>823</v>
      </c>
      <c r="B20" s="42" t="s">
        <v>890</v>
      </c>
      <c r="C20" s="33" t="s">
        <v>891</v>
      </c>
      <c r="D20" s="11" t="n">
        <v>327.38</v>
      </c>
      <c r="E20" s="11" t="n">
        <v>327.38</v>
      </c>
      <c r="F20" s="11" t="n">
        <f aca="false">ROUND(E20-D20,2)</f>
        <v>0</v>
      </c>
      <c r="G20" s="32" t="n">
        <v>4</v>
      </c>
      <c r="H20" s="42" t="s">
        <v>97</v>
      </c>
      <c r="I20" s="42" t="s">
        <v>892</v>
      </c>
      <c r="J20" s="42" t="s">
        <v>893</v>
      </c>
      <c r="K20" s="33" t="s">
        <v>894</v>
      </c>
    </row>
    <row r="21" customFormat="false" ht="22.35" hidden="false" customHeight="false" outlineLevel="0" collapsed="false">
      <c r="A21" s="41" t="s">
        <v>852</v>
      </c>
      <c r="B21" s="41" t="s">
        <v>867</v>
      </c>
      <c r="C21" s="30" t="s">
        <v>868</v>
      </c>
      <c r="D21" s="15" t="n">
        <v>322.2</v>
      </c>
      <c r="E21" s="15" t="n">
        <v>322.2</v>
      </c>
      <c r="F21" s="15" t="n">
        <f aca="false">ROUND(E21-D21,2)</f>
        <v>0</v>
      </c>
      <c r="G21" s="29" t="n">
        <v>4</v>
      </c>
      <c r="H21" s="41" t="s">
        <v>97</v>
      </c>
      <c r="I21" s="41" t="s">
        <v>869</v>
      </c>
      <c r="J21" s="41" t="s">
        <v>895</v>
      </c>
      <c r="K21" s="30" t="s">
        <v>896</v>
      </c>
    </row>
    <row r="22" customFormat="false" ht="22.35" hidden="false" customHeight="false" outlineLevel="0" collapsed="false">
      <c r="A22" s="42" t="s">
        <v>823</v>
      </c>
      <c r="B22" s="42" t="s">
        <v>897</v>
      </c>
      <c r="C22" s="33" t="s">
        <v>898</v>
      </c>
      <c r="D22" s="11" t="n">
        <v>310.56</v>
      </c>
      <c r="E22" s="11" t="n">
        <v>310.56</v>
      </c>
      <c r="F22" s="11" t="n">
        <f aca="false">ROUND(E22-D22,2)</f>
        <v>0</v>
      </c>
      <c r="G22" s="32" t="n">
        <v>8</v>
      </c>
      <c r="H22" s="42" t="s">
        <v>97</v>
      </c>
      <c r="I22" s="42" t="s">
        <v>899</v>
      </c>
      <c r="J22" s="42" t="s">
        <v>900</v>
      </c>
      <c r="K22" s="33" t="s">
        <v>901</v>
      </c>
    </row>
    <row r="23" customFormat="false" ht="15" hidden="false" customHeight="false" outlineLevel="0" collapsed="false">
      <c r="A23" s="41" t="s">
        <v>852</v>
      </c>
      <c r="B23" s="41" t="s">
        <v>902</v>
      </c>
      <c r="C23" s="30" t="s">
        <v>903</v>
      </c>
      <c r="D23" s="15" t="n">
        <v>258.21</v>
      </c>
      <c r="E23" s="15" t="n">
        <v>258.21</v>
      </c>
      <c r="F23" s="15" t="n">
        <f aca="false">ROUND(E23-D23,2)</f>
        <v>0</v>
      </c>
      <c r="G23" s="29" t="n">
        <v>4</v>
      </c>
      <c r="H23" s="41" t="s">
        <v>97</v>
      </c>
      <c r="I23" s="41" t="s">
        <v>904</v>
      </c>
      <c r="J23" s="41" t="s">
        <v>905</v>
      </c>
      <c r="K23" s="30" t="s">
        <v>906</v>
      </c>
    </row>
    <row r="24" customFormat="false" ht="15" hidden="false" customHeight="false" outlineLevel="0" collapsed="false">
      <c r="A24" s="42" t="s">
        <v>823</v>
      </c>
      <c r="B24" s="42" t="s">
        <v>907</v>
      </c>
      <c r="C24" s="33" t="s">
        <v>908</v>
      </c>
      <c r="D24" s="11" t="n">
        <v>233.93</v>
      </c>
      <c r="E24" s="11" t="n">
        <v>233.93</v>
      </c>
      <c r="F24" s="11" t="n">
        <f aca="false">ROUND(E24-D24,2)</f>
        <v>0</v>
      </c>
      <c r="G24" s="32" t="n">
        <v>4</v>
      </c>
      <c r="H24" s="42" t="s">
        <v>97</v>
      </c>
      <c r="I24" s="42" t="s">
        <v>909</v>
      </c>
      <c r="J24" s="42" t="s">
        <v>910</v>
      </c>
      <c r="K24" s="33" t="s">
        <v>911</v>
      </c>
    </row>
    <row r="25" customFormat="false" ht="15" hidden="false" customHeight="false" outlineLevel="0" collapsed="false">
      <c r="A25" s="41" t="s">
        <v>877</v>
      </c>
      <c r="B25" s="41" t="s">
        <v>912</v>
      </c>
      <c r="C25" s="30" t="s">
        <v>913</v>
      </c>
      <c r="D25" s="15" t="n">
        <v>231.39</v>
      </c>
      <c r="E25" s="15" t="n">
        <v>231.39</v>
      </c>
      <c r="F25" s="15" t="n">
        <f aca="false">ROUND(E25-D25,2)</f>
        <v>0</v>
      </c>
      <c r="G25" s="29" t="n">
        <v>2</v>
      </c>
      <c r="H25" s="41" t="s">
        <v>97</v>
      </c>
      <c r="I25" s="41" t="s">
        <v>914</v>
      </c>
      <c r="J25" s="41" t="s">
        <v>915</v>
      </c>
      <c r="K25" s="30" t="s">
        <v>916</v>
      </c>
    </row>
    <row r="26" customFormat="false" ht="15" hidden="false" customHeight="false" outlineLevel="0" collapsed="false">
      <c r="A26" s="42" t="s">
        <v>829</v>
      </c>
      <c r="B26" s="42" t="s">
        <v>912</v>
      </c>
      <c r="C26" s="33" t="s">
        <v>913</v>
      </c>
      <c r="D26" s="11" t="n">
        <v>211.01</v>
      </c>
      <c r="E26" s="11" t="n">
        <v>211.01</v>
      </c>
      <c r="F26" s="11" t="n">
        <f aca="false">ROUND(E26-D26,2)</f>
        <v>0</v>
      </c>
      <c r="G26" s="32" t="n">
        <v>3</v>
      </c>
      <c r="H26" s="42" t="s">
        <v>97</v>
      </c>
      <c r="I26" s="42" t="s">
        <v>914</v>
      </c>
      <c r="J26" s="42" t="s">
        <v>917</v>
      </c>
      <c r="K26" s="33" t="s">
        <v>918</v>
      </c>
    </row>
    <row r="27" customFormat="false" ht="15" hidden="false" customHeight="false" outlineLevel="0" collapsed="false">
      <c r="A27" s="41" t="s">
        <v>919</v>
      </c>
      <c r="B27" s="41" t="s">
        <v>907</v>
      </c>
      <c r="C27" s="30" t="s">
        <v>908</v>
      </c>
      <c r="D27" s="15" t="n">
        <v>208.13</v>
      </c>
      <c r="E27" s="15" t="n">
        <v>208.13</v>
      </c>
      <c r="F27" s="15" t="n">
        <f aca="false">ROUND(E27-D27,2)</f>
        <v>0</v>
      </c>
      <c r="G27" s="29" t="n">
        <v>2</v>
      </c>
      <c r="H27" s="41" t="s">
        <v>97</v>
      </c>
      <c r="I27" s="41" t="s">
        <v>909</v>
      </c>
      <c r="J27" s="41" t="s">
        <v>920</v>
      </c>
      <c r="K27" s="30" t="s">
        <v>921</v>
      </c>
    </row>
    <row r="28" customFormat="false" ht="22.35" hidden="false" customHeight="false" outlineLevel="0" collapsed="false">
      <c r="A28" s="42" t="s">
        <v>919</v>
      </c>
      <c r="B28" s="42" t="s">
        <v>922</v>
      </c>
      <c r="C28" s="33" t="s">
        <v>923</v>
      </c>
      <c r="D28" s="11" t="n">
        <v>204.19</v>
      </c>
      <c r="E28" s="11" t="n">
        <v>204.19</v>
      </c>
      <c r="F28" s="11" t="n">
        <f aca="false">ROUND(E28-D28,2)</f>
        <v>0</v>
      </c>
      <c r="G28" s="32" t="n">
        <v>4</v>
      </c>
      <c r="H28" s="42" t="s">
        <v>97</v>
      </c>
      <c r="I28" s="42" t="s">
        <v>924</v>
      </c>
      <c r="J28" s="42" t="s">
        <v>925</v>
      </c>
      <c r="K28" s="33" t="s">
        <v>926</v>
      </c>
    </row>
    <row r="29" customFormat="false" ht="15" hidden="false" customHeight="false" outlineLevel="0" collapsed="false">
      <c r="A29" s="41" t="s">
        <v>919</v>
      </c>
      <c r="B29" s="41" t="s">
        <v>927</v>
      </c>
      <c r="C29" s="30" t="s">
        <v>928</v>
      </c>
      <c r="D29" s="15" t="n">
        <v>202.18</v>
      </c>
      <c r="E29" s="15" t="n">
        <v>202.18</v>
      </c>
      <c r="F29" s="15" t="n">
        <f aca="false">ROUND(E29-D29,2)</f>
        <v>0</v>
      </c>
      <c r="G29" s="29" t="n">
        <v>2</v>
      </c>
      <c r="H29" s="41" t="s">
        <v>97</v>
      </c>
      <c r="I29" s="41" t="s">
        <v>929</v>
      </c>
      <c r="J29" s="41" t="s">
        <v>930</v>
      </c>
      <c r="K29" s="30" t="s">
        <v>931</v>
      </c>
    </row>
    <row r="30" customFormat="false" ht="15" hidden="false" customHeight="false" outlineLevel="0" collapsed="false">
      <c r="A30" s="42" t="s">
        <v>823</v>
      </c>
      <c r="B30" s="42" t="s">
        <v>932</v>
      </c>
      <c r="C30" s="33" t="s">
        <v>933</v>
      </c>
      <c r="D30" s="11" t="n">
        <v>202.14</v>
      </c>
      <c r="E30" s="11" t="n">
        <v>202.14</v>
      </c>
      <c r="F30" s="11" t="n">
        <f aca="false">ROUND(E30-D30,2)</f>
        <v>0</v>
      </c>
      <c r="G30" s="32" t="n">
        <v>4</v>
      </c>
      <c r="H30" s="42" t="s">
        <v>97</v>
      </c>
      <c r="I30" s="42" t="s">
        <v>934</v>
      </c>
      <c r="J30" s="42" t="s">
        <v>935</v>
      </c>
      <c r="K30" s="33" t="s">
        <v>936</v>
      </c>
    </row>
    <row r="31" customFormat="false" ht="22.35" hidden="false" customHeight="false" outlineLevel="0" collapsed="false">
      <c r="A31" s="41" t="s">
        <v>877</v>
      </c>
      <c r="B31" s="41" t="s">
        <v>867</v>
      </c>
      <c r="C31" s="30" t="s">
        <v>868</v>
      </c>
      <c r="D31" s="15" t="n">
        <v>195.19</v>
      </c>
      <c r="E31" s="15" t="n">
        <v>195.19</v>
      </c>
      <c r="F31" s="15" t="n">
        <f aca="false">ROUND(E31-D31,2)</f>
        <v>0</v>
      </c>
      <c r="G31" s="29" t="n">
        <v>2</v>
      </c>
      <c r="H31" s="41" t="s">
        <v>97</v>
      </c>
      <c r="I31" s="41" t="s">
        <v>869</v>
      </c>
      <c r="J31" s="41" t="s">
        <v>937</v>
      </c>
      <c r="K31" s="30" t="s">
        <v>938</v>
      </c>
    </row>
    <row r="32" customFormat="false" ht="15" hidden="false" customHeight="false" outlineLevel="0" collapsed="false">
      <c r="A32" s="42" t="s">
        <v>829</v>
      </c>
      <c r="B32" s="42" t="s">
        <v>939</v>
      </c>
      <c r="C32" s="33" t="s">
        <v>940</v>
      </c>
      <c r="D32" s="11" t="n">
        <v>192.38</v>
      </c>
      <c r="E32" s="11" t="n">
        <v>192.38</v>
      </c>
      <c r="F32" s="11" t="n">
        <f aca="false">ROUND(E32-D32,2)</f>
        <v>0</v>
      </c>
      <c r="G32" s="32" t="n">
        <v>6</v>
      </c>
      <c r="H32" s="42" t="s">
        <v>97</v>
      </c>
      <c r="I32" s="42" t="s">
        <v>941</v>
      </c>
      <c r="J32" s="42" t="s">
        <v>942</v>
      </c>
      <c r="K32" s="33" t="s">
        <v>943</v>
      </c>
    </row>
    <row r="33" customFormat="false" ht="15" hidden="false" customHeight="false" outlineLevel="0" collapsed="false">
      <c r="A33" s="41" t="s">
        <v>829</v>
      </c>
      <c r="B33" s="41" t="s">
        <v>944</v>
      </c>
      <c r="C33" s="30" t="s">
        <v>945</v>
      </c>
      <c r="D33" s="15" t="n">
        <v>184.4</v>
      </c>
      <c r="E33" s="15" t="n">
        <v>184.4</v>
      </c>
      <c r="F33" s="15" t="n">
        <f aca="false">ROUND(E33-D33,2)</f>
        <v>0</v>
      </c>
      <c r="G33" s="29" t="n">
        <v>4</v>
      </c>
      <c r="H33" s="41" t="s">
        <v>97</v>
      </c>
      <c r="I33" s="41" t="s">
        <v>946</v>
      </c>
      <c r="J33" s="41" t="s">
        <v>947</v>
      </c>
      <c r="K33" s="30" t="s">
        <v>948</v>
      </c>
    </row>
    <row r="34" customFormat="false" ht="15" hidden="false" customHeight="false" outlineLevel="0" collapsed="false">
      <c r="A34" s="42" t="s">
        <v>823</v>
      </c>
      <c r="B34" s="42" t="s">
        <v>949</v>
      </c>
      <c r="C34" s="33" t="s">
        <v>950</v>
      </c>
      <c r="D34" s="11" t="n">
        <v>162.69</v>
      </c>
      <c r="E34" s="11" t="n">
        <v>162.69</v>
      </c>
      <c r="F34" s="11" t="n">
        <f aca="false">ROUND(E34-D34,2)</f>
        <v>0</v>
      </c>
      <c r="G34" s="32" t="n">
        <v>4</v>
      </c>
      <c r="H34" s="42" t="s">
        <v>97</v>
      </c>
      <c r="I34" s="42" t="s">
        <v>951</v>
      </c>
      <c r="J34" s="42" t="s">
        <v>952</v>
      </c>
      <c r="K34" s="33" t="s">
        <v>953</v>
      </c>
    </row>
    <row r="35" customFormat="false" ht="15" hidden="false" customHeight="false" outlineLevel="0" collapsed="false">
      <c r="A35" s="41" t="s">
        <v>829</v>
      </c>
      <c r="B35" s="41" t="s">
        <v>954</v>
      </c>
      <c r="C35" s="30" t="s">
        <v>955</v>
      </c>
      <c r="D35" s="15" t="n">
        <v>162.4</v>
      </c>
      <c r="E35" s="15" t="n">
        <v>162.4</v>
      </c>
      <c r="F35" s="15" t="n">
        <f aca="false">ROUND(E35-D35,2)</f>
        <v>0</v>
      </c>
      <c r="G35" s="29" t="n">
        <v>4</v>
      </c>
      <c r="H35" s="41" t="s">
        <v>97</v>
      </c>
      <c r="I35" s="41" t="s">
        <v>956</v>
      </c>
      <c r="J35" s="41" t="s">
        <v>957</v>
      </c>
      <c r="K35" s="30" t="s">
        <v>958</v>
      </c>
    </row>
    <row r="36" customFormat="false" ht="15" hidden="false" customHeight="false" outlineLevel="0" collapsed="false">
      <c r="A36" s="42" t="s">
        <v>823</v>
      </c>
      <c r="B36" s="42" t="s">
        <v>959</v>
      </c>
      <c r="C36" s="33" t="s">
        <v>960</v>
      </c>
      <c r="D36" s="11" t="n">
        <v>157.85</v>
      </c>
      <c r="E36" s="11" t="n">
        <v>157.85</v>
      </c>
      <c r="F36" s="11" t="n">
        <f aca="false">ROUND(E36-D36,2)</f>
        <v>0</v>
      </c>
      <c r="G36" s="32" t="n">
        <v>2</v>
      </c>
      <c r="H36" s="42" t="s">
        <v>97</v>
      </c>
      <c r="I36" s="42" t="s">
        <v>961</v>
      </c>
      <c r="J36" s="42" t="s">
        <v>962</v>
      </c>
      <c r="K36" s="33" t="s">
        <v>963</v>
      </c>
    </row>
    <row r="37" customFormat="false" ht="15" hidden="false" customHeight="false" outlineLevel="0" collapsed="false">
      <c r="A37" s="41" t="s">
        <v>823</v>
      </c>
      <c r="B37" s="41" t="s">
        <v>878</v>
      </c>
      <c r="C37" s="30" t="s">
        <v>879</v>
      </c>
      <c r="D37" s="15" t="n">
        <v>147.19</v>
      </c>
      <c r="E37" s="15" t="n">
        <v>147.19</v>
      </c>
      <c r="F37" s="15" t="n">
        <f aca="false">ROUND(E37-D37,2)</f>
        <v>0</v>
      </c>
      <c r="G37" s="29" t="n">
        <v>6</v>
      </c>
      <c r="H37" s="41" t="s">
        <v>97</v>
      </c>
      <c r="I37" s="41" t="s">
        <v>880</v>
      </c>
      <c r="J37" s="41" t="s">
        <v>964</v>
      </c>
      <c r="K37" s="30" t="s">
        <v>965</v>
      </c>
    </row>
    <row r="38" customFormat="false" ht="15" hidden="false" customHeight="false" outlineLevel="0" collapsed="false">
      <c r="A38" s="42" t="s">
        <v>877</v>
      </c>
      <c r="B38" s="42" t="s">
        <v>966</v>
      </c>
      <c r="C38" s="33" t="s">
        <v>967</v>
      </c>
      <c r="D38" s="11" t="n">
        <v>145.21</v>
      </c>
      <c r="E38" s="11" t="n">
        <v>145.21</v>
      </c>
      <c r="F38" s="11" t="n">
        <f aca="false">ROUND(E38-D38,2)</f>
        <v>0</v>
      </c>
      <c r="G38" s="32" t="n">
        <v>4</v>
      </c>
      <c r="H38" s="42" t="s">
        <v>97</v>
      </c>
      <c r="I38" s="42" t="s">
        <v>968</v>
      </c>
      <c r="J38" s="42" t="s">
        <v>969</v>
      </c>
      <c r="K38" s="33" t="s">
        <v>970</v>
      </c>
    </row>
    <row r="39" customFormat="false" ht="15" hidden="false" customHeight="false" outlineLevel="0" collapsed="false">
      <c r="A39" s="41" t="s">
        <v>852</v>
      </c>
      <c r="B39" s="41" t="s">
        <v>912</v>
      </c>
      <c r="C39" s="30" t="s">
        <v>913</v>
      </c>
      <c r="D39" s="15" t="n">
        <v>137.97</v>
      </c>
      <c r="E39" s="15" t="n">
        <v>137.97</v>
      </c>
      <c r="F39" s="15" t="n">
        <f aca="false">ROUND(E39-D39,2)</f>
        <v>0</v>
      </c>
      <c r="G39" s="29" t="n">
        <v>2</v>
      </c>
      <c r="H39" s="41" t="s">
        <v>97</v>
      </c>
      <c r="I39" s="41" t="s">
        <v>914</v>
      </c>
      <c r="J39" s="41" t="s">
        <v>971</v>
      </c>
      <c r="K39" s="30" t="s">
        <v>972</v>
      </c>
    </row>
    <row r="40" customFormat="false" ht="15" hidden="false" customHeight="false" outlineLevel="0" collapsed="false">
      <c r="A40" s="42" t="s">
        <v>877</v>
      </c>
      <c r="B40" s="42" t="s">
        <v>973</v>
      </c>
      <c r="C40" s="33" t="s">
        <v>974</v>
      </c>
      <c r="D40" s="11" t="n">
        <v>136.97</v>
      </c>
      <c r="E40" s="11" t="n">
        <v>136.97</v>
      </c>
      <c r="F40" s="11" t="n">
        <f aca="false">ROUND(E40-D40,2)</f>
        <v>0</v>
      </c>
      <c r="G40" s="32" t="n">
        <v>4</v>
      </c>
      <c r="H40" s="42" t="s">
        <v>97</v>
      </c>
      <c r="I40" s="42" t="s">
        <v>975</v>
      </c>
      <c r="J40" s="42" t="s">
        <v>976</v>
      </c>
      <c r="K40" s="33" t="s">
        <v>977</v>
      </c>
    </row>
    <row r="41" customFormat="false" ht="15" hidden="false" customHeight="false" outlineLevel="0" collapsed="false">
      <c r="A41" s="41" t="s">
        <v>823</v>
      </c>
      <c r="B41" s="41" t="s">
        <v>978</v>
      </c>
      <c r="C41" s="30" t="s">
        <v>979</v>
      </c>
      <c r="D41" s="15" t="n">
        <v>136.4</v>
      </c>
      <c r="E41" s="15" t="n">
        <v>136.4</v>
      </c>
      <c r="F41" s="15" t="n">
        <f aca="false">ROUND(E41-D41,2)</f>
        <v>0</v>
      </c>
      <c r="G41" s="29" t="n">
        <v>6</v>
      </c>
      <c r="H41" s="41" t="s">
        <v>97</v>
      </c>
      <c r="I41" s="41" t="s">
        <v>980</v>
      </c>
      <c r="J41" s="41" t="s">
        <v>981</v>
      </c>
      <c r="K41" s="30" t="s">
        <v>982</v>
      </c>
    </row>
    <row r="42" customFormat="false" ht="15" hidden="false" customHeight="false" outlineLevel="0" collapsed="false">
      <c r="A42" s="42" t="s">
        <v>919</v>
      </c>
      <c r="B42" s="42" t="s">
        <v>983</v>
      </c>
      <c r="C42" s="33" t="s">
        <v>984</v>
      </c>
      <c r="D42" s="11" t="n">
        <v>135.94</v>
      </c>
      <c r="E42" s="11" t="n">
        <v>135.94</v>
      </c>
      <c r="F42" s="11" t="n">
        <f aca="false">ROUND(E42-D42,2)</f>
        <v>0</v>
      </c>
      <c r="G42" s="32" t="n">
        <v>3</v>
      </c>
      <c r="H42" s="42" t="s">
        <v>97</v>
      </c>
      <c r="I42" s="42" t="s">
        <v>985</v>
      </c>
      <c r="J42" s="42" t="s">
        <v>986</v>
      </c>
      <c r="K42" s="33" t="s">
        <v>987</v>
      </c>
    </row>
    <row r="43" customFormat="false" ht="22.35" hidden="false" customHeight="false" outlineLevel="0" collapsed="false">
      <c r="A43" s="41" t="s">
        <v>829</v>
      </c>
      <c r="B43" s="41" t="s">
        <v>988</v>
      </c>
      <c r="C43" s="30" t="s">
        <v>989</v>
      </c>
      <c r="D43" s="15" t="n">
        <v>134.88</v>
      </c>
      <c r="E43" s="15" t="n">
        <v>134.88</v>
      </c>
      <c r="F43" s="15" t="n">
        <f aca="false">ROUND(E43-D43,2)</f>
        <v>0</v>
      </c>
      <c r="G43" s="29" t="n">
        <v>6</v>
      </c>
      <c r="H43" s="41" t="s">
        <v>97</v>
      </c>
      <c r="I43" s="41" t="s">
        <v>990</v>
      </c>
      <c r="J43" s="41" t="s">
        <v>991</v>
      </c>
      <c r="K43" s="30" t="s">
        <v>992</v>
      </c>
    </row>
    <row r="44" customFormat="false" ht="22.35" hidden="false" customHeight="false" outlineLevel="0" collapsed="false">
      <c r="A44" s="42" t="s">
        <v>823</v>
      </c>
      <c r="B44" s="42" t="s">
        <v>993</v>
      </c>
      <c r="C44" s="33" t="s">
        <v>994</v>
      </c>
      <c r="D44" s="11" t="n">
        <v>134.57</v>
      </c>
      <c r="E44" s="11" t="n">
        <v>134.57</v>
      </c>
      <c r="F44" s="11" t="n">
        <f aca="false">ROUND(E44-D44,2)</f>
        <v>0</v>
      </c>
      <c r="G44" s="32" t="n">
        <v>8</v>
      </c>
      <c r="H44" s="42" t="s">
        <v>97</v>
      </c>
      <c r="I44" s="42" t="s">
        <v>995</v>
      </c>
      <c r="J44" s="42" t="s">
        <v>996</v>
      </c>
      <c r="K44" s="33" t="s">
        <v>997</v>
      </c>
    </row>
    <row r="45" customFormat="false" ht="22.35" hidden="false" customHeight="false" outlineLevel="0" collapsed="false">
      <c r="A45" s="41" t="s">
        <v>877</v>
      </c>
      <c r="B45" s="41" t="s">
        <v>998</v>
      </c>
      <c r="C45" s="30" t="s">
        <v>999</v>
      </c>
      <c r="D45" s="15" t="n">
        <v>133.05</v>
      </c>
      <c r="E45" s="15" t="n">
        <v>133.05</v>
      </c>
      <c r="F45" s="15" t="n">
        <f aca="false">ROUND(E45-D45,2)</f>
        <v>0</v>
      </c>
      <c r="G45" s="29" t="n">
        <v>4</v>
      </c>
      <c r="H45" s="41" t="s">
        <v>97</v>
      </c>
      <c r="I45" s="41" t="s">
        <v>1000</v>
      </c>
      <c r="J45" s="41" t="s">
        <v>1001</v>
      </c>
      <c r="K45" s="30" t="s">
        <v>1002</v>
      </c>
    </row>
    <row r="46" customFormat="false" ht="15" hidden="false" customHeight="false" outlineLevel="0" collapsed="false">
      <c r="A46" s="42" t="s">
        <v>877</v>
      </c>
      <c r="B46" s="42" t="s">
        <v>1003</v>
      </c>
      <c r="C46" s="33" t="s">
        <v>1004</v>
      </c>
      <c r="D46" s="11" t="n">
        <v>132.76</v>
      </c>
      <c r="E46" s="11" t="n">
        <v>132.76</v>
      </c>
      <c r="F46" s="11" t="n">
        <f aca="false">ROUND(E46-D46,2)</f>
        <v>0</v>
      </c>
      <c r="G46" s="32" t="n">
        <v>4</v>
      </c>
      <c r="H46" s="42" t="s">
        <v>97</v>
      </c>
      <c r="I46" s="42" t="s">
        <v>1005</v>
      </c>
      <c r="J46" s="42" t="s">
        <v>1006</v>
      </c>
      <c r="K46" s="33" t="s">
        <v>1007</v>
      </c>
    </row>
    <row r="47" customFormat="false" ht="15" hidden="false" customHeight="false" outlineLevel="0" collapsed="false">
      <c r="A47" s="41" t="s">
        <v>823</v>
      </c>
      <c r="B47" s="41" t="s">
        <v>983</v>
      </c>
      <c r="C47" s="30" t="s">
        <v>984</v>
      </c>
      <c r="D47" s="15" t="n">
        <v>126.95</v>
      </c>
      <c r="E47" s="15" t="n">
        <v>126.95</v>
      </c>
      <c r="F47" s="15" t="n">
        <f aca="false">ROUND(E47-D47,2)</f>
        <v>0</v>
      </c>
      <c r="G47" s="29" t="n">
        <v>6</v>
      </c>
      <c r="H47" s="41" t="s">
        <v>97</v>
      </c>
      <c r="I47" s="41" t="s">
        <v>985</v>
      </c>
      <c r="J47" s="41" t="s">
        <v>1008</v>
      </c>
      <c r="K47" s="30" t="s">
        <v>1009</v>
      </c>
    </row>
    <row r="48" customFormat="false" ht="15" hidden="false" customHeight="false" outlineLevel="0" collapsed="false">
      <c r="A48" s="42" t="s">
        <v>823</v>
      </c>
      <c r="B48" s="42" t="s">
        <v>973</v>
      </c>
      <c r="C48" s="33" t="s">
        <v>974</v>
      </c>
      <c r="D48" s="11" t="n">
        <v>126.8</v>
      </c>
      <c r="E48" s="11" t="n">
        <v>126.8</v>
      </c>
      <c r="F48" s="11" t="n">
        <f aca="false">ROUND(E48-D48,2)</f>
        <v>0</v>
      </c>
      <c r="G48" s="32" t="n">
        <v>2</v>
      </c>
      <c r="H48" s="42" t="s">
        <v>97</v>
      </c>
      <c r="I48" s="42" t="s">
        <v>975</v>
      </c>
      <c r="J48" s="42" t="s">
        <v>1010</v>
      </c>
      <c r="K48" s="33" t="s">
        <v>1011</v>
      </c>
    </row>
    <row r="49" customFormat="false" ht="15" hidden="false" customHeight="false" outlineLevel="0" collapsed="false">
      <c r="A49" s="41" t="s">
        <v>823</v>
      </c>
      <c r="B49" s="41" t="s">
        <v>1012</v>
      </c>
      <c r="C49" s="30" t="s">
        <v>1013</v>
      </c>
      <c r="D49" s="15" t="n">
        <v>126.49</v>
      </c>
      <c r="E49" s="15" t="n">
        <v>126.49</v>
      </c>
      <c r="F49" s="15" t="n">
        <f aca="false">ROUND(E49-D49,2)</f>
        <v>0</v>
      </c>
      <c r="G49" s="29" t="n">
        <v>4</v>
      </c>
      <c r="H49" s="41" t="s">
        <v>97</v>
      </c>
      <c r="I49" s="41" t="s">
        <v>1014</v>
      </c>
      <c r="J49" s="41" t="s">
        <v>1015</v>
      </c>
      <c r="K49" s="30" t="s">
        <v>1016</v>
      </c>
    </row>
    <row r="50" customFormat="false" ht="15" hidden="false" customHeight="false" outlineLevel="0" collapsed="false">
      <c r="A50" s="42" t="s">
        <v>852</v>
      </c>
      <c r="B50" s="42" t="s">
        <v>1017</v>
      </c>
      <c r="C50" s="33" t="s">
        <v>1018</v>
      </c>
      <c r="D50" s="11" t="n">
        <v>125.56</v>
      </c>
      <c r="E50" s="11" t="n">
        <v>125.56</v>
      </c>
      <c r="F50" s="11" t="n">
        <f aca="false">ROUND(E50-D50,2)</f>
        <v>0</v>
      </c>
      <c r="G50" s="32" t="n">
        <v>6</v>
      </c>
      <c r="H50" s="42" t="s">
        <v>97</v>
      </c>
      <c r="I50" s="42" t="s">
        <v>1019</v>
      </c>
      <c r="J50" s="42" t="s">
        <v>1020</v>
      </c>
      <c r="K50" s="33" t="s">
        <v>1021</v>
      </c>
    </row>
    <row r="51" customFormat="false" ht="15" hidden="false" customHeight="false" outlineLevel="0" collapsed="false">
      <c r="A51" s="41" t="s">
        <v>823</v>
      </c>
      <c r="B51" s="41" t="s">
        <v>1003</v>
      </c>
      <c r="C51" s="30" t="s">
        <v>1022</v>
      </c>
      <c r="D51" s="15" t="n">
        <v>124.9</v>
      </c>
      <c r="E51" s="15" t="n">
        <v>124.9</v>
      </c>
      <c r="F51" s="15" t="n">
        <f aca="false">ROUND(E51-D51,2)</f>
        <v>0</v>
      </c>
      <c r="G51" s="29" t="n">
        <v>2</v>
      </c>
      <c r="H51" s="41" t="s">
        <v>97</v>
      </c>
      <c r="I51" s="41" t="s">
        <v>1005</v>
      </c>
      <c r="J51" s="41" t="s">
        <v>1023</v>
      </c>
      <c r="K51" s="30" t="s">
        <v>1024</v>
      </c>
    </row>
    <row r="52" customFormat="false" ht="22.35" hidden="false" customHeight="false" outlineLevel="0" collapsed="false">
      <c r="A52" s="42" t="s">
        <v>823</v>
      </c>
      <c r="B52" s="42" t="s">
        <v>998</v>
      </c>
      <c r="C52" s="33" t="s">
        <v>999</v>
      </c>
      <c r="D52" s="11" t="n">
        <v>123.97</v>
      </c>
      <c r="E52" s="11" t="n">
        <v>123.97</v>
      </c>
      <c r="F52" s="11" t="n">
        <f aca="false">ROUND(E52-D52,2)</f>
        <v>0</v>
      </c>
      <c r="G52" s="32" t="n">
        <v>2</v>
      </c>
      <c r="H52" s="42" t="s">
        <v>97</v>
      </c>
      <c r="I52" s="42" t="s">
        <v>1000</v>
      </c>
      <c r="J52" s="42" t="s">
        <v>1025</v>
      </c>
      <c r="K52" s="33" t="s">
        <v>1026</v>
      </c>
    </row>
    <row r="53" customFormat="false" ht="22.35" hidden="false" customHeight="false" outlineLevel="0" collapsed="false">
      <c r="A53" s="41" t="s">
        <v>823</v>
      </c>
      <c r="B53" s="41" t="s">
        <v>1027</v>
      </c>
      <c r="C53" s="30" t="s">
        <v>1028</v>
      </c>
      <c r="D53" s="15" t="n">
        <v>122.57</v>
      </c>
      <c r="E53" s="15" t="n">
        <v>122.57</v>
      </c>
      <c r="F53" s="15" t="n">
        <f aca="false">ROUND(E53-D53,2)</f>
        <v>0</v>
      </c>
      <c r="G53" s="29" t="n">
        <v>4</v>
      </c>
      <c r="H53" s="41" t="s">
        <v>97</v>
      </c>
      <c r="I53" s="41" t="s">
        <v>1029</v>
      </c>
      <c r="J53" s="41" t="s">
        <v>1030</v>
      </c>
      <c r="K53" s="30" t="s">
        <v>1031</v>
      </c>
    </row>
    <row r="54" customFormat="false" ht="15" hidden="false" customHeight="false" outlineLevel="0" collapsed="false">
      <c r="A54" s="42" t="s">
        <v>919</v>
      </c>
      <c r="B54" s="42" t="s">
        <v>1032</v>
      </c>
      <c r="C54" s="33" t="s">
        <v>1033</v>
      </c>
      <c r="D54" s="11" t="n">
        <v>121.61</v>
      </c>
      <c r="E54" s="11" t="n">
        <v>121.61</v>
      </c>
      <c r="F54" s="11" t="n">
        <f aca="false">ROUND(E54-D54,2)</f>
        <v>0</v>
      </c>
      <c r="G54" s="32" t="n">
        <v>2</v>
      </c>
      <c r="H54" s="42" t="s">
        <v>97</v>
      </c>
      <c r="I54" s="42" t="s">
        <v>1034</v>
      </c>
      <c r="J54" s="42" t="s">
        <v>1035</v>
      </c>
      <c r="K54" s="33" t="s">
        <v>1036</v>
      </c>
    </row>
    <row r="55" customFormat="false" ht="15" hidden="false" customHeight="false" outlineLevel="0" collapsed="false">
      <c r="A55" s="41" t="s">
        <v>829</v>
      </c>
      <c r="B55" s="41" t="s">
        <v>1037</v>
      </c>
      <c r="C55" s="30" t="s">
        <v>1038</v>
      </c>
      <c r="D55" s="15" t="n">
        <v>119.9</v>
      </c>
      <c r="E55" s="15" t="n">
        <v>119.9</v>
      </c>
      <c r="F55" s="15" t="n">
        <f aca="false">ROUND(E55-D55,2)</f>
        <v>0</v>
      </c>
      <c r="G55" s="29" t="n">
        <v>4</v>
      </c>
      <c r="H55" s="41" t="s">
        <v>97</v>
      </c>
      <c r="I55" s="41" t="s">
        <v>1039</v>
      </c>
      <c r="J55" s="41" t="s">
        <v>1040</v>
      </c>
      <c r="K55" s="30" t="s">
        <v>1041</v>
      </c>
    </row>
    <row r="56" customFormat="false" ht="15" hidden="false" customHeight="false" outlineLevel="0" collapsed="false">
      <c r="A56" s="42" t="s">
        <v>852</v>
      </c>
      <c r="B56" s="42" t="s">
        <v>978</v>
      </c>
      <c r="C56" s="33" t="s">
        <v>979</v>
      </c>
      <c r="D56" s="11" t="n">
        <v>118.6</v>
      </c>
      <c r="E56" s="11" t="n">
        <v>118.6</v>
      </c>
      <c r="F56" s="11" t="n">
        <f aca="false">ROUND(E56-D56,2)</f>
        <v>0</v>
      </c>
      <c r="G56" s="32" t="n">
        <v>4</v>
      </c>
      <c r="H56" s="42" t="s">
        <v>97</v>
      </c>
      <c r="I56" s="42" t="s">
        <v>980</v>
      </c>
      <c r="J56" s="42" t="s">
        <v>1042</v>
      </c>
      <c r="K56" s="33" t="s">
        <v>1043</v>
      </c>
    </row>
    <row r="57" customFormat="false" ht="15" hidden="false" customHeight="false" outlineLevel="0" collapsed="false">
      <c r="A57" s="41" t="s">
        <v>877</v>
      </c>
      <c r="B57" s="41" t="s">
        <v>1044</v>
      </c>
      <c r="C57" s="30" t="s">
        <v>1045</v>
      </c>
      <c r="D57" s="15" t="n">
        <v>118.29</v>
      </c>
      <c r="E57" s="15" t="n">
        <v>118.29</v>
      </c>
      <c r="F57" s="15" t="n">
        <f aca="false">ROUND(E57-D57,2)</f>
        <v>0</v>
      </c>
      <c r="G57" s="29" t="n">
        <v>4</v>
      </c>
      <c r="H57" s="41" t="s">
        <v>97</v>
      </c>
      <c r="I57" s="41" t="s">
        <v>1046</v>
      </c>
      <c r="J57" s="41" t="s">
        <v>1047</v>
      </c>
      <c r="K57" s="30" t="s">
        <v>1048</v>
      </c>
    </row>
    <row r="58" customFormat="false" ht="15" hidden="false" customHeight="false" outlineLevel="0" collapsed="false">
      <c r="A58" s="42" t="s">
        <v>829</v>
      </c>
      <c r="B58" s="42" t="s">
        <v>1049</v>
      </c>
      <c r="C58" s="33" t="s">
        <v>1050</v>
      </c>
      <c r="D58" s="11" t="n">
        <v>117.86</v>
      </c>
      <c r="E58" s="11" t="n">
        <v>117.86</v>
      </c>
      <c r="F58" s="11" t="n">
        <f aca="false">ROUND(E58-D58,2)</f>
        <v>0</v>
      </c>
      <c r="G58" s="32" t="n">
        <v>4</v>
      </c>
      <c r="H58" s="42" t="s">
        <v>97</v>
      </c>
      <c r="I58" s="42" t="s">
        <v>1051</v>
      </c>
      <c r="J58" s="42" t="s">
        <v>1052</v>
      </c>
      <c r="K58" s="33" t="s">
        <v>1053</v>
      </c>
    </row>
    <row r="59" customFormat="false" ht="15" hidden="false" customHeight="false" outlineLevel="0" collapsed="false">
      <c r="A59" s="41" t="s">
        <v>829</v>
      </c>
      <c r="B59" s="41" t="s">
        <v>1054</v>
      </c>
      <c r="C59" s="30" t="s">
        <v>1055</v>
      </c>
      <c r="D59" s="15" t="n">
        <v>117.61</v>
      </c>
      <c r="E59" s="15" t="n">
        <v>117.61</v>
      </c>
      <c r="F59" s="15" t="n">
        <f aca="false">ROUND(E59-D59,2)</f>
        <v>0</v>
      </c>
      <c r="G59" s="29" t="n">
        <v>4</v>
      </c>
      <c r="H59" s="41" t="s">
        <v>97</v>
      </c>
      <c r="I59" s="41" t="s">
        <v>1056</v>
      </c>
      <c r="J59" s="41" t="s">
        <v>1057</v>
      </c>
      <c r="K59" s="30" t="s">
        <v>1058</v>
      </c>
    </row>
    <row r="60" customFormat="false" ht="15" hidden="false" customHeight="false" outlineLevel="0" collapsed="false">
      <c r="A60" s="42" t="s">
        <v>829</v>
      </c>
      <c r="B60" s="42" t="s">
        <v>1059</v>
      </c>
      <c r="C60" s="33" t="s">
        <v>1060</v>
      </c>
      <c r="D60" s="11" t="n">
        <v>116.84</v>
      </c>
      <c r="E60" s="11" t="n">
        <v>116.84</v>
      </c>
      <c r="F60" s="11" t="n">
        <f aca="false">ROUND(E60-D60,2)</f>
        <v>0</v>
      </c>
      <c r="G60" s="32" t="n">
        <v>4</v>
      </c>
      <c r="H60" s="42" t="s">
        <v>97</v>
      </c>
      <c r="I60" s="42" t="s">
        <v>1061</v>
      </c>
      <c r="J60" s="42" t="s">
        <v>1062</v>
      </c>
      <c r="K60" s="33" t="s">
        <v>1063</v>
      </c>
    </row>
    <row r="61" customFormat="false" ht="15" hidden="false" customHeight="false" outlineLevel="0" collapsed="false">
      <c r="A61" s="41" t="s">
        <v>852</v>
      </c>
      <c r="B61" s="41" t="s">
        <v>959</v>
      </c>
      <c r="C61" s="30" t="s">
        <v>960</v>
      </c>
      <c r="D61" s="15" t="n">
        <v>115.15</v>
      </c>
      <c r="E61" s="15" t="n">
        <v>115.15</v>
      </c>
      <c r="F61" s="15" t="n">
        <f aca="false">ROUND(E61-D61,2)</f>
        <v>0</v>
      </c>
      <c r="G61" s="29" t="n">
        <v>4</v>
      </c>
      <c r="H61" s="41" t="s">
        <v>97</v>
      </c>
      <c r="I61" s="41" t="s">
        <v>961</v>
      </c>
      <c r="J61" s="41" t="s">
        <v>1064</v>
      </c>
      <c r="K61" s="30" t="s">
        <v>1065</v>
      </c>
    </row>
    <row r="62" customFormat="false" ht="15" hidden="false" customHeight="false" outlineLevel="0" collapsed="false">
      <c r="A62" s="42" t="s">
        <v>852</v>
      </c>
      <c r="B62" s="42" t="s">
        <v>1066</v>
      </c>
      <c r="C62" s="33" t="s">
        <v>1067</v>
      </c>
      <c r="D62" s="11" t="n">
        <v>112.72</v>
      </c>
      <c r="E62" s="11" t="n">
        <v>112.72</v>
      </c>
      <c r="F62" s="11" t="n">
        <f aca="false">ROUND(E62-D62,2)</f>
        <v>0</v>
      </c>
      <c r="G62" s="32" t="n">
        <v>4</v>
      </c>
      <c r="H62" s="42" t="s">
        <v>97</v>
      </c>
      <c r="I62" s="42" t="s">
        <v>1068</v>
      </c>
      <c r="J62" s="42" t="s">
        <v>1069</v>
      </c>
      <c r="K62" s="33" t="s">
        <v>1070</v>
      </c>
    </row>
    <row r="63" customFormat="false" ht="22.35" hidden="false" customHeight="false" outlineLevel="0" collapsed="false">
      <c r="A63" s="41" t="s">
        <v>852</v>
      </c>
      <c r="B63" s="41" t="s">
        <v>1071</v>
      </c>
      <c r="C63" s="30" t="s">
        <v>1072</v>
      </c>
      <c r="D63" s="15" t="n">
        <v>112.07</v>
      </c>
      <c r="E63" s="15" t="n">
        <v>112.07</v>
      </c>
      <c r="F63" s="15" t="n">
        <f aca="false">ROUND(E63-D63,2)</f>
        <v>0</v>
      </c>
      <c r="G63" s="29" t="n">
        <v>4</v>
      </c>
      <c r="H63" s="41" t="s">
        <v>97</v>
      </c>
      <c r="I63" s="41" t="s">
        <v>1073</v>
      </c>
      <c r="J63" s="41" t="s">
        <v>1074</v>
      </c>
      <c r="K63" s="30" t="s">
        <v>1075</v>
      </c>
    </row>
    <row r="64" customFormat="false" ht="22.35" hidden="false" customHeight="false" outlineLevel="0" collapsed="false">
      <c r="A64" s="42" t="s">
        <v>823</v>
      </c>
      <c r="B64" s="42" t="s">
        <v>1076</v>
      </c>
      <c r="C64" s="33" t="s">
        <v>1077</v>
      </c>
      <c r="D64" s="11" t="n">
        <v>111.95</v>
      </c>
      <c r="E64" s="11" t="n">
        <v>111.95</v>
      </c>
      <c r="F64" s="11" t="n">
        <f aca="false">ROUND(E64-D64,2)</f>
        <v>0</v>
      </c>
      <c r="G64" s="32" t="n">
        <v>4</v>
      </c>
      <c r="H64" s="42" t="s">
        <v>97</v>
      </c>
      <c r="I64" s="42" t="s">
        <v>1078</v>
      </c>
      <c r="J64" s="42" t="s">
        <v>1079</v>
      </c>
      <c r="K64" s="33" t="s">
        <v>1080</v>
      </c>
    </row>
    <row r="65" customFormat="false" ht="15" hidden="false" customHeight="false" outlineLevel="0" collapsed="false">
      <c r="A65" s="41" t="s">
        <v>823</v>
      </c>
      <c r="B65" s="41" t="s">
        <v>1044</v>
      </c>
      <c r="C65" s="30" t="s">
        <v>1045</v>
      </c>
      <c r="D65" s="15" t="n">
        <v>110.65</v>
      </c>
      <c r="E65" s="15" t="n">
        <v>110.65</v>
      </c>
      <c r="F65" s="15" t="n">
        <f aca="false">ROUND(E65-D65,2)</f>
        <v>0</v>
      </c>
      <c r="G65" s="29" t="n">
        <v>2</v>
      </c>
      <c r="H65" s="41" t="s">
        <v>97</v>
      </c>
      <c r="I65" s="41" t="s">
        <v>1046</v>
      </c>
      <c r="J65" s="41" t="s">
        <v>1081</v>
      </c>
      <c r="K65" s="30" t="s">
        <v>1082</v>
      </c>
    </row>
    <row r="66" customFormat="false" ht="15" hidden="false" customHeight="false" outlineLevel="0" collapsed="false">
      <c r="A66" s="42" t="s">
        <v>829</v>
      </c>
      <c r="B66" s="42" t="s">
        <v>1083</v>
      </c>
      <c r="C66" s="33" t="s">
        <v>1084</v>
      </c>
      <c r="D66" s="11" t="n">
        <v>109.93</v>
      </c>
      <c r="E66" s="11" t="n">
        <v>109.93</v>
      </c>
      <c r="F66" s="11" t="n">
        <f aca="false">ROUND(E66-D66,2)</f>
        <v>0</v>
      </c>
      <c r="G66" s="32" t="n">
        <v>6</v>
      </c>
      <c r="H66" s="42" t="s">
        <v>97</v>
      </c>
      <c r="I66" s="42" t="s">
        <v>1085</v>
      </c>
      <c r="J66" s="42" t="s">
        <v>1086</v>
      </c>
      <c r="K66" s="33" t="s">
        <v>1087</v>
      </c>
    </row>
    <row r="67" customFormat="false" ht="22.35" hidden="false" customHeight="false" outlineLevel="0" collapsed="false">
      <c r="A67" s="41" t="s">
        <v>823</v>
      </c>
      <c r="B67" s="41" t="s">
        <v>1088</v>
      </c>
      <c r="C67" s="30" t="s">
        <v>1089</v>
      </c>
      <c r="D67" s="15" t="n">
        <v>107.78</v>
      </c>
      <c r="E67" s="15" t="n">
        <v>107.78</v>
      </c>
      <c r="F67" s="15" t="n">
        <f aca="false">ROUND(E67-D67,2)</f>
        <v>0</v>
      </c>
      <c r="G67" s="29" t="n">
        <v>8</v>
      </c>
      <c r="H67" s="41" t="s">
        <v>97</v>
      </c>
      <c r="I67" s="41" t="s">
        <v>1090</v>
      </c>
      <c r="J67" s="41" t="s">
        <v>1091</v>
      </c>
      <c r="K67" s="30" t="s">
        <v>1092</v>
      </c>
    </row>
    <row r="68" customFormat="false" ht="15" hidden="false" customHeight="false" outlineLevel="0" collapsed="false">
      <c r="A68" s="42" t="s">
        <v>829</v>
      </c>
      <c r="B68" s="42" t="s">
        <v>1093</v>
      </c>
      <c r="C68" s="33" t="s">
        <v>1094</v>
      </c>
      <c r="D68" s="11" t="n">
        <v>107.71</v>
      </c>
      <c r="E68" s="11" t="n">
        <v>107.71</v>
      </c>
      <c r="F68" s="11" t="n">
        <f aca="false">ROUND(E68-D68,2)</f>
        <v>0</v>
      </c>
      <c r="G68" s="32" t="n">
        <v>6</v>
      </c>
      <c r="H68" s="42" t="s">
        <v>97</v>
      </c>
      <c r="I68" s="42" t="s">
        <v>1095</v>
      </c>
      <c r="J68" s="42" t="s">
        <v>1096</v>
      </c>
      <c r="K68" s="33" t="s">
        <v>1097</v>
      </c>
    </row>
    <row r="69" customFormat="false" ht="15" hidden="false" customHeight="false" outlineLevel="0" collapsed="false">
      <c r="A69" s="41" t="s">
        <v>829</v>
      </c>
      <c r="B69" s="41" t="s">
        <v>1098</v>
      </c>
      <c r="C69" s="30" t="s">
        <v>1099</v>
      </c>
      <c r="D69" s="15" t="n">
        <v>105.37</v>
      </c>
      <c r="E69" s="15" t="n">
        <v>105.37</v>
      </c>
      <c r="F69" s="15" t="n">
        <f aca="false">ROUND(E69-D69,2)</f>
        <v>0</v>
      </c>
      <c r="G69" s="29" t="n">
        <v>4</v>
      </c>
      <c r="H69" s="41" t="s">
        <v>97</v>
      </c>
      <c r="I69" s="41" t="s">
        <v>1100</v>
      </c>
      <c r="J69" s="41" t="s">
        <v>1101</v>
      </c>
      <c r="K69" s="30" t="s">
        <v>1102</v>
      </c>
    </row>
    <row r="70" customFormat="false" ht="15" hidden="false" customHeight="false" outlineLevel="0" collapsed="false">
      <c r="A70" s="42" t="s">
        <v>823</v>
      </c>
      <c r="B70" s="42" t="s">
        <v>1066</v>
      </c>
      <c r="C70" s="33" t="s">
        <v>1067</v>
      </c>
      <c r="D70" s="11" t="n">
        <v>105.01</v>
      </c>
      <c r="E70" s="11" t="n">
        <v>105.01</v>
      </c>
      <c r="F70" s="11" t="n">
        <f aca="false">ROUND(E70-D70,2)</f>
        <v>0</v>
      </c>
      <c r="G70" s="32" t="n">
        <v>2</v>
      </c>
      <c r="H70" s="42" t="s">
        <v>97</v>
      </c>
      <c r="I70" s="42" t="s">
        <v>1068</v>
      </c>
      <c r="J70" s="42" t="s">
        <v>1103</v>
      </c>
      <c r="K70" s="33" t="s">
        <v>1104</v>
      </c>
    </row>
    <row r="71" customFormat="false" ht="15" hidden="false" customHeight="false" outlineLevel="0" collapsed="false">
      <c r="A71" s="41" t="s">
        <v>829</v>
      </c>
      <c r="B71" s="41" t="s">
        <v>1105</v>
      </c>
      <c r="C71" s="30" t="s">
        <v>1106</v>
      </c>
      <c r="D71" s="15" t="n">
        <v>104.79</v>
      </c>
      <c r="E71" s="15" t="n">
        <v>104.79</v>
      </c>
      <c r="F71" s="15" t="n">
        <f aca="false">ROUND(E71-D71,2)</f>
        <v>0</v>
      </c>
      <c r="G71" s="29" t="n">
        <v>6</v>
      </c>
      <c r="H71" s="41" t="s">
        <v>97</v>
      </c>
      <c r="I71" s="41" t="s">
        <v>1107</v>
      </c>
      <c r="J71" s="41" t="s">
        <v>1108</v>
      </c>
      <c r="K71" s="30" t="s">
        <v>1109</v>
      </c>
    </row>
    <row r="72" customFormat="false" ht="22.35" hidden="false" customHeight="false" outlineLevel="0" collapsed="false">
      <c r="A72" s="42" t="s">
        <v>823</v>
      </c>
      <c r="B72" s="42" t="s">
        <v>1071</v>
      </c>
      <c r="C72" s="33" t="s">
        <v>1072</v>
      </c>
      <c r="D72" s="11" t="n">
        <v>104.52</v>
      </c>
      <c r="E72" s="11" t="n">
        <v>104.52</v>
      </c>
      <c r="F72" s="11" t="n">
        <f aca="false">ROUND(E72-D72,2)</f>
        <v>0</v>
      </c>
      <c r="G72" s="32" t="n">
        <v>2</v>
      </c>
      <c r="H72" s="42" t="s">
        <v>97</v>
      </c>
      <c r="I72" s="42" t="s">
        <v>1073</v>
      </c>
      <c r="J72" s="42" t="s">
        <v>1110</v>
      </c>
      <c r="K72" s="33" t="s">
        <v>1111</v>
      </c>
    </row>
    <row r="73" customFormat="false" ht="15" hidden="false" customHeight="false" outlineLevel="0" collapsed="false">
      <c r="A73" s="41" t="s">
        <v>852</v>
      </c>
      <c r="B73" s="41" t="s">
        <v>1112</v>
      </c>
      <c r="C73" s="30" t="s">
        <v>1113</v>
      </c>
      <c r="D73" s="15" t="n">
        <v>104.22</v>
      </c>
      <c r="E73" s="15" t="n">
        <v>104.22</v>
      </c>
      <c r="F73" s="15" t="n">
        <f aca="false">ROUND(E73-D73,2)</f>
        <v>0</v>
      </c>
      <c r="G73" s="29" t="n">
        <v>6</v>
      </c>
      <c r="H73" s="41" t="s">
        <v>97</v>
      </c>
      <c r="I73" s="41" t="s">
        <v>1114</v>
      </c>
      <c r="J73" s="41" t="s">
        <v>1115</v>
      </c>
      <c r="K73" s="30" t="s">
        <v>1116</v>
      </c>
    </row>
    <row r="74" customFormat="false" ht="15" hidden="false" customHeight="false" outlineLevel="0" collapsed="false">
      <c r="A74" s="42" t="s">
        <v>823</v>
      </c>
      <c r="B74" s="42" t="s">
        <v>966</v>
      </c>
      <c r="C74" s="33" t="s">
        <v>1117</v>
      </c>
      <c r="D74" s="11" t="n">
        <v>103.69</v>
      </c>
      <c r="E74" s="11" t="n">
        <v>103.69</v>
      </c>
      <c r="F74" s="11" t="n">
        <f aca="false">ROUND(E74-D74,2)</f>
        <v>0</v>
      </c>
      <c r="G74" s="32" t="n">
        <v>2</v>
      </c>
      <c r="H74" s="42" t="s">
        <v>97</v>
      </c>
      <c r="I74" s="42" t="s">
        <v>968</v>
      </c>
      <c r="J74" s="42" t="s">
        <v>1118</v>
      </c>
      <c r="K74" s="33" t="s">
        <v>1119</v>
      </c>
    </row>
    <row r="75" customFormat="false" ht="15" hidden="false" customHeight="false" outlineLevel="0" collapsed="false">
      <c r="A75" s="41" t="s">
        <v>852</v>
      </c>
      <c r="B75" s="41" t="s">
        <v>1120</v>
      </c>
      <c r="C75" s="30" t="s">
        <v>1121</v>
      </c>
      <c r="D75" s="15" t="n">
        <v>103.03</v>
      </c>
      <c r="E75" s="15" t="n">
        <v>103.03</v>
      </c>
      <c r="F75" s="15" t="n">
        <f aca="false">ROUND(E75-D75,2)</f>
        <v>0</v>
      </c>
      <c r="G75" s="29" t="n">
        <v>4</v>
      </c>
      <c r="H75" s="41" t="s">
        <v>97</v>
      </c>
      <c r="I75" s="41" t="s">
        <v>1122</v>
      </c>
      <c r="J75" s="41" t="s">
        <v>1123</v>
      </c>
      <c r="K75" s="30" t="s">
        <v>1124</v>
      </c>
    </row>
    <row r="76" customFormat="false" ht="15" hidden="false" customHeight="false" outlineLevel="0" collapsed="false">
      <c r="A76" s="42" t="s">
        <v>823</v>
      </c>
      <c r="B76" s="42" t="s">
        <v>1125</v>
      </c>
      <c r="C76" s="33" t="s">
        <v>1126</v>
      </c>
      <c r="D76" s="11" t="n">
        <v>102.19</v>
      </c>
      <c r="E76" s="11" t="n">
        <v>102.19</v>
      </c>
      <c r="F76" s="11" t="n">
        <f aca="false">ROUND(E76-D76,2)</f>
        <v>0</v>
      </c>
      <c r="G76" s="32" t="n">
        <v>3</v>
      </c>
      <c r="H76" s="42" t="s">
        <v>97</v>
      </c>
      <c r="I76" s="42" t="s">
        <v>1127</v>
      </c>
      <c r="J76" s="42" t="s">
        <v>1128</v>
      </c>
      <c r="K76" s="33" t="s">
        <v>1129</v>
      </c>
    </row>
    <row r="77" customFormat="false" ht="15" hidden="false" customHeight="false" outlineLevel="0" collapsed="false">
      <c r="A77" s="41" t="s">
        <v>829</v>
      </c>
      <c r="B77" s="41" t="s">
        <v>1130</v>
      </c>
      <c r="C77" s="30" t="s">
        <v>1131</v>
      </c>
      <c r="D77" s="15" t="n">
        <v>102.07</v>
      </c>
      <c r="E77" s="15" t="n">
        <v>102.07</v>
      </c>
      <c r="F77" s="15" t="n">
        <f aca="false">ROUND(E77-D77,2)</f>
        <v>0</v>
      </c>
      <c r="G77" s="29" t="n">
        <v>4</v>
      </c>
      <c r="H77" s="41" t="s">
        <v>97</v>
      </c>
      <c r="I77" s="41" t="s">
        <v>1132</v>
      </c>
      <c r="J77" s="41" t="s">
        <v>1133</v>
      </c>
      <c r="K77" s="30" t="s">
        <v>1134</v>
      </c>
    </row>
    <row r="78" customFormat="false" ht="15" hidden="false" customHeight="false" outlineLevel="0" collapsed="false">
      <c r="A78" s="42" t="s">
        <v>823</v>
      </c>
      <c r="B78" s="42" t="s">
        <v>1032</v>
      </c>
      <c r="C78" s="33" t="s">
        <v>1033</v>
      </c>
      <c r="D78" s="11" t="n">
        <v>101.31</v>
      </c>
      <c r="E78" s="11" t="n">
        <v>101.31</v>
      </c>
      <c r="F78" s="11" t="n">
        <f aca="false">ROUND(E78-D78,2)</f>
        <v>0</v>
      </c>
      <c r="G78" s="32" t="n">
        <v>2</v>
      </c>
      <c r="H78" s="42" t="s">
        <v>97</v>
      </c>
      <c r="I78" s="42" t="s">
        <v>1034</v>
      </c>
      <c r="J78" s="42" t="s">
        <v>1135</v>
      </c>
      <c r="K78" s="33" t="s">
        <v>1136</v>
      </c>
    </row>
    <row r="79" customFormat="false" ht="15" hidden="false" customHeight="false" outlineLevel="0" collapsed="false">
      <c r="A79" s="41" t="s">
        <v>877</v>
      </c>
      <c r="B79" s="41" t="s">
        <v>1125</v>
      </c>
      <c r="C79" s="30" t="s">
        <v>1137</v>
      </c>
      <c r="D79" s="15" t="n">
        <v>100.98</v>
      </c>
      <c r="E79" s="15" t="n">
        <v>100.98</v>
      </c>
      <c r="F79" s="15" t="n">
        <f aca="false">ROUND(E79-D79,2)</f>
        <v>0</v>
      </c>
      <c r="G79" s="29" t="n">
        <v>4</v>
      </c>
      <c r="H79" s="41" t="s">
        <v>97</v>
      </c>
      <c r="I79" s="41" t="s">
        <v>1127</v>
      </c>
      <c r="J79" s="41" t="s">
        <v>1138</v>
      </c>
      <c r="K79" s="30" t="s">
        <v>1139</v>
      </c>
    </row>
    <row r="80" customFormat="false" ht="15" hidden="false" customHeight="false" outlineLevel="0" collapsed="false">
      <c r="A80" s="42" t="s">
        <v>829</v>
      </c>
      <c r="B80" s="42" t="s">
        <v>1140</v>
      </c>
      <c r="C80" s="33" t="s">
        <v>1141</v>
      </c>
      <c r="D80" s="11" t="n">
        <v>100.8</v>
      </c>
      <c r="E80" s="11" t="n">
        <v>100.8</v>
      </c>
      <c r="F80" s="11" t="n">
        <f aca="false">ROUND(E80-D80,2)</f>
        <v>0</v>
      </c>
      <c r="G80" s="32" t="n">
        <v>3</v>
      </c>
      <c r="H80" s="42" t="s">
        <v>97</v>
      </c>
      <c r="I80" s="42" t="s">
        <v>1142</v>
      </c>
      <c r="J80" s="42" t="s">
        <v>1143</v>
      </c>
      <c r="K80" s="33" t="s">
        <v>1144</v>
      </c>
    </row>
    <row r="81" customFormat="false" ht="22.35" hidden="false" customHeight="false" outlineLevel="0" collapsed="false">
      <c r="A81" s="41" t="s">
        <v>823</v>
      </c>
      <c r="B81" s="41" t="s">
        <v>1145</v>
      </c>
      <c r="C81" s="30" t="s">
        <v>1146</v>
      </c>
      <c r="D81" s="15" t="n">
        <v>100.35</v>
      </c>
      <c r="E81" s="15" t="n">
        <v>100.35</v>
      </c>
      <c r="F81" s="15" t="n">
        <f aca="false">ROUND(E81-D81,2)</f>
        <v>0</v>
      </c>
      <c r="G81" s="29" t="n">
        <v>4</v>
      </c>
      <c r="H81" s="41" t="s">
        <v>97</v>
      </c>
      <c r="I81" s="41" t="s">
        <v>1147</v>
      </c>
      <c r="J81" s="41" t="s">
        <v>1148</v>
      </c>
      <c r="K81" s="30" t="s">
        <v>1149</v>
      </c>
    </row>
    <row r="82" customFormat="false" ht="22.35" hidden="false" customHeight="false" outlineLevel="0" collapsed="false">
      <c r="A82" s="42" t="s">
        <v>829</v>
      </c>
      <c r="B82" s="42" t="s">
        <v>1150</v>
      </c>
      <c r="C82" s="33" t="s">
        <v>1151</v>
      </c>
      <c r="D82" s="11" t="n">
        <v>98.95</v>
      </c>
      <c r="E82" s="11" t="n">
        <v>98.95</v>
      </c>
      <c r="F82" s="11" t="n">
        <f aca="false">ROUND(E82-D82,2)</f>
        <v>0</v>
      </c>
      <c r="G82" s="32" t="n">
        <v>4</v>
      </c>
      <c r="H82" s="42" t="s">
        <v>97</v>
      </c>
      <c r="I82" s="42" t="s">
        <v>1152</v>
      </c>
      <c r="J82" s="42" t="s">
        <v>1153</v>
      </c>
      <c r="K82" s="33" t="s">
        <v>1154</v>
      </c>
    </row>
    <row r="83" customFormat="false" ht="15" hidden="false" customHeight="false" outlineLevel="0" collapsed="false">
      <c r="A83" s="41" t="s">
        <v>829</v>
      </c>
      <c r="B83" s="41" t="s">
        <v>1155</v>
      </c>
      <c r="C83" s="30" t="s">
        <v>1156</v>
      </c>
      <c r="D83" s="15" t="n">
        <v>98.88</v>
      </c>
      <c r="E83" s="15" t="n">
        <v>98.88</v>
      </c>
      <c r="F83" s="15" t="n">
        <f aca="false">ROUND(E83-D83,2)</f>
        <v>0</v>
      </c>
      <c r="G83" s="29" t="n">
        <v>4</v>
      </c>
      <c r="H83" s="41" t="s">
        <v>97</v>
      </c>
      <c r="I83" s="41" t="s">
        <v>1157</v>
      </c>
      <c r="J83" s="41" t="s">
        <v>1158</v>
      </c>
      <c r="K83" s="30" t="s">
        <v>1159</v>
      </c>
    </row>
    <row r="84" customFormat="false" ht="15" hidden="false" customHeight="false" outlineLevel="0" collapsed="false">
      <c r="A84" s="42" t="s">
        <v>829</v>
      </c>
      <c r="B84" s="42" t="s">
        <v>1160</v>
      </c>
      <c r="C84" s="33" t="s">
        <v>1161</v>
      </c>
      <c r="D84" s="11" t="n">
        <v>98.65</v>
      </c>
      <c r="E84" s="11" t="n">
        <v>98.65</v>
      </c>
      <c r="F84" s="11" t="n">
        <f aca="false">ROUND(E84-D84,2)</f>
        <v>0</v>
      </c>
      <c r="G84" s="32" t="n">
        <v>4</v>
      </c>
      <c r="H84" s="42" t="s">
        <v>97</v>
      </c>
      <c r="I84" s="42" t="s">
        <v>1162</v>
      </c>
      <c r="J84" s="42" t="s">
        <v>1163</v>
      </c>
      <c r="K84" s="33" t="s">
        <v>1164</v>
      </c>
    </row>
    <row r="85" customFormat="false" ht="15" hidden="false" customHeight="false" outlineLevel="0" collapsed="false">
      <c r="A85" s="41" t="s">
        <v>829</v>
      </c>
      <c r="B85" s="41" t="s">
        <v>1165</v>
      </c>
      <c r="C85" s="30" t="s">
        <v>1166</v>
      </c>
      <c r="D85" s="15" t="n">
        <v>96.6</v>
      </c>
      <c r="E85" s="15" t="n">
        <v>96.6</v>
      </c>
      <c r="F85" s="15" t="n">
        <f aca="false">ROUND(E85-D85,2)</f>
        <v>0</v>
      </c>
      <c r="G85" s="29" t="n">
        <v>2</v>
      </c>
      <c r="H85" s="41" t="s">
        <v>97</v>
      </c>
      <c r="I85" s="41" t="s">
        <v>1167</v>
      </c>
      <c r="J85" s="41" t="s">
        <v>1168</v>
      </c>
      <c r="K85" s="30" t="s">
        <v>1169</v>
      </c>
    </row>
    <row r="86" customFormat="false" ht="15" hidden="false" customHeight="false" outlineLevel="0" collapsed="false">
      <c r="A86" s="42" t="s">
        <v>829</v>
      </c>
      <c r="B86" s="42" t="s">
        <v>1170</v>
      </c>
      <c r="C86" s="33" t="s">
        <v>1171</v>
      </c>
      <c r="D86" s="11" t="n">
        <v>96.28</v>
      </c>
      <c r="E86" s="11" t="n">
        <v>96.28</v>
      </c>
      <c r="F86" s="11" t="n">
        <f aca="false">ROUND(E86-D86,2)</f>
        <v>0</v>
      </c>
      <c r="G86" s="32" t="n">
        <v>4</v>
      </c>
      <c r="H86" s="42" t="s">
        <v>97</v>
      </c>
      <c r="I86" s="42" t="s">
        <v>1172</v>
      </c>
      <c r="J86" s="42" t="s">
        <v>1173</v>
      </c>
      <c r="K86" s="33" t="s">
        <v>1174</v>
      </c>
    </row>
    <row r="87" customFormat="false" ht="15" hidden="false" customHeight="false" outlineLevel="0" collapsed="false">
      <c r="A87" s="41" t="s">
        <v>823</v>
      </c>
      <c r="B87" s="41" t="s">
        <v>1175</v>
      </c>
      <c r="C87" s="30" t="s">
        <v>1176</v>
      </c>
      <c r="D87" s="15" t="n">
        <v>95.81</v>
      </c>
      <c r="E87" s="15" t="n">
        <v>95.81</v>
      </c>
      <c r="F87" s="15" t="n">
        <f aca="false">ROUND(E87-D87,2)</f>
        <v>0</v>
      </c>
      <c r="G87" s="29" t="n">
        <v>4</v>
      </c>
      <c r="H87" s="41" t="s">
        <v>97</v>
      </c>
      <c r="I87" s="41" t="s">
        <v>1177</v>
      </c>
      <c r="J87" s="41" t="s">
        <v>1178</v>
      </c>
      <c r="K87" s="30" t="s">
        <v>1179</v>
      </c>
    </row>
    <row r="88" customFormat="false" ht="15" hidden="false" customHeight="false" outlineLevel="0" collapsed="false">
      <c r="A88" s="42" t="s">
        <v>829</v>
      </c>
      <c r="B88" s="42" t="s">
        <v>1180</v>
      </c>
      <c r="C88" s="33" t="s">
        <v>1181</v>
      </c>
      <c r="D88" s="11" t="n">
        <v>95.75</v>
      </c>
      <c r="E88" s="11" t="n">
        <v>95.75</v>
      </c>
      <c r="F88" s="11" t="n">
        <f aca="false">ROUND(E88-D88,2)</f>
        <v>0</v>
      </c>
      <c r="G88" s="32" t="n">
        <v>4</v>
      </c>
      <c r="H88" s="42" t="s">
        <v>97</v>
      </c>
      <c r="I88" s="42" t="s">
        <v>1182</v>
      </c>
      <c r="J88" s="42" t="s">
        <v>1183</v>
      </c>
      <c r="K88" s="33" t="s">
        <v>1184</v>
      </c>
    </row>
    <row r="89" customFormat="false" ht="15" hidden="false" customHeight="false" outlineLevel="0" collapsed="false">
      <c r="A89" s="41" t="s">
        <v>919</v>
      </c>
      <c r="B89" s="41" t="s">
        <v>1185</v>
      </c>
      <c r="C89" s="30" t="s">
        <v>1186</v>
      </c>
      <c r="D89" s="15" t="n">
        <v>95.66</v>
      </c>
      <c r="E89" s="15" t="n">
        <v>95.66</v>
      </c>
      <c r="F89" s="15" t="n">
        <f aca="false">ROUND(E89-D89,2)</f>
        <v>0</v>
      </c>
      <c r="G89" s="29" t="n">
        <v>2</v>
      </c>
      <c r="H89" s="41" t="s">
        <v>97</v>
      </c>
      <c r="I89" s="41" t="s">
        <v>1187</v>
      </c>
      <c r="J89" s="41" t="s">
        <v>1188</v>
      </c>
      <c r="K89" s="30" t="s">
        <v>1189</v>
      </c>
    </row>
    <row r="90" customFormat="false" ht="15" hidden="false" customHeight="false" outlineLevel="0" collapsed="false">
      <c r="A90" s="42" t="s">
        <v>877</v>
      </c>
      <c r="B90" s="42" t="s">
        <v>1190</v>
      </c>
      <c r="C90" s="33" t="s">
        <v>1191</v>
      </c>
      <c r="D90" s="11" t="n">
        <v>95.55</v>
      </c>
      <c r="E90" s="11" t="n">
        <v>95.55</v>
      </c>
      <c r="F90" s="11" t="n">
        <f aca="false">ROUND(E90-D90,2)</f>
        <v>0</v>
      </c>
      <c r="G90" s="32" t="n">
        <v>2</v>
      </c>
      <c r="H90" s="42" t="s">
        <v>97</v>
      </c>
      <c r="I90" s="42" t="s">
        <v>1192</v>
      </c>
      <c r="J90" s="42" t="s">
        <v>1193</v>
      </c>
      <c r="K90" s="33" t="s">
        <v>1194</v>
      </c>
    </row>
    <row r="91" customFormat="false" ht="15" hidden="false" customHeight="false" outlineLevel="0" collapsed="false">
      <c r="A91" s="41" t="s">
        <v>829</v>
      </c>
      <c r="B91" s="41" t="s">
        <v>1195</v>
      </c>
      <c r="C91" s="30" t="s">
        <v>1196</v>
      </c>
      <c r="D91" s="15" t="n">
        <v>95.55</v>
      </c>
      <c r="E91" s="15" t="n">
        <v>95.55</v>
      </c>
      <c r="F91" s="15" t="n">
        <f aca="false">ROUND(E91-D91,2)</f>
        <v>0</v>
      </c>
      <c r="G91" s="29" t="n">
        <v>2</v>
      </c>
      <c r="H91" s="41" t="s">
        <v>97</v>
      </c>
      <c r="I91" s="41" t="s">
        <v>1197</v>
      </c>
      <c r="J91" s="41" t="s">
        <v>1198</v>
      </c>
      <c r="K91" s="30" t="s">
        <v>1199</v>
      </c>
    </row>
    <row r="92" customFormat="false" ht="15" hidden="false" customHeight="false" outlineLevel="0" collapsed="false">
      <c r="A92" s="42" t="s">
        <v>823</v>
      </c>
      <c r="B92" s="42" t="s">
        <v>1105</v>
      </c>
      <c r="C92" s="33" t="s">
        <v>1106</v>
      </c>
      <c r="D92" s="11" t="n">
        <v>94.73</v>
      </c>
      <c r="E92" s="11" t="n">
        <v>94.73</v>
      </c>
      <c r="F92" s="11" t="n">
        <f aca="false">ROUND(E92-D92,2)</f>
        <v>0</v>
      </c>
      <c r="G92" s="32" t="n">
        <v>4</v>
      </c>
      <c r="H92" s="42" t="s">
        <v>97</v>
      </c>
      <c r="I92" s="42" t="s">
        <v>1107</v>
      </c>
      <c r="J92" s="42" t="s">
        <v>1200</v>
      </c>
      <c r="K92" s="33" t="s">
        <v>1201</v>
      </c>
    </row>
    <row r="93" customFormat="false" ht="15" hidden="false" customHeight="false" outlineLevel="0" collapsed="false">
      <c r="A93" s="41" t="s">
        <v>829</v>
      </c>
      <c r="B93" s="41" t="s">
        <v>1202</v>
      </c>
      <c r="C93" s="30" t="s">
        <v>1203</v>
      </c>
      <c r="D93" s="15" t="n">
        <v>94.71</v>
      </c>
      <c r="E93" s="15" t="n">
        <v>94.71</v>
      </c>
      <c r="F93" s="15" t="n">
        <f aca="false">ROUND(E93-D93,2)</f>
        <v>0</v>
      </c>
      <c r="G93" s="29" t="n">
        <v>4</v>
      </c>
      <c r="H93" s="41" t="s">
        <v>97</v>
      </c>
      <c r="I93" s="41" t="s">
        <v>1204</v>
      </c>
      <c r="J93" s="41" t="s">
        <v>1205</v>
      </c>
      <c r="K93" s="30" t="s">
        <v>1206</v>
      </c>
    </row>
    <row r="94" customFormat="false" ht="15" hidden="false" customHeight="false" outlineLevel="0" collapsed="false">
      <c r="A94" s="42" t="s">
        <v>829</v>
      </c>
      <c r="B94" s="42" t="s">
        <v>1207</v>
      </c>
      <c r="C94" s="33" t="s">
        <v>1208</v>
      </c>
      <c r="D94" s="11" t="n">
        <v>94.5</v>
      </c>
      <c r="E94" s="11" t="n">
        <v>94.5</v>
      </c>
      <c r="F94" s="11" t="n">
        <f aca="false">ROUND(E94-D94,2)</f>
        <v>0</v>
      </c>
      <c r="G94" s="32" t="n">
        <v>2</v>
      </c>
      <c r="H94" s="42" t="s">
        <v>97</v>
      </c>
      <c r="I94" s="42" t="s">
        <v>1209</v>
      </c>
      <c r="J94" s="42" t="s">
        <v>1210</v>
      </c>
      <c r="K94" s="33" t="s">
        <v>1211</v>
      </c>
    </row>
    <row r="95" customFormat="false" ht="15" hidden="false" customHeight="false" outlineLevel="0" collapsed="false">
      <c r="A95" s="41" t="s">
        <v>852</v>
      </c>
      <c r="B95" s="41" t="s">
        <v>1212</v>
      </c>
      <c r="C95" s="30" t="s">
        <v>1213</v>
      </c>
      <c r="D95" s="15" t="n">
        <v>93.63</v>
      </c>
      <c r="E95" s="15" t="n">
        <v>93.63</v>
      </c>
      <c r="F95" s="15" t="n">
        <f aca="false">ROUND(E95-D95,2)</f>
        <v>0</v>
      </c>
      <c r="G95" s="29" t="n">
        <v>4</v>
      </c>
      <c r="H95" s="41" t="s">
        <v>97</v>
      </c>
      <c r="I95" s="41" t="s">
        <v>1214</v>
      </c>
      <c r="J95" s="41" t="s">
        <v>1215</v>
      </c>
      <c r="K95" s="30" t="s">
        <v>1216</v>
      </c>
    </row>
    <row r="96" customFormat="false" ht="15" hidden="false" customHeight="false" outlineLevel="0" collapsed="false">
      <c r="A96" s="42" t="s">
        <v>877</v>
      </c>
      <c r="B96" s="42" t="s">
        <v>1217</v>
      </c>
      <c r="C96" s="33" t="s">
        <v>1218</v>
      </c>
      <c r="D96" s="11" t="n">
        <v>93.4</v>
      </c>
      <c r="E96" s="11" t="n">
        <v>93.4</v>
      </c>
      <c r="F96" s="11" t="n">
        <f aca="false">ROUND(E96-D96,2)</f>
        <v>0</v>
      </c>
      <c r="G96" s="32" t="n">
        <v>2</v>
      </c>
      <c r="H96" s="42" t="s">
        <v>97</v>
      </c>
      <c r="I96" s="42" t="s">
        <v>1219</v>
      </c>
      <c r="J96" s="42" t="s">
        <v>1220</v>
      </c>
      <c r="K96" s="33" t="s">
        <v>1221</v>
      </c>
    </row>
    <row r="97" customFormat="false" ht="15" hidden="false" customHeight="false" outlineLevel="0" collapsed="false">
      <c r="A97" s="41" t="s">
        <v>829</v>
      </c>
      <c r="B97" s="41" t="s">
        <v>1222</v>
      </c>
      <c r="C97" s="30" t="s">
        <v>1223</v>
      </c>
      <c r="D97" s="15" t="n">
        <v>92.99</v>
      </c>
      <c r="E97" s="15" t="n">
        <v>92.99</v>
      </c>
      <c r="F97" s="15" t="n">
        <f aca="false">ROUND(E97-D97,2)</f>
        <v>0</v>
      </c>
      <c r="G97" s="29" t="n">
        <v>4</v>
      </c>
      <c r="H97" s="41" t="s">
        <v>97</v>
      </c>
      <c r="I97" s="41" t="s">
        <v>1224</v>
      </c>
      <c r="J97" s="41" t="s">
        <v>1225</v>
      </c>
      <c r="K97" s="30" t="s">
        <v>1226</v>
      </c>
    </row>
    <row r="98" customFormat="false" ht="15" hidden="false" customHeight="false" outlineLevel="0" collapsed="false">
      <c r="A98" s="42" t="s">
        <v>919</v>
      </c>
      <c r="B98" s="42" t="s">
        <v>1227</v>
      </c>
      <c r="C98" s="33" t="s">
        <v>1228</v>
      </c>
      <c r="D98" s="11" t="n">
        <v>92.81</v>
      </c>
      <c r="E98" s="11" t="n">
        <v>92.81</v>
      </c>
      <c r="F98" s="11" t="n">
        <f aca="false">ROUND(E98-D98,2)</f>
        <v>0</v>
      </c>
      <c r="G98" s="32" t="n">
        <v>2</v>
      </c>
      <c r="H98" s="42" t="s">
        <v>97</v>
      </c>
      <c r="I98" s="42" t="s">
        <v>1229</v>
      </c>
      <c r="J98" s="42" t="s">
        <v>1230</v>
      </c>
      <c r="K98" s="33" t="s">
        <v>1231</v>
      </c>
    </row>
    <row r="99" customFormat="false" ht="22.35" hidden="false" customHeight="false" outlineLevel="0" collapsed="false">
      <c r="A99" s="41" t="s">
        <v>823</v>
      </c>
      <c r="B99" s="41" t="s">
        <v>1232</v>
      </c>
      <c r="C99" s="30" t="s">
        <v>1233</v>
      </c>
      <c r="D99" s="15" t="n">
        <v>92.13</v>
      </c>
      <c r="E99" s="15" t="n">
        <v>92.13</v>
      </c>
      <c r="F99" s="15" t="n">
        <f aca="false">ROUND(E99-D99,2)</f>
        <v>0</v>
      </c>
      <c r="G99" s="29" t="n">
        <v>2</v>
      </c>
      <c r="H99" s="41" t="s">
        <v>97</v>
      </c>
      <c r="I99" s="41" t="s">
        <v>1234</v>
      </c>
      <c r="J99" s="41" t="s">
        <v>1235</v>
      </c>
      <c r="K99" s="30" t="s">
        <v>1236</v>
      </c>
    </row>
    <row r="100" customFormat="false" ht="22.35" hidden="false" customHeight="false" outlineLevel="0" collapsed="false">
      <c r="A100" s="42" t="s">
        <v>877</v>
      </c>
      <c r="B100" s="42" t="s">
        <v>1232</v>
      </c>
      <c r="C100" s="33" t="s">
        <v>1237</v>
      </c>
      <c r="D100" s="11" t="n">
        <v>91.25</v>
      </c>
      <c r="E100" s="11" t="n">
        <v>91.25</v>
      </c>
      <c r="F100" s="11" t="n">
        <f aca="false">ROUND(E100-D100,2)</f>
        <v>0</v>
      </c>
      <c r="G100" s="32" t="n">
        <v>8</v>
      </c>
      <c r="H100" s="42" t="s">
        <v>97</v>
      </c>
      <c r="I100" s="42" t="s">
        <v>1234</v>
      </c>
      <c r="J100" s="42" t="s">
        <v>1238</v>
      </c>
      <c r="K100" s="33" t="s">
        <v>1239</v>
      </c>
    </row>
    <row r="101" customFormat="false" ht="15" hidden="false" customHeight="false" outlineLevel="0" collapsed="false">
      <c r="A101" s="41" t="s">
        <v>823</v>
      </c>
      <c r="B101" s="41" t="s">
        <v>1120</v>
      </c>
      <c r="C101" s="30" t="s">
        <v>1121</v>
      </c>
      <c r="D101" s="15" t="n">
        <v>91.21</v>
      </c>
      <c r="E101" s="15" t="n">
        <v>91.21</v>
      </c>
      <c r="F101" s="15" t="n">
        <f aca="false">ROUND(E101-D101,2)</f>
        <v>0</v>
      </c>
      <c r="G101" s="29" t="n">
        <v>2</v>
      </c>
      <c r="H101" s="41" t="s">
        <v>97</v>
      </c>
      <c r="I101" s="41" t="s">
        <v>1122</v>
      </c>
      <c r="J101" s="41" t="s">
        <v>1240</v>
      </c>
      <c r="K101" s="30" t="s">
        <v>1241</v>
      </c>
    </row>
    <row r="102" customFormat="false" ht="15" hidden="false" customHeight="false" outlineLevel="0" collapsed="false">
      <c r="A102" s="42" t="s">
        <v>852</v>
      </c>
      <c r="B102" s="42" t="s">
        <v>1242</v>
      </c>
      <c r="C102" s="33" t="s">
        <v>1243</v>
      </c>
      <c r="D102" s="11" t="n">
        <v>90.64</v>
      </c>
      <c r="E102" s="11" t="n">
        <v>90.64</v>
      </c>
      <c r="F102" s="11" t="n">
        <f aca="false">ROUND(E102-D102,2)</f>
        <v>0</v>
      </c>
      <c r="G102" s="32" t="n">
        <v>2</v>
      </c>
      <c r="H102" s="42" t="s">
        <v>97</v>
      </c>
      <c r="I102" s="42" t="s">
        <v>1244</v>
      </c>
      <c r="J102" s="42" t="s">
        <v>1245</v>
      </c>
      <c r="K102" s="33" t="s">
        <v>1246</v>
      </c>
    </row>
    <row r="103" customFormat="false" ht="22.35" hidden="false" customHeight="false" outlineLevel="0" collapsed="false">
      <c r="A103" s="41" t="s">
        <v>852</v>
      </c>
      <c r="B103" s="41" t="s">
        <v>1247</v>
      </c>
      <c r="C103" s="30" t="s">
        <v>1248</v>
      </c>
      <c r="D103" s="15" t="n">
        <v>90.62</v>
      </c>
      <c r="E103" s="15" t="n">
        <v>90.62</v>
      </c>
      <c r="F103" s="15" t="n">
        <f aca="false">ROUND(E103-D103,2)</f>
        <v>0</v>
      </c>
      <c r="G103" s="29" t="n">
        <v>2</v>
      </c>
      <c r="H103" s="41" t="s">
        <v>97</v>
      </c>
      <c r="I103" s="41" t="s">
        <v>1249</v>
      </c>
      <c r="J103" s="41" t="s">
        <v>1250</v>
      </c>
      <c r="K103" s="30" t="s">
        <v>1251</v>
      </c>
    </row>
    <row r="104" customFormat="false" ht="15" hidden="false" customHeight="false" outlineLevel="0" collapsed="false">
      <c r="A104" s="42" t="s">
        <v>919</v>
      </c>
      <c r="B104" s="42" t="s">
        <v>1252</v>
      </c>
      <c r="C104" s="33" t="s">
        <v>1253</v>
      </c>
      <c r="D104" s="11" t="n">
        <v>89.86</v>
      </c>
      <c r="E104" s="11" t="n">
        <v>89.86</v>
      </c>
      <c r="F104" s="11" t="n">
        <f aca="false">ROUND(E104-D104,2)</f>
        <v>0</v>
      </c>
      <c r="G104" s="32" t="n">
        <v>2</v>
      </c>
      <c r="H104" s="42" t="s">
        <v>97</v>
      </c>
      <c r="I104" s="42" t="s">
        <v>1254</v>
      </c>
      <c r="J104" s="42" t="s">
        <v>1255</v>
      </c>
      <c r="K104" s="33" t="s">
        <v>1256</v>
      </c>
    </row>
    <row r="105" customFormat="false" ht="15" hidden="false" customHeight="false" outlineLevel="0" collapsed="false">
      <c r="A105" s="41" t="s">
        <v>823</v>
      </c>
      <c r="B105" s="41" t="s">
        <v>902</v>
      </c>
      <c r="C105" s="30" t="s">
        <v>903</v>
      </c>
      <c r="D105" s="15" t="n">
        <v>88.88</v>
      </c>
      <c r="E105" s="15" t="n">
        <v>88.88</v>
      </c>
      <c r="F105" s="15" t="n">
        <f aca="false">ROUND(E105-D105,2)</f>
        <v>0</v>
      </c>
      <c r="G105" s="29" t="n">
        <v>2</v>
      </c>
      <c r="H105" s="41" t="s">
        <v>97</v>
      </c>
      <c r="I105" s="41" t="s">
        <v>904</v>
      </c>
      <c r="J105" s="41" t="s">
        <v>1257</v>
      </c>
      <c r="K105" s="30" t="s">
        <v>1258</v>
      </c>
    </row>
    <row r="106" customFormat="false" ht="15" hidden="false" customHeight="false" outlineLevel="0" collapsed="false">
      <c r="A106" s="42" t="s">
        <v>823</v>
      </c>
      <c r="B106" s="42" t="s">
        <v>1259</v>
      </c>
      <c r="C106" s="33" t="s">
        <v>1260</v>
      </c>
      <c r="D106" s="11" t="n">
        <v>88.15</v>
      </c>
      <c r="E106" s="11" t="n">
        <v>88.15</v>
      </c>
      <c r="F106" s="11" t="n">
        <f aca="false">ROUND(E106-D106,2)</f>
        <v>0</v>
      </c>
      <c r="G106" s="32" t="n">
        <v>4</v>
      </c>
      <c r="H106" s="42" t="s">
        <v>97</v>
      </c>
      <c r="I106" s="42" t="s">
        <v>1261</v>
      </c>
      <c r="J106" s="42" t="s">
        <v>1262</v>
      </c>
      <c r="K106" s="33" t="s">
        <v>1263</v>
      </c>
    </row>
    <row r="107" customFormat="false" ht="15" hidden="false" customHeight="false" outlineLevel="0" collapsed="false">
      <c r="A107" s="41" t="s">
        <v>823</v>
      </c>
      <c r="B107" s="41" t="s">
        <v>1185</v>
      </c>
      <c r="C107" s="30" t="s">
        <v>1186</v>
      </c>
      <c r="D107" s="15" t="n">
        <v>87.81</v>
      </c>
      <c r="E107" s="15" t="n">
        <v>87.81</v>
      </c>
      <c r="F107" s="15" t="n">
        <f aca="false">ROUND(E107-D107,2)</f>
        <v>0</v>
      </c>
      <c r="G107" s="29" t="n">
        <v>2</v>
      </c>
      <c r="H107" s="41" t="s">
        <v>97</v>
      </c>
      <c r="I107" s="41" t="s">
        <v>1187</v>
      </c>
      <c r="J107" s="41" t="s">
        <v>1264</v>
      </c>
      <c r="K107" s="30" t="s">
        <v>1265</v>
      </c>
    </row>
    <row r="108" customFormat="false" ht="15" hidden="false" customHeight="false" outlineLevel="0" collapsed="false">
      <c r="A108" s="42" t="s">
        <v>877</v>
      </c>
      <c r="B108" s="42" t="s">
        <v>1266</v>
      </c>
      <c r="C108" s="33" t="s">
        <v>1267</v>
      </c>
      <c r="D108" s="11" t="n">
        <v>86.95</v>
      </c>
      <c r="E108" s="11" t="n">
        <v>86.95</v>
      </c>
      <c r="F108" s="11" t="n">
        <f aca="false">ROUND(E108-D108,2)</f>
        <v>0</v>
      </c>
      <c r="G108" s="32" t="n">
        <v>4</v>
      </c>
      <c r="H108" s="42" t="s">
        <v>97</v>
      </c>
      <c r="I108" s="42" t="s">
        <v>1268</v>
      </c>
      <c r="J108" s="42" t="s">
        <v>1269</v>
      </c>
      <c r="K108" s="33" t="s">
        <v>1270</v>
      </c>
    </row>
    <row r="109" customFormat="false" ht="22.35" hidden="false" customHeight="false" outlineLevel="0" collapsed="false">
      <c r="A109" s="41" t="s">
        <v>823</v>
      </c>
      <c r="B109" s="41" t="s">
        <v>1271</v>
      </c>
      <c r="C109" s="30" t="s">
        <v>1272</v>
      </c>
      <c r="D109" s="15" t="n">
        <v>86.26</v>
      </c>
      <c r="E109" s="15" t="n">
        <v>86.26</v>
      </c>
      <c r="F109" s="15" t="n">
        <f aca="false">ROUND(E109-D109,2)</f>
        <v>0</v>
      </c>
      <c r="G109" s="29" t="n">
        <v>6</v>
      </c>
      <c r="H109" s="41" t="s">
        <v>97</v>
      </c>
      <c r="I109" s="41" t="s">
        <v>1273</v>
      </c>
      <c r="J109" s="41" t="s">
        <v>1274</v>
      </c>
      <c r="K109" s="30" t="s">
        <v>1275</v>
      </c>
    </row>
    <row r="110" customFormat="false" ht="15" hidden="false" customHeight="false" outlineLevel="0" collapsed="false">
      <c r="A110" s="42" t="s">
        <v>823</v>
      </c>
      <c r="B110" s="42" t="s">
        <v>1276</v>
      </c>
      <c r="C110" s="33" t="s">
        <v>1277</v>
      </c>
      <c r="D110" s="11" t="n">
        <v>85.75</v>
      </c>
      <c r="E110" s="11" t="n">
        <v>85.75</v>
      </c>
      <c r="F110" s="11" t="n">
        <f aca="false">ROUND(E110-D110,2)</f>
        <v>0</v>
      </c>
      <c r="G110" s="32" t="n">
        <v>4</v>
      </c>
      <c r="H110" s="42" t="s">
        <v>97</v>
      </c>
      <c r="I110" s="42" t="s">
        <v>1278</v>
      </c>
      <c r="J110" s="42" t="s">
        <v>1279</v>
      </c>
      <c r="K110" s="33" t="s">
        <v>1280</v>
      </c>
    </row>
    <row r="111" customFormat="false" ht="15" hidden="false" customHeight="false" outlineLevel="0" collapsed="false">
      <c r="A111" s="41" t="s">
        <v>829</v>
      </c>
      <c r="B111" s="41" t="s">
        <v>1281</v>
      </c>
      <c r="C111" s="30" t="s">
        <v>1282</v>
      </c>
      <c r="D111" s="15" t="n">
        <v>85.69</v>
      </c>
      <c r="E111" s="15" t="n">
        <v>85.69</v>
      </c>
      <c r="F111" s="15" t="n">
        <f aca="false">ROUND(E111-D111,2)</f>
        <v>0</v>
      </c>
      <c r="G111" s="29" t="n">
        <v>4</v>
      </c>
      <c r="H111" s="41" t="s">
        <v>97</v>
      </c>
      <c r="I111" s="41" t="s">
        <v>1283</v>
      </c>
      <c r="J111" s="41" t="s">
        <v>1284</v>
      </c>
      <c r="K111" s="30" t="s">
        <v>1285</v>
      </c>
    </row>
    <row r="112" customFormat="false" ht="22.35" hidden="false" customHeight="false" outlineLevel="0" collapsed="false">
      <c r="A112" s="42" t="s">
        <v>823</v>
      </c>
      <c r="B112" s="42" t="s">
        <v>1286</v>
      </c>
      <c r="C112" s="33" t="s">
        <v>1287</v>
      </c>
      <c r="D112" s="11" t="n">
        <v>85.45</v>
      </c>
      <c r="E112" s="11" t="n">
        <v>85.45</v>
      </c>
      <c r="F112" s="11" t="n">
        <f aca="false">ROUND(E112-D112,2)</f>
        <v>0</v>
      </c>
      <c r="G112" s="32" t="n">
        <v>4</v>
      </c>
      <c r="H112" s="42" t="s">
        <v>97</v>
      </c>
      <c r="I112" s="42" t="s">
        <v>1288</v>
      </c>
      <c r="J112" s="42" t="s">
        <v>1289</v>
      </c>
      <c r="K112" s="33" t="s">
        <v>1290</v>
      </c>
    </row>
    <row r="113" customFormat="false" ht="15" hidden="false" customHeight="false" outlineLevel="0" collapsed="false">
      <c r="A113" s="41" t="s">
        <v>823</v>
      </c>
      <c r="B113" s="41" t="s">
        <v>1242</v>
      </c>
      <c r="C113" s="30" t="s">
        <v>1243</v>
      </c>
      <c r="D113" s="15" t="n">
        <v>85.11</v>
      </c>
      <c r="E113" s="15" t="n">
        <v>85.11</v>
      </c>
      <c r="F113" s="15" t="n">
        <f aca="false">ROUND(E113-D113,2)</f>
        <v>0</v>
      </c>
      <c r="G113" s="29" t="n">
        <v>2</v>
      </c>
      <c r="H113" s="41" t="s">
        <v>97</v>
      </c>
      <c r="I113" s="41" t="s">
        <v>1244</v>
      </c>
      <c r="J113" s="41" t="s">
        <v>1291</v>
      </c>
      <c r="K113" s="30" t="s">
        <v>1292</v>
      </c>
    </row>
    <row r="114" customFormat="false" ht="15" hidden="false" customHeight="false" outlineLevel="0" collapsed="false">
      <c r="A114" s="42" t="s">
        <v>823</v>
      </c>
      <c r="B114" s="42" t="s">
        <v>1293</v>
      </c>
      <c r="C114" s="33" t="s">
        <v>1294</v>
      </c>
      <c r="D114" s="11" t="n">
        <v>84.46</v>
      </c>
      <c r="E114" s="11" t="n">
        <v>84.46</v>
      </c>
      <c r="F114" s="11" t="n">
        <f aca="false">ROUND(E114-D114,2)</f>
        <v>0</v>
      </c>
      <c r="G114" s="32" t="n">
        <v>4</v>
      </c>
      <c r="H114" s="42" t="s">
        <v>97</v>
      </c>
      <c r="I114" s="42" t="s">
        <v>1295</v>
      </c>
      <c r="J114" s="42" t="s">
        <v>1296</v>
      </c>
      <c r="K114" s="33" t="s">
        <v>1297</v>
      </c>
    </row>
    <row r="115" customFormat="false" ht="22.35" hidden="false" customHeight="false" outlineLevel="0" collapsed="false">
      <c r="A115" s="41" t="s">
        <v>823</v>
      </c>
      <c r="B115" s="41" t="s">
        <v>1298</v>
      </c>
      <c r="C115" s="30" t="s">
        <v>1299</v>
      </c>
      <c r="D115" s="15" t="n">
        <v>83.87</v>
      </c>
      <c r="E115" s="15" t="n">
        <v>83.87</v>
      </c>
      <c r="F115" s="15" t="n">
        <f aca="false">ROUND(E115-D115,2)</f>
        <v>0</v>
      </c>
      <c r="G115" s="29" t="n">
        <v>2</v>
      </c>
      <c r="H115" s="41" t="s">
        <v>97</v>
      </c>
      <c r="I115" s="41" t="s">
        <v>1300</v>
      </c>
      <c r="J115" s="41" t="s">
        <v>1301</v>
      </c>
      <c r="K115" s="30" t="s">
        <v>1302</v>
      </c>
    </row>
    <row r="116" customFormat="false" ht="15" hidden="false" customHeight="false" outlineLevel="0" collapsed="false">
      <c r="A116" s="42" t="s">
        <v>823</v>
      </c>
      <c r="B116" s="42" t="s">
        <v>1303</v>
      </c>
      <c r="C116" s="33" t="s">
        <v>1304</v>
      </c>
      <c r="D116" s="11" t="n">
        <v>83.02</v>
      </c>
      <c r="E116" s="11" t="n">
        <v>83.02</v>
      </c>
      <c r="F116" s="11" t="n">
        <f aca="false">ROUND(E116-D116,2)</f>
        <v>0</v>
      </c>
      <c r="G116" s="32" t="n">
        <v>4</v>
      </c>
      <c r="H116" s="42" t="s">
        <v>97</v>
      </c>
      <c r="I116" s="42" t="s">
        <v>1305</v>
      </c>
      <c r="J116" s="42" t="s">
        <v>1306</v>
      </c>
      <c r="K116" s="33" t="s">
        <v>1307</v>
      </c>
    </row>
    <row r="117" customFormat="false" ht="15" hidden="false" customHeight="false" outlineLevel="0" collapsed="false">
      <c r="A117" s="41" t="s">
        <v>823</v>
      </c>
      <c r="B117" s="41" t="s">
        <v>1266</v>
      </c>
      <c r="C117" s="30" t="s">
        <v>1308</v>
      </c>
      <c r="D117" s="15" t="n">
        <v>82.62</v>
      </c>
      <c r="E117" s="15" t="n">
        <v>82.62</v>
      </c>
      <c r="F117" s="15" t="n">
        <f aca="false">ROUND(E117-D117,2)</f>
        <v>0</v>
      </c>
      <c r="G117" s="29" t="n">
        <v>2</v>
      </c>
      <c r="H117" s="41" t="s">
        <v>97</v>
      </c>
      <c r="I117" s="41" t="s">
        <v>1268</v>
      </c>
      <c r="J117" s="41" t="s">
        <v>1309</v>
      </c>
      <c r="K117" s="30" t="s">
        <v>1310</v>
      </c>
    </row>
    <row r="118" customFormat="false" ht="15" hidden="false" customHeight="false" outlineLevel="0" collapsed="false">
      <c r="A118" s="42" t="s">
        <v>823</v>
      </c>
      <c r="B118" s="42" t="s">
        <v>1252</v>
      </c>
      <c r="C118" s="33" t="s">
        <v>1253</v>
      </c>
      <c r="D118" s="11" t="n">
        <v>82.25</v>
      </c>
      <c r="E118" s="11" t="n">
        <v>82.25</v>
      </c>
      <c r="F118" s="11" t="n">
        <f aca="false">ROUND(E118-D118,2)</f>
        <v>0</v>
      </c>
      <c r="G118" s="32" t="n">
        <v>2</v>
      </c>
      <c r="H118" s="42" t="s">
        <v>97</v>
      </c>
      <c r="I118" s="42" t="s">
        <v>1254</v>
      </c>
      <c r="J118" s="42" t="s">
        <v>1311</v>
      </c>
      <c r="K118" s="33" t="s">
        <v>1312</v>
      </c>
    </row>
    <row r="119" customFormat="false" ht="15" hidden="false" customHeight="false" outlineLevel="0" collapsed="false">
      <c r="A119" s="41" t="s">
        <v>823</v>
      </c>
      <c r="B119" s="41" t="s">
        <v>1140</v>
      </c>
      <c r="C119" s="30" t="s">
        <v>1141</v>
      </c>
      <c r="D119" s="15" t="n">
        <v>82.21</v>
      </c>
      <c r="E119" s="15" t="n">
        <v>82.21</v>
      </c>
      <c r="F119" s="15" t="n">
        <f aca="false">ROUND(E119-D119,2)</f>
        <v>0</v>
      </c>
      <c r="G119" s="29" t="n">
        <v>2</v>
      </c>
      <c r="H119" s="41" t="s">
        <v>97</v>
      </c>
      <c r="I119" s="41" t="s">
        <v>1142</v>
      </c>
      <c r="J119" s="41" t="s">
        <v>1313</v>
      </c>
      <c r="K119" s="30" t="s">
        <v>1314</v>
      </c>
    </row>
    <row r="120" customFormat="false" ht="15" hidden="false" customHeight="false" outlineLevel="0" collapsed="false">
      <c r="A120" s="42" t="s">
        <v>823</v>
      </c>
      <c r="B120" s="42" t="s">
        <v>1315</v>
      </c>
      <c r="C120" s="33" t="s">
        <v>1316</v>
      </c>
      <c r="D120" s="11" t="n">
        <v>82.19</v>
      </c>
      <c r="E120" s="11" t="n">
        <v>82.19</v>
      </c>
      <c r="F120" s="11" t="n">
        <f aca="false">ROUND(E120-D120,2)</f>
        <v>0</v>
      </c>
      <c r="G120" s="32" t="n">
        <v>4</v>
      </c>
      <c r="H120" s="42" t="s">
        <v>97</v>
      </c>
      <c r="I120" s="42" t="s">
        <v>1317</v>
      </c>
      <c r="J120" s="42" t="s">
        <v>1318</v>
      </c>
      <c r="K120" s="33" t="s">
        <v>1319</v>
      </c>
    </row>
    <row r="121" customFormat="false" ht="15" hidden="false" customHeight="false" outlineLevel="0" collapsed="false">
      <c r="A121" s="41" t="s">
        <v>823</v>
      </c>
      <c r="B121" s="41" t="s">
        <v>1227</v>
      </c>
      <c r="C121" s="30" t="s">
        <v>1228</v>
      </c>
      <c r="D121" s="15" t="n">
        <v>81.92</v>
      </c>
      <c r="E121" s="15" t="n">
        <v>81.92</v>
      </c>
      <c r="F121" s="15" t="n">
        <f aca="false">ROUND(E121-D121,2)</f>
        <v>0</v>
      </c>
      <c r="G121" s="29" t="n">
        <v>4</v>
      </c>
      <c r="H121" s="41" t="s">
        <v>97</v>
      </c>
      <c r="I121" s="41" t="s">
        <v>1229</v>
      </c>
      <c r="J121" s="41" t="s">
        <v>1320</v>
      </c>
      <c r="K121" s="30" t="s">
        <v>1321</v>
      </c>
    </row>
    <row r="122" customFormat="false" ht="15" hidden="false" customHeight="false" outlineLevel="0" collapsed="false">
      <c r="A122" s="42" t="s">
        <v>823</v>
      </c>
      <c r="B122" s="42" t="s">
        <v>1322</v>
      </c>
      <c r="C122" s="33" t="s">
        <v>1323</v>
      </c>
      <c r="D122" s="11" t="n">
        <v>81.83</v>
      </c>
      <c r="E122" s="11" t="n">
        <v>81.83</v>
      </c>
      <c r="F122" s="11" t="n">
        <f aca="false">ROUND(E122-D122,2)</f>
        <v>0</v>
      </c>
      <c r="G122" s="32" t="n">
        <v>6</v>
      </c>
      <c r="H122" s="42" t="s">
        <v>97</v>
      </c>
      <c r="I122" s="42" t="s">
        <v>1324</v>
      </c>
      <c r="J122" s="42" t="s">
        <v>1325</v>
      </c>
      <c r="K122" s="33" t="s">
        <v>1326</v>
      </c>
    </row>
    <row r="123" customFormat="false" ht="15" hidden="false" customHeight="false" outlineLevel="0" collapsed="false">
      <c r="A123" s="41" t="s">
        <v>877</v>
      </c>
      <c r="B123" s="41" t="s">
        <v>1242</v>
      </c>
      <c r="C123" s="30" t="s">
        <v>1327</v>
      </c>
      <c r="D123" s="15" t="n">
        <v>81.75</v>
      </c>
      <c r="E123" s="15" t="n">
        <v>81.75</v>
      </c>
      <c r="F123" s="15" t="n">
        <f aca="false">ROUND(E123-D123,2)</f>
        <v>0</v>
      </c>
      <c r="G123" s="29" t="n">
        <v>2</v>
      </c>
      <c r="H123" s="41" t="s">
        <v>97</v>
      </c>
      <c r="I123" s="41" t="s">
        <v>1244</v>
      </c>
      <c r="J123" s="41" t="s">
        <v>1328</v>
      </c>
      <c r="K123" s="30" t="s">
        <v>1329</v>
      </c>
    </row>
    <row r="124" customFormat="false" ht="15" hidden="false" customHeight="false" outlineLevel="0" collapsed="false">
      <c r="A124" s="42" t="s">
        <v>823</v>
      </c>
      <c r="B124" s="42" t="s">
        <v>1330</v>
      </c>
      <c r="C124" s="33" t="s">
        <v>1331</v>
      </c>
      <c r="D124" s="11" t="n">
        <v>80.57</v>
      </c>
      <c r="E124" s="11" t="n">
        <v>80.57</v>
      </c>
      <c r="F124" s="11" t="n">
        <f aca="false">ROUND(E124-D124,2)</f>
        <v>0</v>
      </c>
      <c r="G124" s="32" t="n">
        <v>4</v>
      </c>
      <c r="H124" s="42" t="s">
        <v>97</v>
      </c>
      <c r="I124" s="42" t="s">
        <v>1332</v>
      </c>
      <c r="J124" s="42" t="s">
        <v>1333</v>
      </c>
      <c r="K124" s="33" t="s">
        <v>1334</v>
      </c>
    </row>
    <row r="125" customFormat="false" ht="15" hidden="false" customHeight="false" outlineLevel="0" collapsed="false">
      <c r="A125" s="41" t="s">
        <v>823</v>
      </c>
      <c r="B125" s="41" t="s">
        <v>1190</v>
      </c>
      <c r="C125" s="30" t="s">
        <v>1335</v>
      </c>
      <c r="D125" s="15" t="n">
        <v>80.53</v>
      </c>
      <c r="E125" s="15" t="n">
        <v>80.53</v>
      </c>
      <c r="F125" s="15" t="n">
        <f aca="false">ROUND(E125-D125,2)</f>
        <v>0</v>
      </c>
      <c r="G125" s="29" t="n">
        <v>2</v>
      </c>
      <c r="H125" s="41" t="s">
        <v>97</v>
      </c>
      <c r="I125" s="41" t="s">
        <v>1192</v>
      </c>
      <c r="J125" s="41" t="s">
        <v>1336</v>
      </c>
      <c r="K125" s="30" t="s">
        <v>1337</v>
      </c>
    </row>
    <row r="126" customFormat="false" ht="15" hidden="false" customHeight="false" outlineLevel="0" collapsed="false">
      <c r="A126" s="42" t="s">
        <v>823</v>
      </c>
      <c r="B126" s="42" t="s">
        <v>1217</v>
      </c>
      <c r="C126" s="33" t="s">
        <v>1218</v>
      </c>
      <c r="D126" s="11" t="n">
        <v>79.62</v>
      </c>
      <c r="E126" s="11" t="n">
        <v>79.62</v>
      </c>
      <c r="F126" s="11" t="n">
        <f aca="false">ROUND(E126-D126,2)</f>
        <v>0</v>
      </c>
      <c r="G126" s="32" t="n">
        <v>2</v>
      </c>
      <c r="H126" s="42" t="s">
        <v>97</v>
      </c>
      <c r="I126" s="42" t="s">
        <v>1219</v>
      </c>
      <c r="J126" s="42" t="s">
        <v>1338</v>
      </c>
      <c r="K126" s="33" t="s">
        <v>1339</v>
      </c>
    </row>
    <row r="127" customFormat="false" ht="15" hidden="false" customHeight="false" outlineLevel="0" collapsed="false">
      <c r="A127" s="41" t="s">
        <v>823</v>
      </c>
      <c r="B127" s="41" t="s">
        <v>1340</v>
      </c>
      <c r="C127" s="30" t="s">
        <v>1341</v>
      </c>
      <c r="D127" s="15" t="n">
        <v>78.1</v>
      </c>
      <c r="E127" s="15" t="n">
        <v>78.1</v>
      </c>
      <c r="F127" s="15" t="n">
        <f aca="false">ROUND(E127-D127,2)</f>
        <v>0</v>
      </c>
      <c r="G127" s="29" t="n">
        <v>2</v>
      </c>
      <c r="H127" s="41" t="s">
        <v>97</v>
      </c>
      <c r="I127" s="41" t="s">
        <v>1342</v>
      </c>
      <c r="J127" s="41" t="s">
        <v>1343</v>
      </c>
      <c r="K127" s="30" t="s">
        <v>1344</v>
      </c>
    </row>
    <row r="128" customFormat="false" ht="15" hidden="false" customHeight="false" outlineLevel="0" collapsed="false">
      <c r="A128" s="42" t="s">
        <v>823</v>
      </c>
      <c r="B128" s="42" t="s">
        <v>1345</v>
      </c>
      <c r="C128" s="33" t="s">
        <v>1346</v>
      </c>
      <c r="D128" s="11" t="n">
        <v>78.1</v>
      </c>
      <c r="E128" s="11" t="n">
        <v>78.1</v>
      </c>
      <c r="F128" s="11" t="n">
        <f aca="false">ROUND(E128-D128,2)</f>
        <v>0</v>
      </c>
      <c r="G128" s="32" t="n">
        <v>2</v>
      </c>
      <c r="H128" s="42" t="s">
        <v>97</v>
      </c>
      <c r="I128" s="42" t="s">
        <v>1347</v>
      </c>
      <c r="J128" s="42" t="s">
        <v>1348</v>
      </c>
      <c r="K128" s="33" t="s">
        <v>1349</v>
      </c>
    </row>
    <row r="129" customFormat="false" ht="22.35" hidden="false" customHeight="false" outlineLevel="0" collapsed="false">
      <c r="A129" s="41" t="s">
        <v>823</v>
      </c>
      <c r="B129" s="41" t="s">
        <v>1212</v>
      </c>
      <c r="C129" s="30" t="s">
        <v>1213</v>
      </c>
      <c r="D129" s="15" t="n">
        <v>77.06</v>
      </c>
      <c r="E129" s="15" t="n">
        <v>77.06</v>
      </c>
      <c r="F129" s="15" t="n">
        <f aca="false">ROUND(E129-D129,2)</f>
        <v>0</v>
      </c>
      <c r="G129" s="29" t="n">
        <v>10</v>
      </c>
      <c r="H129" s="41" t="s">
        <v>97</v>
      </c>
      <c r="I129" s="41" t="s">
        <v>1214</v>
      </c>
      <c r="J129" s="41" t="s">
        <v>1350</v>
      </c>
      <c r="K129" s="30" t="s">
        <v>1351</v>
      </c>
    </row>
    <row r="130" customFormat="false" ht="15" hidden="false" customHeight="false" outlineLevel="0" collapsed="false">
      <c r="A130" s="42" t="s">
        <v>823</v>
      </c>
      <c r="B130" s="42" t="s">
        <v>1352</v>
      </c>
      <c r="C130" s="33" t="s">
        <v>1353</v>
      </c>
      <c r="D130" s="11" t="n">
        <v>76.99</v>
      </c>
      <c r="E130" s="11" t="n">
        <v>76.99</v>
      </c>
      <c r="F130" s="11" t="n">
        <f aca="false">ROUND(E130-D130,2)</f>
        <v>0</v>
      </c>
      <c r="G130" s="32" t="n">
        <v>2</v>
      </c>
      <c r="H130" s="42" t="s">
        <v>97</v>
      </c>
      <c r="I130" s="42" t="s">
        <v>1354</v>
      </c>
      <c r="J130" s="42" t="s">
        <v>1355</v>
      </c>
      <c r="K130" s="33" t="s">
        <v>1356</v>
      </c>
    </row>
    <row r="131" customFormat="false" ht="15" hidden="false" customHeight="false" outlineLevel="0" collapsed="false">
      <c r="A131" s="41" t="s">
        <v>877</v>
      </c>
      <c r="B131" s="41" t="s">
        <v>1352</v>
      </c>
      <c r="C131" s="30" t="s">
        <v>1353</v>
      </c>
      <c r="D131" s="15" t="n">
        <v>76.83</v>
      </c>
      <c r="E131" s="15" t="n">
        <v>76.83</v>
      </c>
      <c r="F131" s="15" t="n">
        <f aca="false">ROUND(E131-D131,2)</f>
        <v>0</v>
      </c>
      <c r="G131" s="29" t="n">
        <v>4</v>
      </c>
      <c r="H131" s="41" t="s">
        <v>97</v>
      </c>
      <c r="I131" s="41" t="s">
        <v>1354</v>
      </c>
      <c r="J131" s="41" t="s">
        <v>1357</v>
      </c>
      <c r="K131" s="30" t="s">
        <v>1358</v>
      </c>
    </row>
    <row r="132" customFormat="false" ht="15" hidden="false" customHeight="false" outlineLevel="0" collapsed="false">
      <c r="A132" s="42" t="s">
        <v>823</v>
      </c>
      <c r="B132" s="42" t="s">
        <v>1359</v>
      </c>
      <c r="C132" s="33" t="s">
        <v>1360</v>
      </c>
      <c r="D132" s="11" t="n">
        <v>74.64</v>
      </c>
      <c r="E132" s="11" t="n">
        <v>74.64</v>
      </c>
      <c r="F132" s="11" t="n">
        <f aca="false">ROUND(E132-D132,2)</f>
        <v>0</v>
      </c>
      <c r="G132" s="32" t="n">
        <v>2</v>
      </c>
      <c r="H132" s="42" t="s">
        <v>97</v>
      </c>
      <c r="I132" s="42" t="s">
        <v>1361</v>
      </c>
      <c r="J132" s="42" t="s">
        <v>1362</v>
      </c>
      <c r="K132" s="33" t="s">
        <v>1363</v>
      </c>
    </row>
    <row r="133" customFormat="false" ht="22.35" hidden="false" customHeight="false" outlineLevel="0" collapsed="false">
      <c r="A133" s="41" t="s">
        <v>823</v>
      </c>
      <c r="B133" s="41" t="s">
        <v>1364</v>
      </c>
      <c r="C133" s="30" t="s">
        <v>1365</v>
      </c>
      <c r="D133" s="15" t="n">
        <v>74.41</v>
      </c>
      <c r="E133" s="15" t="n">
        <v>74.41</v>
      </c>
      <c r="F133" s="15" t="n">
        <f aca="false">ROUND(E133-D133,2)</f>
        <v>0</v>
      </c>
      <c r="G133" s="29" t="n">
        <v>2</v>
      </c>
      <c r="H133" s="41" t="s">
        <v>97</v>
      </c>
      <c r="I133" s="41" t="s">
        <v>1366</v>
      </c>
      <c r="J133" s="41" t="s">
        <v>1367</v>
      </c>
      <c r="K133" s="30" t="s">
        <v>1368</v>
      </c>
    </row>
    <row r="134" customFormat="false" ht="22.35" hidden="false" customHeight="false" outlineLevel="0" collapsed="false">
      <c r="A134" s="42" t="s">
        <v>852</v>
      </c>
      <c r="B134" s="42" t="s">
        <v>1369</v>
      </c>
      <c r="C134" s="33" t="s">
        <v>1370</v>
      </c>
      <c r="D134" s="11" t="n">
        <v>70.29</v>
      </c>
      <c r="E134" s="11" t="n">
        <v>70.29</v>
      </c>
      <c r="F134" s="11" t="n">
        <f aca="false">ROUND(E134-D134,2)</f>
        <v>0</v>
      </c>
      <c r="G134" s="32" t="n">
        <v>2</v>
      </c>
      <c r="H134" s="42" t="s">
        <v>97</v>
      </c>
      <c r="I134" s="42" t="s">
        <v>1371</v>
      </c>
      <c r="J134" s="42" t="s">
        <v>1372</v>
      </c>
      <c r="K134" s="33" t="s">
        <v>1373</v>
      </c>
    </row>
    <row r="135" customFormat="false" ht="22.35" hidden="false" customHeight="false" outlineLevel="0" collapsed="false">
      <c r="A135" s="41" t="s">
        <v>823</v>
      </c>
      <c r="B135" s="41" t="s">
        <v>1374</v>
      </c>
      <c r="C135" s="30" t="s">
        <v>1375</v>
      </c>
      <c r="D135" s="15" t="n">
        <v>70.14</v>
      </c>
      <c r="E135" s="15" t="n">
        <v>70.14</v>
      </c>
      <c r="F135" s="15" t="n">
        <f aca="false">ROUND(E135-D135,2)</f>
        <v>0</v>
      </c>
      <c r="G135" s="29" t="n">
        <v>4</v>
      </c>
      <c r="H135" s="41" t="s">
        <v>97</v>
      </c>
      <c r="I135" s="41" t="s">
        <v>1376</v>
      </c>
      <c r="J135" s="41" t="s">
        <v>1377</v>
      </c>
      <c r="K135" s="30" t="s">
        <v>1378</v>
      </c>
    </row>
    <row r="136" customFormat="false" ht="15" hidden="false" customHeight="false" outlineLevel="0" collapsed="false">
      <c r="A136" s="42" t="s">
        <v>877</v>
      </c>
      <c r="B136" s="42" t="s">
        <v>978</v>
      </c>
      <c r="C136" s="33" t="s">
        <v>979</v>
      </c>
      <c r="D136" s="11" t="n">
        <v>67.44</v>
      </c>
      <c r="E136" s="11" t="n">
        <v>67.44</v>
      </c>
      <c r="F136" s="11" t="n">
        <f aca="false">ROUND(E136-D136,2)</f>
        <v>0</v>
      </c>
      <c r="G136" s="32" t="n">
        <v>2</v>
      </c>
      <c r="H136" s="42" t="s">
        <v>97</v>
      </c>
      <c r="I136" s="42" t="s">
        <v>980</v>
      </c>
      <c r="J136" s="42" t="s">
        <v>1379</v>
      </c>
      <c r="K136" s="33" t="s">
        <v>1380</v>
      </c>
    </row>
    <row r="137" customFormat="false" ht="22.35" hidden="false" customHeight="false" outlineLevel="0" collapsed="false">
      <c r="A137" s="41" t="s">
        <v>919</v>
      </c>
      <c r="B137" s="41" t="s">
        <v>1381</v>
      </c>
      <c r="C137" s="30" t="s">
        <v>1382</v>
      </c>
      <c r="D137" s="15" t="n">
        <v>65.77</v>
      </c>
      <c r="E137" s="15" t="n">
        <v>65.77</v>
      </c>
      <c r="F137" s="15" t="n">
        <f aca="false">ROUND(E137-D137,2)</f>
        <v>0</v>
      </c>
      <c r="G137" s="29" t="n">
        <v>4</v>
      </c>
      <c r="H137" s="41" t="s">
        <v>97</v>
      </c>
      <c r="I137" s="41" t="s">
        <v>1383</v>
      </c>
      <c r="J137" s="41" t="s">
        <v>1384</v>
      </c>
      <c r="K137" s="30" t="s">
        <v>1385</v>
      </c>
    </row>
    <row r="138" customFormat="false" ht="15" hidden="false" customHeight="false" outlineLevel="0" collapsed="false">
      <c r="A138" s="42" t="s">
        <v>852</v>
      </c>
      <c r="B138" s="42" t="s">
        <v>1359</v>
      </c>
      <c r="C138" s="33" t="s">
        <v>1360</v>
      </c>
      <c r="D138" s="11" t="n">
        <v>62.9</v>
      </c>
      <c r="E138" s="11" t="n">
        <v>62.9</v>
      </c>
      <c r="F138" s="11" t="n">
        <f aca="false">ROUND(E138-D138,2)</f>
        <v>0</v>
      </c>
      <c r="G138" s="32" t="n">
        <v>2</v>
      </c>
      <c r="H138" s="42" t="s">
        <v>97</v>
      </c>
      <c r="I138" s="42" t="s">
        <v>1361</v>
      </c>
      <c r="J138" s="42" t="s">
        <v>1386</v>
      </c>
      <c r="K138" s="33" t="s">
        <v>1387</v>
      </c>
    </row>
    <row r="139" customFormat="false" ht="22.35" hidden="false" customHeight="false" outlineLevel="0" collapsed="false">
      <c r="A139" s="41" t="s">
        <v>823</v>
      </c>
      <c r="B139" s="41" t="s">
        <v>1381</v>
      </c>
      <c r="C139" s="30" t="s">
        <v>1382</v>
      </c>
      <c r="D139" s="15" t="n">
        <v>62.2</v>
      </c>
      <c r="E139" s="15" t="n">
        <v>62.2</v>
      </c>
      <c r="F139" s="15" t="n">
        <f aca="false">ROUND(E139-D139,2)</f>
        <v>0</v>
      </c>
      <c r="G139" s="29" t="n">
        <v>4</v>
      </c>
      <c r="H139" s="41" t="s">
        <v>97</v>
      </c>
      <c r="I139" s="41" t="s">
        <v>1383</v>
      </c>
      <c r="J139" s="41" t="s">
        <v>1388</v>
      </c>
      <c r="K139" s="30" t="s">
        <v>1389</v>
      </c>
    </row>
    <row r="140" customFormat="false" ht="15" hidden="false" customHeight="false" outlineLevel="0" collapsed="false">
      <c r="A140" s="42" t="s">
        <v>877</v>
      </c>
      <c r="B140" s="42" t="s">
        <v>1359</v>
      </c>
      <c r="C140" s="33" t="s">
        <v>1390</v>
      </c>
      <c r="D140" s="11" t="n">
        <v>62.17</v>
      </c>
      <c r="E140" s="11" t="n">
        <v>62.17</v>
      </c>
      <c r="F140" s="11" t="n">
        <f aca="false">ROUND(E140-D140,2)</f>
        <v>0</v>
      </c>
      <c r="G140" s="32" t="n">
        <v>2</v>
      </c>
      <c r="H140" s="42" t="s">
        <v>97</v>
      </c>
      <c r="I140" s="42" t="s">
        <v>1361</v>
      </c>
      <c r="J140" s="42" t="s">
        <v>1391</v>
      </c>
      <c r="K140" s="33" t="s">
        <v>1392</v>
      </c>
    </row>
    <row r="141" customFormat="false" ht="15" hidden="false" customHeight="false" outlineLevel="0" collapsed="false">
      <c r="A141" s="41" t="s">
        <v>852</v>
      </c>
      <c r="B141" s="41" t="s">
        <v>878</v>
      </c>
      <c r="C141" s="30" t="s">
        <v>879</v>
      </c>
      <c r="D141" s="15" t="n">
        <v>61.44</v>
      </c>
      <c r="E141" s="15" t="n">
        <v>61.44</v>
      </c>
      <c r="F141" s="15" t="n">
        <f aca="false">ROUND(E141-D141,2)</f>
        <v>0</v>
      </c>
      <c r="G141" s="29" t="n">
        <v>2</v>
      </c>
      <c r="H141" s="41" t="s">
        <v>97</v>
      </c>
      <c r="I141" s="41" t="s">
        <v>880</v>
      </c>
      <c r="J141" s="41" t="s">
        <v>1393</v>
      </c>
      <c r="K141" s="30" t="s">
        <v>1394</v>
      </c>
    </row>
    <row r="142" customFormat="false" ht="15" hidden="false" customHeight="false" outlineLevel="0" collapsed="false">
      <c r="A142" s="42" t="s">
        <v>877</v>
      </c>
      <c r="B142" s="42" t="s">
        <v>1369</v>
      </c>
      <c r="C142" s="33" t="s">
        <v>1395</v>
      </c>
      <c r="D142" s="11" t="n">
        <v>61.15</v>
      </c>
      <c r="E142" s="11" t="n">
        <v>61.15</v>
      </c>
      <c r="F142" s="11" t="n">
        <f aca="false">ROUND(E142-D142,2)</f>
        <v>0</v>
      </c>
      <c r="G142" s="32" t="n">
        <v>2</v>
      </c>
      <c r="H142" s="42" t="s">
        <v>97</v>
      </c>
      <c r="I142" s="42" t="s">
        <v>1371</v>
      </c>
      <c r="J142" s="42" t="s">
        <v>1396</v>
      </c>
      <c r="K142" s="33" t="s">
        <v>1397</v>
      </c>
    </row>
    <row r="143" customFormat="false" ht="22.35" hidden="false" customHeight="false" outlineLevel="0" collapsed="false">
      <c r="A143" s="41" t="s">
        <v>823</v>
      </c>
      <c r="B143" s="41" t="s">
        <v>1398</v>
      </c>
      <c r="C143" s="30" t="s">
        <v>1399</v>
      </c>
      <c r="D143" s="15" t="n">
        <v>60.84</v>
      </c>
      <c r="E143" s="15" t="n">
        <v>60.84</v>
      </c>
      <c r="F143" s="15" t="n">
        <f aca="false">ROUND(E143-D143,2)</f>
        <v>0</v>
      </c>
      <c r="G143" s="29" t="n">
        <v>2</v>
      </c>
      <c r="H143" s="41" t="s">
        <v>97</v>
      </c>
      <c r="I143" s="41" t="s">
        <v>1400</v>
      </c>
      <c r="J143" s="41" t="s">
        <v>1401</v>
      </c>
      <c r="K143" s="30" t="s">
        <v>1402</v>
      </c>
    </row>
    <row r="144" customFormat="false" ht="22.35" hidden="false" customHeight="false" outlineLevel="0" collapsed="false">
      <c r="A144" s="42" t="s">
        <v>877</v>
      </c>
      <c r="B144" s="42" t="s">
        <v>1403</v>
      </c>
      <c r="C144" s="33" t="s">
        <v>1404</v>
      </c>
      <c r="D144" s="11" t="n">
        <v>59.09</v>
      </c>
      <c r="E144" s="11" t="n">
        <v>59.09</v>
      </c>
      <c r="F144" s="11" t="n">
        <f aca="false">ROUND(E144-D144,2)</f>
        <v>0</v>
      </c>
      <c r="G144" s="32" t="n">
        <v>2</v>
      </c>
      <c r="H144" s="42" t="s">
        <v>97</v>
      </c>
      <c r="I144" s="42" t="s">
        <v>1405</v>
      </c>
      <c r="J144" s="42" t="s">
        <v>1406</v>
      </c>
      <c r="K144" s="33" t="s">
        <v>1407</v>
      </c>
    </row>
    <row r="145" customFormat="false" ht="15" hidden="false" customHeight="false" outlineLevel="0" collapsed="false">
      <c r="A145" s="41" t="s">
        <v>852</v>
      </c>
      <c r="B145" s="41" t="s">
        <v>1408</v>
      </c>
      <c r="C145" s="30" t="s">
        <v>1409</v>
      </c>
      <c r="D145" s="15" t="n">
        <v>58.83</v>
      </c>
      <c r="E145" s="15" t="n">
        <v>58.83</v>
      </c>
      <c r="F145" s="15" t="n">
        <f aca="false">ROUND(E145-D145,2)</f>
        <v>0</v>
      </c>
      <c r="G145" s="29" t="n">
        <v>2</v>
      </c>
      <c r="H145" s="41" t="s">
        <v>97</v>
      </c>
      <c r="I145" s="41" t="s">
        <v>1410</v>
      </c>
      <c r="J145" s="41" t="s">
        <v>1411</v>
      </c>
      <c r="K145" s="30" t="s">
        <v>1412</v>
      </c>
    </row>
    <row r="146" customFormat="false" ht="22.35" hidden="false" customHeight="false" outlineLevel="0" collapsed="false">
      <c r="A146" s="42" t="s">
        <v>823</v>
      </c>
      <c r="B146" s="42" t="s">
        <v>1369</v>
      </c>
      <c r="C146" s="33" t="s">
        <v>1370</v>
      </c>
      <c r="D146" s="11" t="n">
        <v>57.96</v>
      </c>
      <c r="E146" s="11" t="n">
        <v>57.96</v>
      </c>
      <c r="F146" s="11" t="n">
        <f aca="false">ROUND(E146-D146,2)</f>
        <v>0</v>
      </c>
      <c r="G146" s="32" t="n">
        <v>3</v>
      </c>
      <c r="H146" s="42" t="s">
        <v>97</v>
      </c>
      <c r="I146" s="42" t="s">
        <v>1371</v>
      </c>
      <c r="J146" s="42" t="s">
        <v>1413</v>
      </c>
      <c r="K146" s="33" t="s">
        <v>1414</v>
      </c>
    </row>
    <row r="147" customFormat="false" ht="22.35" hidden="false" customHeight="false" outlineLevel="0" collapsed="false">
      <c r="A147" s="41" t="s">
        <v>852</v>
      </c>
      <c r="B147" s="41" t="s">
        <v>1403</v>
      </c>
      <c r="C147" s="30" t="s">
        <v>1415</v>
      </c>
      <c r="D147" s="15" t="n">
        <v>55.39</v>
      </c>
      <c r="E147" s="15" t="n">
        <v>55.39</v>
      </c>
      <c r="F147" s="15" t="n">
        <f aca="false">ROUND(E147-D147,2)</f>
        <v>0</v>
      </c>
      <c r="G147" s="29" t="n">
        <v>2</v>
      </c>
      <c r="H147" s="41" t="s">
        <v>97</v>
      </c>
      <c r="I147" s="41" t="s">
        <v>1405</v>
      </c>
      <c r="J147" s="41" t="s">
        <v>1416</v>
      </c>
      <c r="K147" s="30" t="s">
        <v>1417</v>
      </c>
    </row>
    <row r="148" customFormat="false" ht="15" hidden="false" customHeight="false" outlineLevel="0" collapsed="false">
      <c r="A148" s="42" t="s">
        <v>823</v>
      </c>
      <c r="B148" s="42" t="s">
        <v>1418</v>
      </c>
      <c r="C148" s="33" t="s">
        <v>1419</v>
      </c>
      <c r="D148" s="11" t="n">
        <v>55.38</v>
      </c>
      <c r="E148" s="11" t="n">
        <v>55.38</v>
      </c>
      <c r="F148" s="11" t="n">
        <f aca="false">ROUND(E148-D148,2)</f>
        <v>0</v>
      </c>
      <c r="G148" s="32" t="n">
        <v>6</v>
      </c>
      <c r="H148" s="42" t="s">
        <v>97</v>
      </c>
      <c r="I148" s="42" t="s">
        <v>1420</v>
      </c>
      <c r="J148" s="42" t="s">
        <v>1421</v>
      </c>
      <c r="K148" s="33" t="s">
        <v>1422</v>
      </c>
    </row>
    <row r="149" customFormat="false" ht="15" hidden="false" customHeight="false" outlineLevel="0" collapsed="false">
      <c r="A149" s="41" t="s">
        <v>823</v>
      </c>
      <c r="B149" s="41" t="s">
        <v>1423</v>
      </c>
      <c r="C149" s="30" t="s">
        <v>1424</v>
      </c>
      <c r="D149" s="15" t="n">
        <v>55.3</v>
      </c>
      <c r="E149" s="15" t="n">
        <v>55.3</v>
      </c>
      <c r="F149" s="15" t="n">
        <f aca="false">ROUND(E149-D149,2)</f>
        <v>0</v>
      </c>
      <c r="G149" s="29" t="n">
        <v>6</v>
      </c>
      <c r="H149" s="41" t="s">
        <v>97</v>
      </c>
      <c r="I149" s="41" t="s">
        <v>1425</v>
      </c>
      <c r="J149" s="41" t="s">
        <v>1426</v>
      </c>
      <c r="K149" s="30" t="s">
        <v>1427</v>
      </c>
    </row>
    <row r="150" customFormat="false" ht="15" hidden="false" customHeight="false" outlineLevel="0" collapsed="false">
      <c r="A150" s="42" t="s">
        <v>877</v>
      </c>
      <c r="B150" s="42" t="s">
        <v>1408</v>
      </c>
      <c r="C150" s="33" t="s">
        <v>1409</v>
      </c>
      <c r="D150" s="11" t="n">
        <v>53.74</v>
      </c>
      <c r="E150" s="11" t="n">
        <v>53.74</v>
      </c>
      <c r="F150" s="11" t="n">
        <f aca="false">ROUND(E150-D150,2)</f>
        <v>0</v>
      </c>
      <c r="G150" s="32" t="n">
        <v>2</v>
      </c>
      <c r="H150" s="42" t="s">
        <v>97</v>
      </c>
      <c r="I150" s="42" t="s">
        <v>1410</v>
      </c>
      <c r="J150" s="42" t="s">
        <v>1428</v>
      </c>
      <c r="K150" s="33" t="s">
        <v>1429</v>
      </c>
    </row>
    <row r="151" customFormat="false" ht="22.35" hidden="false" customHeight="false" outlineLevel="0" collapsed="false">
      <c r="A151" s="41" t="s">
        <v>877</v>
      </c>
      <c r="B151" s="41" t="s">
        <v>1364</v>
      </c>
      <c r="C151" s="30" t="s">
        <v>1430</v>
      </c>
      <c r="D151" s="15" t="n">
        <v>53.73</v>
      </c>
      <c r="E151" s="15" t="n">
        <v>53.73</v>
      </c>
      <c r="F151" s="15" t="n">
        <f aca="false">ROUND(E151-D151,2)</f>
        <v>0</v>
      </c>
      <c r="G151" s="29" t="n">
        <v>2</v>
      </c>
      <c r="H151" s="41" t="s">
        <v>97</v>
      </c>
      <c r="I151" s="41" t="s">
        <v>1366</v>
      </c>
      <c r="J151" s="41" t="s">
        <v>1431</v>
      </c>
      <c r="K151" s="30" t="s">
        <v>1432</v>
      </c>
    </row>
    <row r="152" customFormat="false" ht="22.35" hidden="false" customHeight="false" outlineLevel="0" collapsed="false">
      <c r="A152" s="42" t="s">
        <v>852</v>
      </c>
      <c r="B152" s="42" t="s">
        <v>1364</v>
      </c>
      <c r="C152" s="33" t="s">
        <v>1365</v>
      </c>
      <c r="D152" s="11" t="n">
        <v>53.21</v>
      </c>
      <c r="E152" s="11" t="n">
        <v>53.21</v>
      </c>
      <c r="F152" s="11" t="n">
        <f aca="false">ROUND(E152-D152,2)</f>
        <v>0</v>
      </c>
      <c r="G152" s="32" t="n">
        <v>2</v>
      </c>
      <c r="H152" s="42" t="s">
        <v>97</v>
      </c>
      <c r="I152" s="42" t="s">
        <v>1366</v>
      </c>
      <c r="J152" s="42" t="s">
        <v>1433</v>
      </c>
      <c r="K152" s="33" t="s">
        <v>1434</v>
      </c>
    </row>
    <row r="153" customFormat="false" ht="15" hidden="false" customHeight="false" outlineLevel="0" collapsed="false">
      <c r="A153" s="41" t="s">
        <v>823</v>
      </c>
      <c r="B153" s="41" t="s">
        <v>1408</v>
      </c>
      <c r="C153" s="30" t="s">
        <v>1409</v>
      </c>
      <c r="D153" s="15" t="n">
        <v>53.2</v>
      </c>
      <c r="E153" s="15" t="n">
        <v>53.2</v>
      </c>
      <c r="F153" s="15" t="n">
        <f aca="false">ROUND(E153-D153,2)</f>
        <v>0</v>
      </c>
      <c r="G153" s="29" t="n">
        <v>2</v>
      </c>
      <c r="H153" s="41" t="s">
        <v>97</v>
      </c>
      <c r="I153" s="41" t="s">
        <v>1410</v>
      </c>
      <c r="J153" s="41" t="s">
        <v>1435</v>
      </c>
      <c r="K153" s="30" t="s">
        <v>1436</v>
      </c>
    </row>
    <row r="154" customFormat="false" ht="22.35" hidden="false" customHeight="false" outlineLevel="0" collapsed="false">
      <c r="A154" s="42" t="s">
        <v>919</v>
      </c>
      <c r="B154" s="42" t="s">
        <v>1398</v>
      </c>
      <c r="C154" s="33" t="s">
        <v>1399</v>
      </c>
      <c r="D154" s="11" t="n">
        <v>52.37</v>
      </c>
      <c r="E154" s="11" t="n">
        <v>52.37</v>
      </c>
      <c r="F154" s="11" t="n">
        <f aca="false">ROUND(E154-D154,2)</f>
        <v>0</v>
      </c>
      <c r="G154" s="32" t="n">
        <v>2</v>
      </c>
      <c r="H154" s="42" t="s">
        <v>97</v>
      </c>
      <c r="I154" s="42" t="s">
        <v>1400</v>
      </c>
      <c r="J154" s="42" t="s">
        <v>1437</v>
      </c>
      <c r="K154" s="33" t="s">
        <v>1438</v>
      </c>
    </row>
    <row r="155" customFormat="false" ht="22.35" hidden="false" customHeight="false" outlineLevel="0" collapsed="false">
      <c r="A155" s="41" t="s">
        <v>852</v>
      </c>
      <c r="B155" s="41" t="s">
        <v>1398</v>
      </c>
      <c r="C155" s="30" t="s">
        <v>1399</v>
      </c>
      <c r="D155" s="15" t="n">
        <v>51.27</v>
      </c>
      <c r="E155" s="15" t="n">
        <v>51.27</v>
      </c>
      <c r="F155" s="15" t="n">
        <f aca="false">ROUND(E155-D155,2)</f>
        <v>0</v>
      </c>
      <c r="G155" s="29" t="n">
        <v>2</v>
      </c>
      <c r="H155" s="41" t="s">
        <v>97</v>
      </c>
      <c r="I155" s="41" t="s">
        <v>1400</v>
      </c>
      <c r="J155" s="41" t="s">
        <v>1439</v>
      </c>
      <c r="K155" s="30" t="s">
        <v>1440</v>
      </c>
    </row>
    <row r="156" customFormat="false" ht="15" hidden="false" customHeight="false" outlineLevel="0" collapsed="false">
      <c r="A156" s="42" t="s">
        <v>852</v>
      </c>
      <c r="B156" s="42" t="s">
        <v>1441</v>
      </c>
      <c r="C156" s="33" t="s">
        <v>1442</v>
      </c>
      <c r="D156" s="11" t="n">
        <v>51.17</v>
      </c>
      <c r="E156" s="11" t="n">
        <v>51.17</v>
      </c>
      <c r="F156" s="11" t="n">
        <f aca="false">ROUND(E156-D156,2)</f>
        <v>0</v>
      </c>
      <c r="G156" s="32" t="n">
        <v>2</v>
      </c>
      <c r="H156" s="42" t="s">
        <v>97</v>
      </c>
      <c r="I156" s="42" t="s">
        <v>1443</v>
      </c>
      <c r="J156" s="42" t="s">
        <v>1444</v>
      </c>
      <c r="K156" s="33" t="s">
        <v>1445</v>
      </c>
    </row>
    <row r="157" customFormat="false" ht="15" hidden="false" customHeight="false" outlineLevel="0" collapsed="false">
      <c r="A157" s="41" t="s">
        <v>919</v>
      </c>
      <c r="B157" s="41" t="s">
        <v>1446</v>
      </c>
      <c r="C157" s="30" t="s">
        <v>1447</v>
      </c>
      <c r="D157" s="15" t="n">
        <v>50.57</v>
      </c>
      <c r="E157" s="15" t="n">
        <v>50.57</v>
      </c>
      <c r="F157" s="15" t="n">
        <f aca="false">ROUND(E157-D157,2)</f>
        <v>0</v>
      </c>
      <c r="G157" s="29" t="n">
        <v>3</v>
      </c>
      <c r="H157" s="41" t="s">
        <v>97</v>
      </c>
      <c r="I157" s="41" t="s">
        <v>1448</v>
      </c>
      <c r="J157" s="41" t="s">
        <v>1449</v>
      </c>
      <c r="K157" s="30" t="s">
        <v>1450</v>
      </c>
    </row>
    <row r="158" customFormat="false" ht="15" hidden="false" customHeight="false" outlineLevel="0" collapsed="false">
      <c r="A158" s="42" t="s">
        <v>852</v>
      </c>
      <c r="B158" s="42" t="s">
        <v>1451</v>
      </c>
      <c r="C158" s="33" t="s">
        <v>1452</v>
      </c>
      <c r="D158" s="11" t="n">
        <v>50.16</v>
      </c>
      <c r="E158" s="11" t="n">
        <v>50.16</v>
      </c>
      <c r="F158" s="11" t="n">
        <f aca="false">ROUND(E158-D158,2)</f>
        <v>0</v>
      </c>
      <c r="G158" s="32" t="n">
        <v>2</v>
      </c>
      <c r="H158" s="42" t="s">
        <v>97</v>
      </c>
      <c r="I158" s="42" t="s">
        <v>1453</v>
      </c>
      <c r="J158" s="42" t="s">
        <v>1454</v>
      </c>
      <c r="K158" s="33" t="s">
        <v>1455</v>
      </c>
    </row>
    <row r="159" customFormat="false" ht="15" hidden="false" customHeight="false" outlineLevel="0" collapsed="false">
      <c r="A159" s="41" t="s">
        <v>823</v>
      </c>
      <c r="B159" s="41" t="s">
        <v>1456</v>
      </c>
      <c r="C159" s="30" t="s">
        <v>1457</v>
      </c>
      <c r="D159" s="15" t="n">
        <v>50.04</v>
      </c>
      <c r="E159" s="15" t="n">
        <v>50.04</v>
      </c>
      <c r="F159" s="15" t="n">
        <f aca="false">ROUND(E159-D159,2)</f>
        <v>0</v>
      </c>
      <c r="G159" s="29" t="n">
        <v>2</v>
      </c>
      <c r="H159" s="41" t="s">
        <v>97</v>
      </c>
      <c r="I159" s="41" t="s">
        <v>1458</v>
      </c>
      <c r="J159" s="41" t="s">
        <v>1459</v>
      </c>
      <c r="K159" s="30" t="s">
        <v>1460</v>
      </c>
    </row>
    <row r="160" customFormat="false" ht="22.35" hidden="false" customHeight="false" outlineLevel="0" collapsed="false">
      <c r="A160" s="42" t="s">
        <v>852</v>
      </c>
      <c r="B160" s="42" t="s">
        <v>1271</v>
      </c>
      <c r="C160" s="33" t="s">
        <v>1272</v>
      </c>
      <c r="D160" s="11" t="n">
        <v>49.87</v>
      </c>
      <c r="E160" s="11" t="n">
        <v>49.87</v>
      </c>
      <c r="F160" s="11" t="n">
        <f aca="false">ROUND(E160-D160,2)</f>
        <v>0</v>
      </c>
      <c r="G160" s="32" t="n">
        <v>4</v>
      </c>
      <c r="H160" s="42" t="s">
        <v>97</v>
      </c>
      <c r="I160" s="42" t="s">
        <v>1273</v>
      </c>
      <c r="J160" s="42" t="s">
        <v>1461</v>
      </c>
      <c r="K160" s="33" t="s">
        <v>1462</v>
      </c>
    </row>
    <row r="161" customFormat="false" ht="15" hidden="false" customHeight="false" outlineLevel="0" collapsed="false">
      <c r="A161" s="41" t="s">
        <v>823</v>
      </c>
      <c r="B161" s="41" t="s">
        <v>1463</v>
      </c>
      <c r="C161" s="30" t="s">
        <v>1464</v>
      </c>
      <c r="D161" s="15" t="n">
        <v>48.66</v>
      </c>
      <c r="E161" s="15" t="n">
        <v>48.66</v>
      </c>
      <c r="F161" s="15" t="n">
        <f aca="false">ROUND(E161-D161,2)</f>
        <v>0</v>
      </c>
      <c r="G161" s="29" t="n">
        <v>6</v>
      </c>
      <c r="H161" s="41" t="s">
        <v>97</v>
      </c>
      <c r="I161" s="41" t="s">
        <v>1465</v>
      </c>
      <c r="J161" s="41" t="s">
        <v>1466</v>
      </c>
      <c r="K161" s="30" t="s">
        <v>1467</v>
      </c>
    </row>
    <row r="162" customFormat="false" ht="15" hidden="false" customHeight="false" outlineLevel="0" collapsed="false">
      <c r="A162" s="42" t="s">
        <v>852</v>
      </c>
      <c r="B162" s="42" t="s">
        <v>1456</v>
      </c>
      <c r="C162" s="33" t="s">
        <v>1457</v>
      </c>
      <c r="D162" s="11" t="n">
        <v>47.76</v>
      </c>
      <c r="E162" s="11" t="n">
        <v>47.76</v>
      </c>
      <c r="F162" s="11" t="n">
        <f aca="false">ROUND(E162-D162,2)</f>
        <v>0</v>
      </c>
      <c r="G162" s="32" t="n">
        <v>2</v>
      </c>
      <c r="H162" s="42" t="s">
        <v>97</v>
      </c>
      <c r="I162" s="42" t="s">
        <v>1458</v>
      </c>
      <c r="J162" s="42" t="s">
        <v>1468</v>
      </c>
      <c r="K162" s="33" t="s">
        <v>1469</v>
      </c>
    </row>
    <row r="163" customFormat="false" ht="15" hidden="false" customHeight="false" outlineLevel="0" collapsed="false">
      <c r="A163" s="41" t="s">
        <v>852</v>
      </c>
      <c r="B163" s="41" t="s">
        <v>1470</v>
      </c>
      <c r="C163" s="30" t="s">
        <v>1471</v>
      </c>
      <c r="D163" s="15" t="n">
        <v>47.53</v>
      </c>
      <c r="E163" s="15" t="n">
        <v>47.53</v>
      </c>
      <c r="F163" s="15" t="n">
        <f aca="false">ROUND(E163-D163,2)</f>
        <v>0</v>
      </c>
      <c r="G163" s="29" t="n">
        <v>2</v>
      </c>
      <c r="H163" s="41" t="s">
        <v>97</v>
      </c>
      <c r="I163" s="41" t="s">
        <v>1472</v>
      </c>
      <c r="J163" s="41" t="s">
        <v>1473</v>
      </c>
      <c r="K163" s="30" t="s">
        <v>1474</v>
      </c>
    </row>
    <row r="164" customFormat="false" ht="15" hidden="false" customHeight="false" outlineLevel="0" collapsed="false">
      <c r="A164" s="42" t="s">
        <v>823</v>
      </c>
      <c r="B164" s="42" t="s">
        <v>1446</v>
      </c>
      <c r="C164" s="33" t="s">
        <v>1447</v>
      </c>
      <c r="D164" s="11" t="n">
        <v>47.27</v>
      </c>
      <c r="E164" s="11" t="n">
        <v>47.27</v>
      </c>
      <c r="F164" s="11" t="n">
        <f aca="false">ROUND(E164-D164,2)</f>
        <v>0</v>
      </c>
      <c r="G164" s="32" t="n">
        <v>3</v>
      </c>
      <c r="H164" s="42" t="s">
        <v>97</v>
      </c>
      <c r="I164" s="42" t="s">
        <v>1448</v>
      </c>
      <c r="J164" s="42" t="s">
        <v>1475</v>
      </c>
      <c r="K164" s="33" t="s">
        <v>1476</v>
      </c>
    </row>
    <row r="165" customFormat="false" ht="15" hidden="false" customHeight="false" outlineLevel="0" collapsed="false">
      <c r="A165" s="41" t="s">
        <v>852</v>
      </c>
      <c r="B165" s="41" t="s">
        <v>1012</v>
      </c>
      <c r="C165" s="30" t="s">
        <v>1013</v>
      </c>
      <c r="D165" s="15" t="n">
        <v>46.51</v>
      </c>
      <c r="E165" s="15" t="n">
        <v>46.51</v>
      </c>
      <c r="F165" s="15" t="n">
        <f aca="false">ROUND(E165-D165,2)</f>
        <v>0</v>
      </c>
      <c r="G165" s="29" t="n">
        <v>2</v>
      </c>
      <c r="H165" s="41" t="s">
        <v>97</v>
      </c>
      <c r="I165" s="41" t="s">
        <v>1014</v>
      </c>
      <c r="J165" s="41" t="s">
        <v>1477</v>
      </c>
      <c r="K165" s="30" t="s">
        <v>1478</v>
      </c>
    </row>
    <row r="166" customFormat="false" ht="15" hidden="false" customHeight="false" outlineLevel="0" collapsed="false">
      <c r="A166" s="42" t="s">
        <v>823</v>
      </c>
      <c r="B166" s="42" t="s">
        <v>1451</v>
      </c>
      <c r="C166" s="33" t="s">
        <v>1452</v>
      </c>
      <c r="D166" s="11" t="n">
        <v>46.5</v>
      </c>
      <c r="E166" s="11" t="n">
        <v>46.5</v>
      </c>
      <c r="F166" s="11" t="n">
        <f aca="false">ROUND(E166-D166,2)</f>
        <v>0</v>
      </c>
      <c r="G166" s="32" t="n">
        <v>2</v>
      </c>
      <c r="H166" s="42" t="s">
        <v>97</v>
      </c>
      <c r="I166" s="42" t="s">
        <v>1453</v>
      </c>
      <c r="J166" s="42" t="s">
        <v>1479</v>
      </c>
      <c r="K166" s="33" t="s">
        <v>1480</v>
      </c>
    </row>
    <row r="167" customFormat="false" ht="15" hidden="false" customHeight="false" outlineLevel="0" collapsed="false">
      <c r="A167" s="41" t="s">
        <v>877</v>
      </c>
      <c r="B167" s="41" t="s">
        <v>1441</v>
      </c>
      <c r="C167" s="30" t="s">
        <v>1442</v>
      </c>
      <c r="D167" s="15" t="n">
        <v>46.29</v>
      </c>
      <c r="E167" s="15" t="n">
        <v>46.29</v>
      </c>
      <c r="F167" s="15" t="n">
        <f aca="false">ROUND(E167-D167,2)</f>
        <v>0</v>
      </c>
      <c r="G167" s="29" t="n">
        <v>2</v>
      </c>
      <c r="H167" s="41" t="s">
        <v>97</v>
      </c>
      <c r="I167" s="41" t="s">
        <v>1443</v>
      </c>
      <c r="J167" s="41" t="s">
        <v>1481</v>
      </c>
      <c r="K167" s="30" t="s">
        <v>1482</v>
      </c>
    </row>
    <row r="168" customFormat="false" ht="15" hidden="false" customHeight="false" outlineLevel="0" collapsed="false">
      <c r="A168" s="42" t="s">
        <v>877</v>
      </c>
      <c r="B168" s="42" t="s">
        <v>1012</v>
      </c>
      <c r="C168" s="33" t="s">
        <v>1013</v>
      </c>
      <c r="D168" s="11" t="n">
        <v>45.94</v>
      </c>
      <c r="E168" s="11" t="n">
        <v>45.94</v>
      </c>
      <c r="F168" s="11" t="n">
        <f aca="false">ROUND(E168-D168,2)</f>
        <v>0</v>
      </c>
      <c r="G168" s="32" t="n">
        <v>2</v>
      </c>
      <c r="H168" s="42" t="s">
        <v>97</v>
      </c>
      <c r="I168" s="42" t="s">
        <v>1014</v>
      </c>
      <c r="J168" s="42" t="s">
        <v>1483</v>
      </c>
      <c r="K168" s="33" t="s">
        <v>1484</v>
      </c>
    </row>
    <row r="169" customFormat="false" ht="15" hidden="false" customHeight="false" outlineLevel="0" collapsed="false">
      <c r="A169" s="41" t="s">
        <v>877</v>
      </c>
      <c r="B169" s="41" t="s">
        <v>1470</v>
      </c>
      <c r="C169" s="30" t="s">
        <v>1485</v>
      </c>
      <c r="D169" s="15" t="n">
        <v>45.81</v>
      </c>
      <c r="E169" s="15" t="n">
        <v>45.81</v>
      </c>
      <c r="F169" s="15" t="n">
        <f aca="false">ROUND(E169-D169,2)</f>
        <v>0</v>
      </c>
      <c r="G169" s="29" t="n">
        <v>2</v>
      </c>
      <c r="H169" s="41" t="s">
        <v>97</v>
      </c>
      <c r="I169" s="41" t="s">
        <v>1472</v>
      </c>
      <c r="J169" s="41" t="s">
        <v>1486</v>
      </c>
      <c r="K169" s="30" t="s">
        <v>1487</v>
      </c>
    </row>
    <row r="170" customFormat="false" ht="15" hidden="false" customHeight="false" outlineLevel="0" collapsed="false">
      <c r="A170" s="42" t="s">
        <v>823</v>
      </c>
      <c r="B170" s="42" t="s">
        <v>1488</v>
      </c>
      <c r="C170" s="33" t="s">
        <v>1489</v>
      </c>
      <c r="D170" s="11" t="n">
        <v>44.48</v>
      </c>
      <c r="E170" s="11" t="n">
        <v>44.48</v>
      </c>
      <c r="F170" s="11" t="n">
        <f aca="false">ROUND(E170-D170,2)</f>
        <v>0</v>
      </c>
      <c r="G170" s="32" t="n">
        <v>3</v>
      </c>
      <c r="H170" s="42" t="s">
        <v>97</v>
      </c>
      <c r="I170" s="42" t="s">
        <v>1490</v>
      </c>
      <c r="J170" s="42" t="s">
        <v>1491</v>
      </c>
      <c r="K170" s="33" t="s">
        <v>1492</v>
      </c>
    </row>
    <row r="171" customFormat="false" ht="15" hidden="false" customHeight="false" outlineLevel="0" collapsed="false">
      <c r="A171" s="41" t="s">
        <v>877</v>
      </c>
      <c r="B171" s="41" t="s">
        <v>1456</v>
      </c>
      <c r="C171" s="30" t="s">
        <v>1457</v>
      </c>
      <c r="D171" s="15" t="n">
        <v>44.21</v>
      </c>
      <c r="E171" s="15" t="n">
        <v>44.21</v>
      </c>
      <c r="F171" s="15" t="n">
        <f aca="false">ROUND(E171-D171,2)</f>
        <v>0</v>
      </c>
      <c r="G171" s="29" t="n">
        <v>2</v>
      </c>
      <c r="H171" s="41" t="s">
        <v>97</v>
      </c>
      <c r="I171" s="41" t="s">
        <v>1458</v>
      </c>
      <c r="J171" s="41" t="s">
        <v>1493</v>
      </c>
      <c r="K171" s="30" t="s">
        <v>1494</v>
      </c>
    </row>
    <row r="172" customFormat="false" ht="22.35" hidden="false" customHeight="false" outlineLevel="0" collapsed="false">
      <c r="A172" s="42" t="s">
        <v>823</v>
      </c>
      <c r="B172" s="42" t="s">
        <v>1247</v>
      </c>
      <c r="C172" s="33" t="s">
        <v>1248</v>
      </c>
      <c r="D172" s="11" t="n">
        <v>43.78</v>
      </c>
      <c r="E172" s="11" t="n">
        <v>43.78</v>
      </c>
      <c r="F172" s="11" t="n">
        <f aca="false">ROUND(E172-D172,2)</f>
        <v>0</v>
      </c>
      <c r="G172" s="32" t="n">
        <v>2</v>
      </c>
      <c r="H172" s="42" t="s">
        <v>97</v>
      </c>
      <c r="I172" s="42" t="s">
        <v>1249</v>
      </c>
      <c r="J172" s="42" t="s">
        <v>1495</v>
      </c>
      <c r="K172" s="33" t="s">
        <v>1496</v>
      </c>
    </row>
    <row r="173" customFormat="false" ht="22.35" hidden="false" customHeight="false" outlineLevel="0" collapsed="false">
      <c r="A173" s="41" t="s">
        <v>823</v>
      </c>
      <c r="B173" s="41" t="s">
        <v>1497</v>
      </c>
      <c r="C173" s="30" t="s">
        <v>1498</v>
      </c>
      <c r="D173" s="15" t="n">
        <v>43.77</v>
      </c>
      <c r="E173" s="15" t="n">
        <v>43.77</v>
      </c>
      <c r="F173" s="15" t="n">
        <f aca="false">ROUND(E173-D173,2)</f>
        <v>0</v>
      </c>
      <c r="G173" s="29" t="n">
        <v>3</v>
      </c>
      <c r="H173" s="41" t="s">
        <v>97</v>
      </c>
      <c r="I173" s="41" t="s">
        <v>1499</v>
      </c>
      <c r="J173" s="41" t="s">
        <v>1500</v>
      </c>
      <c r="K173" s="30" t="s">
        <v>1501</v>
      </c>
    </row>
    <row r="174" customFormat="false" ht="15" hidden="false" customHeight="false" outlineLevel="0" collapsed="false">
      <c r="A174" s="42" t="s">
        <v>852</v>
      </c>
      <c r="B174" s="42" t="s">
        <v>1446</v>
      </c>
      <c r="C174" s="33" t="s">
        <v>1447</v>
      </c>
      <c r="D174" s="11" t="n">
        <v>42.93</v>
      </c>
      <c r="E174" s="11" t="n">
        <v>42.93</v>
      </c>
      <c r="F174" s="11" t="n">
        <f aca="false">ROUND(E174-D174,2)</f>
        <v>0</v>
      </c>
      <c r="G174" s="32" t="n">
        <v>3</v>
      </c>
      <c r="H174" s="42" t="s">
        <v>97</v>
      </c>
      <c r="I174" s="42" t="s">
        <v>1448</v>
      </c>
      <c r="J174" s="42" t="s">
        <v>1502</v>
      </c>
      <c r="K174" s="33" t="s">
        <v>1503</v>
      </c>
    </row>
    <row r="175" customFormat="false" ht="15" hidden="false" customHeight="false" outlineLevel="0" collapsed="false">
      <c r="A175" s="41" t="s">
        <v>877</v>
      </c>
      <c r="B175" s="41" t="s">
        <v>1451</v>
      </c>
      <c r="C175" s="30" t="s">
        <v>1452</v>
      </c>
      <c r="D175" s="15" t="n">
        <v>42.25</v>
      </c>
      <c r="E175" s="15" t="n">
        <v>42.25</v>
      </c>
      <c r="F175" s="15" t="n">
        <f aca="false">ROUND(E175-D175,2)</f>
        <v>0</v>
      </c>
      <c r="G175" s="29" t="n">
        <v>2</v>
      </c>
      <c r="H175" s="41" t="s">
        <v>97</v>
      </c>
      <c r="I175" s="41" t="s">
        <v>1453</v>
      </c>
      <c r="J175" s="41" t="s">
        <v>1504</v>
      </c>
      <c r="K175" s="30" t="s">
        <v>1505</v>
      </c>
    </row>
    <row r="176" customFormat="false" ht="22.35" hidden="false" customHeight="false" outlineLevel="0" collapsed="false">
      <c r="A176" s="42" t="s">
        <v>877</v>
      </c>
      <c r="B176" s="42" t="s">
        <v>1506</v>
      </c>
      <c r="C176" s="33" t="s">
        <v>1507</v>
      </c>
      <c r="D176" s="11" t="n">
        <v>42.07</v>
      </c>
      <c r="E176" s="11" t="n">
        <v>42.07</v>
      </c>
      <c r="F176" s="11" t="n">
        <f aca="false">ROUND(E176-D176,2)</f>
        <v>0</v>
      </c>
      <c r="G176" s="32" t="n">
        <v>4</v>
      </c>
      <c r="H176" s="42" t="s">
        <v>97</v>
      </c>
      <c r="I176" s="42" t="s">
        <v>1508</v>
      </c>
      <c r="J176" s="42" t="s">
        <v>1509</v>
      </c>
      <c r="K176" s="33" t="s">
        <v>1510</v>
      </c>
    </row>
    <row r="177" customFormat="false" ht="15" hidden="false" customHeight="false" outlineLevel="0" collapsed="false">
      <c r="A177" s="41" t="s">
        <v>852</v>
      </c>
      <c r="B177" s="41" t="s">
        <v>1322</v>
      </c>
      <c r="C177" s="30" t="s">
        <v>1323</v>
      </c>
      <c r="D177" s="15" t="n">
        <v>42.01</v>
      </c>
      <c r="E177" s="15" t="n">
        <v>42.01</v>
      </c>
      <c r="F177" s="15" t="n">
        <f aca="false">ROUND(E177-D177,2)</f>
        <v>0</v>
      </c>
      <c r="G177" s="29" t="n">
        <v>2</v>
      </c>
      <c r="H177" s="41" t="s">
        <v>97</v>
      </c>
      <c r="I177" s="41" t="s">
        <v>1324</v>
      </c>
      <c r="J177" s="41" t="s">
        <v>1511</v>
      </c>
      <c r="K177" s="30" t="s">
        <v>1512</v>
      </c>
    </row>
    <row r="178" customFormat="false" ht="15" hidden="false" customHeight="false" outlineLevel="0" collapsed="false">
      <c r="A178" s="42" t="s">
        <v>829</v>
      </c>
      <c r="B178" s="42" t="s">
        <v>1446</v>
      </c>
      <c r="C178" s="33" t="s">
        <v>1447</v>
      </c>
      <c r="D178" s="11" t="n">
        <v>41.04</v>
      </c>
      <c r="E178" s="11" t="n">
        <v>41.04</v>
      </c>
      <c r="F178" s="11" t="n">
        <f aca="false">ROUND(E178-D178,2)</f>
        <v>0</v>
      </c>
      <c r="G178" s="32" t="n">
        <v>3</v>
      </c>
      <c r="H178" s="42" t="s">
        <v>97</v>
      </c>
      <c r="I178" s="42" t="s">
        <v>1448</v>
      </c>
      <c r="J178" s="42" t="s">
        <v>1513</v>
      </c>
      <c r="K178" s="33" t="s">
        <v>1514</v>
      </c>
    </row>
    <row r="179" customFormat="false" ht="15" hidden="false" customHeight="false" outlineLevel="0" collapsed="false">
      <c r="A179" s="41" t="s">
        <v>852</v>
      </c>
      <c r="B179" s="41" t="s">
        <v>1463</v>
      </c>
      <c r="C179" s="30" t="s">
        <v>1464</v>
      </c>
      <c r="D179" s="15" t="n">
        <v>41.01</v>
      </c>
      <c r="E179" s="15" t="n">
        <v>41.01</v>
      </c>
      <c r="F179" s="15" t="n">
        <f aca="false">ROUND(E179-D179,2)</f>
        <v>0</v>
      </c>
      <c r="G179" s="29" t="n">
        <v>4</v>
      </c>
      <c r="H179" s="41" t="s">
        <v>97</v>
      </c>
      <c r="I179" s="41" t="s">
        <v>1465</v>
      </c>
      <c r="J179" s="41" t="s">
        <v>1515</v>
      </c>
      <c r="K179" s="30" t="s">
        <v>1516</v>
      </c>
    </row>
    <row r="180" customFormat="false" ht="22.35" hidden="false" customHeight="false" outlineLevel="0" collapsed="false">
      <c r="A180" s="42" t="s">
        <v>823</v>
      </c>
      <c r="B180" s="42" t="s">
        <v>1403</v>
      </c>
      <c r="C180" s="33" t="s">
        <v>1415</v>
      </c>
      <c r="D180" s="11" t="n">
        <v>40.04</v>
      </c>
      <c r="E180" s="11" t="n">
        <v>40.04</v>
      </c>
      <c r="F180" s="11" t="n">
        <f aca="false">ROUND(E180-D180,2)</f>
        <v>0</v>
      </c>
      <c r="G180" s="32" t="n">
        <v>2</v>
      </c>
      <c r="H180" s="42" t="s">
        <v>97</v>
      </c>
      <c r="I180" s="42" t="s">
        <v>1405</v>
      </c>
      <c r="J180" s="42" t="s">
        <v>1517</v>
      </c>
      <c r="K180" s="33" t="s">
        <v>1518</v>
      </c>
    </row>
    <row r="181" customFormat="false" ht="15" hidden="false" customHeight="false" outlineLevel="0" collapsed="false">
      <c r="A181" s="41" t="s">
        <v>877</v>
      </c>
      <c r="B181" s="41" t="s">
        <v>1322</v>
      </c>
      <c r="C181" s="30" t="s">
        <v>1519</v>
      </c>
      <c r="D181" s="15" t="n">
        <v>39</v>
      </c>
      <c r="E181" s="15" t="n">
        <v>39</v>
      </c>
      <c r="F181" s="15" t="n">
        <f aca="false">ROUND(E181-D181,2)</f>
        <v>0</v>
      </c>
      <c r="G181" s="29" t="n">
        <v>2</v>
      </c>
      <c r="H181" s="41" t="s">
        <v>97</v>
      </c>
      <c r="I181" s="41" t="s">
        <v>1324</v>
      </c>
      <c r="J181" s="41" t="s">
        <v>1520</v>
      </c>
      <c r="K181" s="30" t="s">
        <v>1521</v>
      </c>
    </row>
    <row r="182" customFormat="false" ht="15" hidden="false" customHeight="false" outlineLevel="0" collapsed="false">
      <c r="A182" s="42" t="s">
        <v>823</v>
      </c>
      <c r="B182" s="42" t="s">
        <v>1470</v>
      </c>
      <c r="C182" s="33" t="s">
        <v>1471</v>
      </c>
      <c r="D182" s="11" t="n">
        <v>36.09</v>
      </c>
      <c r="E182" s="11" t="n">
        <v>36.09</v>
      </c>
      <c r="F182" s="11" t="n">
        <f aca="false">ROUND(E182-D182,2)</f>
        <v>0</v>
      </c>
      <c r="G182" s="32" t="n">
        <v>2</v>
      </c>
      <c r="H182" s="42" t="s">
        <v>97</v>
      </c>
      <c r="I182" s="42" t="s">
        <v>1472</v>
      </c>
      <c r="J182" s="42" t="s">
        <v>1522</v>
      </c>
      <c r="K182" s="33" t="s">
        <v>1523</v>
      </c>
    </row>
    <row r="183" customFormat="false" ht="15" hidden="false" customHeight="false" outlineLevel="0" collapsed="false">
      <c r="A183" s="41" t="s">
        <v>852</v>
      </c>
      <c r="B183" s="41" t="s">
        <v>1524</v>
      </c>
      <c r="C183" s="30" t="s">
        <v>1525</v>
      </c>
      <c r="D183" s="15" t="n">
        <v>35.92</v>
      </c>
      <c r="E183" s="15" t="n">
        <v>35.92</v>
      </c>
      <c r="F183" s="15" t="n">
        <f aca="false">ROUND(E183-D183,2)</f>
        <v>0</v>
      </c>
      <c r="G183" s="29" t="n">
        <v>2</v>
      </c>
      <c r="H183" s="41" t="s">
        <v>97</v>
      </c>
      <c r="I183" s="41" t="s">
        <v>1526</v>
      </c>
      <c r="J183" s="41" t="s">
        <v>1527</v>
      </c>
      <c r="K183" s="30" t="s">
        <v>1528</v>
      </c>
    </row>
    <row r="184" customFormat="false" ht="15" hidden="false" customHeight="false" outlineLevel="0" collapsed="false">
      <c r="A184" s="42" t="s">
        <v>852</v>
      </c>
      <c r="B184" s="42" t="s">
        <v>1423</v>
      </c>
      <c r="C184" s="33" t="s">
        <v>1424</v>
      </c>
      <c r="D184" s="11" t="n">
        <v>35.24</v>
      </c>
      <c r="E184" s="11" t="n">
        <v>35.24</v>
      </c>
      <c r="F184" s="11" t="n">
        <f aca="false">ROUND(E184-D184,2)</f>
        <v>0</v>
      </c>
      <c r="G184" s="32" t="n">
        <v>2</v>
      </c>
      <c r="H184" s="42" t="s">
        <v>97</v>
      </c>
      <c r="I184" s="42" t="s">
        <v>1425</v>
      </c>
      <c r="J184" s="42" t="s">
        <v>1529</v>
      </c>
      <c r="K184" s="33" t="s">
        <v>1530</v>
      </c>
    </row>
    <row r="185" customFormat="false" ht="15" hidden="false" customHeight="false" outlineLevel="0" collapsed="false">
      <c r="A185" s="41" t="s">
        <v>829</v>
      </c>
      <c r="B185" s="41" t="s">
        <v>1531</v>
      </c>
      <c r="C185" s="30" t="s">
        <v>1532</v>
      </c>
      <c r="D185" s="15" t="n">
        <v>34.72</v>
      </c>
      <c r="E185" s="15" t="n">
        <v>34.72</v>
      </c>
      <c r="F185" s="15" t="n">
        <f aca="false">ROUND(E185-D185,2)</f>
        <v>0</v>
      </c>
      <c r="G185" s="29" t="n">
        <v>2</v>
      </c>
      <c r="H185" s="41" t="s">
        <v>97</v>
      </c>
      <c r="I185" s="41" t="s">
        <v>1533</v>
      </c>
      <c r="J185" s="41" t="s">
        <v>1534</v>
      </c>
      <c r="K185" s="30" t="s">
        <v>1535</v>
      </c>
    </row>
    <row r="186" customFormat="false" ht="15" hidden="false" customHeight="false" outlineLevel="0" collapsed="false">
      <c r="A186" s="42" t="s">
        <v>852</v>
      </c>
      <c r="B186" s="42" t="s">
        <v>1536</v>
      </c>
      <c r="C186" s="33" t="s">
        <v>1537</v>
      </c>
      <c r="D186" s="11" t="n">
        <v>34.29</v>
      </c>
      <c r="E186" s="11" t="n">
        <v>34.29</v>
      </c>
      <c r="F186" s="11" t="n">
        <f aca="false">ROUND(E186-D186,2)</f>
        <v>0</v>
      </c>
      <c r="G186" s="32" t="n">
        <v>2</v>
      </c>
      <c r="H186" s="42" t="s">
        <v>97</v>
      </c>
      <c r="I186" s="42" t="s">
        <v>1538</v>
      </c>
      <c r="J186" s="42" t="s">
        <v>1539</v>
      </c>
      <c r="K186" s="33" t="s">
        <v>1540</v>
      </c>
    </row>
    <row r="187" customFormat="false" ht="15" hidden="false" customHeight="false" outlineLevel="0" collapsed="false">
      <c r="A187" s="41" t="s">
        <v>919</v>
      </c>
      <c r="B187" s="41" t="s">
        <v>1423</v>
      </c>
      <c r="C187" s="30" t="s">
        <v>1424</v>
      </c>
      <c r="D187" s="15" t="n">
        <v>33.98</v>
      </c>
      <c r="E187" s="15" t="n">
        <v>33.98</v>
      </c>
      <c r="F187" s="15" t="n">
        <f aca="false">ROUND(E187-D187,2)</f>
        <v>0</v>
      </c>
      <c r="G187" s="29" t="n">
        <v>2</v>
      </c>
      <c r="H187" s="41" t="s">
        <v>97</v>
      </c>
      <c r="I187" s="41" t="s">
        <v>1425</v>
      </c>
      <c r="J187" s="41" t="s">
        <v>1541</v>
      </c>
      <c r="K187" s="30" t="s">
        <v>1542</v>
      </c>
    </row>
    <row r="188" customFormat="false" ht="15" hidden="false" customHeight="false" outlineLevel="0" collapsed="false">
      <c r="A188" s="42" t="s">
        <v>852</v>
      </c>
      <c r="B188" s="42" t="s">
        <v>1488</v>
      </c>
      <c r="C188" s="33" t="s">
        <v>1489</v>
      </c>
      <c r="D188" s="11" t="n">
        <v>33.41</v>
      </c>
      <c r="E188" s="11" t="n">
        <v>33.41</v>
      </c>
      <c r="F188" s="11" t="n">
        <f aca="false">ROUND(E188-D188,2)</f>
        <v>0</v>
      </c>
      <c r="G188" s="32" t="n">
        <v>2</v>
      </c>
      <c r="H188" s="42" t="s">
        <v>97</v>
      </c>
      <c r="I188" s="42" t="s">
        <v>1490</v>
      </c>
      <c r="J188" s="42" t="s">
        <v>1543</v>
      </c>
      <c r="K188" s="33" t="s">
        <v>1544</v>
      </c>
    </row>
    <row r="189" customFormat="false" ht="22.35" hidden="false" customHeight="false" outlineLevel="0" collapsed="false">
      <c r="A189" s="41" t="s">
        <v>852</v>
      </c>
      <c r="B189" s="41" t="s">
        <v>1545</v>
      </c>
      <c r="C189" s="30" t="s">
        <v>1546</v>
      </c>
      <c r="D189" s="15" t="n">
        <v>33.17</v>
      </c>
      <c r="E189" s="15" t="n">
        <v>33.17</v>
      </c>
      <c r="F189" s="15" t="n">
        <f aca="false">ROUND(E189-D189,2)</f>
        <v>0</v>
      </c>
      <c r="G189" s="29" t="n">
        <v>2</v>
      </c>
      <c r="H189" s="41" t="s">
        <v>97</v>
      </c>
      <c r="I189" s="41" t="s">
        <v>1547</v>
      </c>
      <c r="J189" s="41" t="s">
        <v>1548</v>
      </c>
      <c r="K189" s="30" t="s">
        <v>1549</v>
      </c>
    </row>
    <row r="190" customFormat="false" ht="15" hidden="false" customHeight="false" outlineLevel="0" collapsed="false">
      <c r="A190" s="42" t="s">
        <v>852</v>
      </c>
      <c r="B190" s="42" t="s">
        <v>1550</v>
      </c>
      <c r="C190" s="33" t="s">
        <v>1551</v>
      </c>
      <c r="D190" s="11" t="n">
        <v>32.79</v>
      </c>
      <c r="E190" s="11" t="n">
        <v>32.79</v>
      </c>
      <c r="F190" s="11" t="n">
        <f aca="false">ROUND(E190-D190,2)</f>
        <v>0</v>
      </c>
      <c r="G190" s="32" t="n">
        <v>2</v>
      </c>
      <c r="H190" s="42" t="s">
        <v>97</v>
      </c>
      <c r="I190" s="42" t="s">
        <v>1552</v>
      </c>
      <c r="J190" s="42" t="s">
        <v>1553</v>
      </c>
      <c r="K190" s="33" t="s">
        <v>1554</v>
      </c>
    </row>
    <row r="191" customFormat="false" ht="15" hidden="false" customHeight="false" outlineLevel="0" collapsed="false">
      <c r="A191" s="41" t="s">
        <v>852</v>
      </c>
      <c r="B191" s="41" t="s">
        <v>1555</v>
      </c>
      <c r="C191" s="30" t="s">
        <v>1556</v>
      </c>
      <c r="D191" s="15" t="n">
        <v>32.55</v>
      </c>
      <c r="E191" s="15" t="n">
        <v>32.55</v>
      </c>
      <c r="F191" s="15" t="n">
        <f aca="false">ROUND(E191-D191,2)</f>
        <v>0</v>
      </c>
      <c r="G191" s="29" t="n">
        <v>1</v>
      </c>
      <c r="H191" s="41" t="s">
        <v>97</v>
      </c>
      <c r="I191" s="41" t="s">
        <v>1557</v>
      </c>
      <c r="J191" s="41" t="s">
        <v>1558</v>
      </c>
      <c r="K191" s="30" t="s">
        <v>1559</v>
      </c>
    </row>
    <row r="192" customFormat="false" ht="15" hidden="false" customHeight="false" outlineLevel="0" collapsed="false">
      <c r="A192" s="42" t="s">
        <v>852</v>
      </c>
      <c r="B192" s="42" t="s">
        <v>1560</v>
      </c>
      <c r="C192" s="33" t="s">
        <v>1561</v>
      </c>
      <c r="D192" s="11" t="n">
        <v>32.55</v>
      </c>
      <c r="E192" s="11" t="n">
        <v>32.55</v>
      </c>
      <c r="F192" s="11" t="n">
        <f aca="false">ROUND(E192-D192,2)</f>
        <v>0</v>
      </c>
      <c r="G192" s="32" t="n">
        <v>1</v>
      </c>
      <c r="H192" s="42" t="s">
        <v>97</v>
      </c>
      <c r="I192" s="42" t="s">
        <v>1562</v>
      </c>
      <c r="J192" s="42" t="s">
        <v>1563</v>
      </c>
      <c r="K192" s="33" t="s">
        <v>1564</v>
      </c>
    </row>
    <row r="193" customFormat="false" ht="15" hidden="false" customHeight="false" outlineLevel="0" collapsed="false">
      <c r="A193" s="41" t="s">
        <v>852</v>
      </c>
      <c r="B193" s="41" t="s">
        <v>1565</v>
      </c>
      <c r="C193" s="30" t="s">
        <v>1566</v>
      </c>
      <c r="D193" s="15" t="n">
        <v>32.55</v>
      </c>
      <c r="E193" s="15" t="n">
        <v>32.55</v>
      </c>
      <c r="F193" s="15" t="n">
        <f aca="false">ROUND(E193-D193,2)</f>
        <v>0</v>
      </c>
      <c r="G193" s="29" t="n">
        <v>1</v>
      </c>
      <c r="H193" s="41" t="s">
        <v>97</v>
      </c>
      <c r="I193" s="41" t="s">
        <v>1567</v>
      </c>
      <c r="J193" s="41" t="s">
        <v>1568</v>
      </c>
      <c r="K193" s="30" t="s">
        <v>1569</v>
      </c>
    </row>
    <row r="194" customFormat="false" ht="15" hidden="false" customHeight="false" outlineLevel="0" collapsed="false">
      <c r="A194" s="42" t="s">
        <v>852</v>
      </c>
      <c r="B194" s="42" t="s">
        <v>1570</v>
      </c>
      <c r="C194" s="33" t="s">
        <v>1571</v>
      </c>
      <c r="D194" s="11" t="n">
        <v>32.55</v>
      </c>
      <c r="E194" s="11" t="n">
        <v>32.55</v>
      </c>
      <c r="F194" s="11" t="n">
        <f aca="false">ROUND(E194-D194,2)</f>
        <v>0</v>
      </c>
      <c r="G194" s="32" t="n">
        <v>1</v>
      </c>
      <c r="H194" s="42" t="s">
        <v>97</v>
      </c>
      <c r="I194" s="42" t="s">
        <v>1572</v>
      </c>
      <c r="J194" s="42" t="s">
        <v>1573</v>
      </c>
      <c r="K194" s="33" t="s">
        <v>1574</v>
      </c>
    </row>
    <row r="195" customFormat="false" ht="15" hidden="false" customHeight="false" outlineLevel="0" collapsed="false">
      <c r="A195" s="41" t="s">
        <v>829</v>
      </c>
      <c r="B195" s="41" t="s">
        <v>1418</v>
      </c>
      <c r="C195" s="30" t="s">
        <v>1419</v>
      </c>
      <c r="D195" s="15" t="n">
        <v>32.55</v>
      </c>
      <c r="E195" s="15" t="n">
        <v>32.55</v>
      </c>
      <c r="F195" s="15" t="n">
        <f aca="false">ROUND(E195-D195,2)</f>
        <v>0</v>
      </c>
      <c r="G195" s="29" t="n">
        <v>1</v>
      </c>
      <c r="H195" s="41" t="s">
        <v>97</v>
      </c>
      <c r="I195" s="41" t="s">
        <v>1420</v>
      </c>
      <c r="J195" s="41" t="s">
        <v>1575</v>
      </c>
      <c r="K195" s="30" t="s">
        <v>1576</v>
      </c>
    </row>
    <row r="196" customFormat="false" ht="15" hidden="false" customHeight="false" outlineLevel="0" collapsed="false">
      <c r="A196" s="42" t="s">
        <v>877</v>
      </c>
      <c r="B196" s="42" t="s">
        <v>1418</v>
      </c>
      <c r="C196" s="33" t="s">
        <v>1419</v>
      </c>
      <c r="D196" s="11" t="n">
        <v>32.47</v>
      </c>
      <c r="E196" s="11" t="n">
        <v>32.47</v>
      </c>
      <c r="F196" s="11" t="n">
        <f aca="false">ROUND(E196-D196,2)</f>
        <v>0</v>
      </c>
      <c r="G196" s="32" t="n">
        <v>2</v>
      </c>
      <c r="H196" s="42" t="s">
        <v>97</v>
      </c>
      <c r="I196" s="42" t="s">
        <v>1420</v>
      </c>
      <c r="J196" s="42" t="s">
        <v>1577</v>
      </c>
      <c r="K196" s="33" t="s">
        <v>1578</v>
      </c>
    </row>
    <row r="197" customFormat="false" ht="15" hidden="false" customHeight="false" outlineLevel="0" collapsed="false">
      <c r="A197" s="41" t="s">
        <v>919</v>
      </c>
      <c r="B197" s="41" t="s">
        <v>1524</v>
      </c>
      <c r="C197" s="30" t="s">
        <v>1525</v>
      </c>
      <c r="D197" s="15" t="n">
        <v>31.97</v>
      </c>
      <c r="E197" s="15" t="n">
        <v>31.97</v>
      </c>
      <c r="F197" s="15" t="n">
        <f aca="false">ROUND(E197-D197,2)</f>
        <v>0</v>
      </c>
      <c r="G197" s="29" t="n">
        <v>2</v>
      </c>
      <c r="H197" s="41" t="s">
        <v>97</v>
      </c>
      <c r="I197" s="41" t="s">
        <v>1526</v>
      </c>
      <c r="J197" s="41" t="s">
        <v>1579</v>
      </c>
      <c r="K197" s="30" t="s">
        <v>1580</v>
      </c>
    </row>
    <row r="198" customFormat="false" ht="15" hidden="false" customHeight="false" outlineLevel="0" collapsed="false">
      <c r="A198" s="42" t="s">
        <v>823</v>
      </c>
      <c r="B198" s="42" t="s">
        <v>1524</v>
      </c>
      <c r="C198" s="33" t="s">
        <v>1525</v>
      </c>
      <c r="D198" s="11" t="n">
        <v>31.21</v>
      </c>
      <c r="E198" s="11" t="n">
        <v>31.21</v>
      </c>
      <c r="F198" s="11" t="n">
        <f aca="false">ROUND(E198-D198,2)</f>
        <v>0</v>
      </c>
      <c r="G198" s="32" t="n">
        <v>2</v>
      </c>
      <c r="H198" s="42" t="s">
        <v>97</v>
      </c>
      <c r="I198" s="42" t="s">
        <v>1526</v>
      </c>
      <c r="J198" s="42" t="s">
        <v>1581</v>
      </c>
      <c r="K198" s="33" t="s">
        <v>1582</v>
      </c>
    </row>
    <row r="199" customFormat="false" ht="15" hidden="false" customHeight="false" outlineLevel="0" collapsed="false">
      <c r="A199" s="41" t="s">
        <v>877</v>
      </c>
      <c r="B199" s="41" t="s">
        <v>1536</v>
      </c>
      <c r="C199" s="30" t="s">
        <v>1537</v>
      </c>
      <c r="D199" s="15" t="n">
        <v>30.97</v>
      </c>
      <c r="E199" s="15" t="n">
        <v>30.97</v>
      </c>
      <c r="F199" s="15" t="n">
        <f aca="false">ROUND(E199-D199,2)</f>
        <v>0</v>
      </c>
      <c r="G199" s="29" t="n">
        <v>2</v>
      </c>
      <c r="H199" s="41" t="s">
        <v>97</v>
      </c>
      <c r="I199" s="41" t="s">
        <v>1538</v>
      </c>
      <c r="J199" s="41" t="s">
        <v>1583</v>
      </c>
      <c r="K199" s="30" t="s">
        <v>1584</v>
      </c>
    </row>
    <row r="200" customFormat="false" ht="53.7" hidden="false" customHeight="false" outlineLevel="0" collapsed="false">
      <c r="A200" s="42" t="s">
        <v>829</v>
      </c>
      <c r="B200" s="42" t="s">
        <v>1585</v>
      </c>
      <c r="C200" s="33" t="s">
        <v>1586</v>
      </c>
      <c r="D200" s="11" t="n">
        <v>30.66</v>
      </c>
      <c r="E200" s="11" t="n">
        <v>30.66</v>
      </c>
      <c r="F200" s="11" t="n">
        <f aca="false">ROUND(E200-D200,2)</f>
        <v>0</v>
      </c>
      <c r="G200" s="32" t="n">
        <v>32</v>
      </c>
      <c r="H200" s="42" t="s">
        <v>97</v>
      </c>
      <c r="I200" s="42" t="s">
        <v>1587</v>
      </c>
      <c r="J200" s="42" t="s">
        <v>1588</v>
      </c>
      <c r="K200" s="33" t="s">
        <v>1589</v>
      </c>
    </row>
    <row r="201" customFormat="false" ht="22.35" hidden="false" customHeight="false" outlineLevel="0" collapsed="false">
      <c r="A201" s="41" t="s">
        <v>829</v>
      </c>
      <c r="B201" s="41" t="s">
        <v>1590</v>
      </c>
      <c r="C201" s="30" t="s">
        <v>1591</v>
      </c>
      <c r="D201" s="15" t="n">
        <v>30.43</v>
      </c>
      <c r="E201" s="15" t="n">
        <v>30.43</v>
      </c>
      <c r="F201" s="15" t="n">
        <f aca="false">ROUND(E201-D201,2)</f>
        <v>0</v>
      </c>
      <c r="G201" s="29" t="n">
        <v>2</v>
      </c>
      <c r="H201" s="41" t="s">
        <v>97</v>
      </c>
      <c r="I201" s="41" t="s">
        <v>1592</v>
      </c>
      <c r="J201" s="41" t="s">
        <v>1593</v>
      </c>
      <c r="K201" s="30" t="s">
        <v>1594</v>
      </c>
    </row>
    <row r="202" customFormat="false" ht="15" hidden="false" customHeight="false" outlineLevel="0" collapsed="false">
      <c r="A202" s="42" t="s">
        <v>877</v>
      </c>
      <c r="B202" s="42" t="s">
        <v>1531</v>
      </c>
      <c r="C202" s="33" t="s">
        <v>1532</v>
      </c>
      <c r="D202" s="11" t="n">
        <v>30.2</v>
      </c>
      <c r="E202" s="11" t="n">
        <v>30.2</v>
      </c>
      <c r="F202" s="11" t="n">
        <f aca="false">ROUND(E202-D202,2)</f>
        <v>0</v>
      </c>
      <c r="G202" s="32" t="n">
        <v>2</v>
      </c>
      <c r="H202" s="42" t="s">
        <v>97</v>
      </c>
      <c r="I202" s="42" t="s">
        <v>1533</v>
      </c>
      <c r="J202" s="42" t="s">
        <v>1595</v>
      </c>
      <c r="K202" s="33" t="s">
        <v>1596</v>
      </c>
    </row>
    <row r="203" customFormat="false" ht="22.35" hidden="false" customHeight="false" outlineLevel="0" collapsed="false">
      <c r="A203" s="41" t="s">
        <v>877</v>
      </c>
      <c r="B203" s="41" t="s">
        <v>1545</v>
      </c>
      <c r="C203" s="30" t="s">
        <v>1597</v>
      </c>
      <c r="D203" s="15" t="n">
        <v>29.99</v>
      </c>
      <c r="E203" s="15" t="n">
        <v>29.99</v>
      </c>
      <c r="F203" s="15" t="n">
        <f aca="false">ROUND(E203-D203,2)</f>
        <v>0</v>
      </c>
      <c r="G203" s="29" t="n">
        <v>2</v>
      </c>
      <c r="H203" s="41" t="s">
        <v>97</v>
      </c>
      <c r="I203" s="41" t="s">
        <v>1547</v>
      </c>
      <c r="J203" s="41" t="s">
        <v>1598</v>
      </c>
      <c r="K203" s="30" t="s">
        <v>1599</v>
      </c>
    </row>
    <row r="204" customFormat="false" ht="22.35" hidden="false" customHeight="false" outlineLevel="0" collapsed="false">
      <c r="A204" s="42" t="s">
        <v>877</v>
      </c>
      <c r="B204" s="42" t="s">
        <v>1271</v>
      </c>
      <c r="C204" s="33" t="s">
        <v>1272</v>
      </c>
      <c r="D204" s="11" t="n">
        <v>29.97</v>
      </c>
      <c r="E204" s="11" t="n">
        <v>29.97</v>
      </c>
      <c r="F204" s="11" t="n">
        <f aca="false">ROUND(E204-D204,2)</f>
        <v>0</v>
      </c>
      <c r="G204" s="32" t="n">
        <v>2</v>
      </c>
      <c r="H204" s="42" t="s">
        <v>97</v>
      </c>
      <c r="I204" s="42" t="s">
        <v>1273</v>
      </c>
      <c r="J204" s="42" t="s">
        <v>1600</v>
      </c>
      <c r="K204" s="33" t="s">
        <v>1601</v>
      </c>
    </row>
    <row r="205" customFormat="false" ht="15" hidden="false" customHeight="false" outlineLevel="0" collapsed="false">
      <c r="A205" s="41" t="s">
        <v>877</v>
      </c>
      <c r="B205" s="41" t="s">
        <v>1550</v>
      </c>
      <c r="C205" s="30" t="s">
        <v>1551</v>
      </c>
      <c r="D205" s="15" t="n">
        <v>29.91</v>
      </c>
      <c r="E205" s="15" t="n">
        <v>29.91</v>
      </c>
      <c r="F205" s="15" t="n">
        <f aca="false">ROUND(E205-D205,2)</f>
        <v>0</v>
      </c>
      <c r="G205" s="29" t="n">
        <v>2</v>
      </c>
      <c r="H205" s="41" t="s">
        <v>97</v>
      </c>
      <c r="I205" s="41" t="s">
        <v>1552</v>
      </c>
      <c r="J205" s="41" t="s">
        <v>1602</v>
      </c>
      <c r="K205" s="30" t="s">
        <v>1603</v>
      </c>
    </row>
    <row r="206" customFormat="false" ht="22.35" hidden="false" customHeight="false" outlineLevel="0" collapsed="false">
      <c r="A206" s="42" t="s">
        <v>877</v>
      </c>
      <c r="B206" s="42" t="s">
        <v>1247</v>
      </c>
      <c r="C206" s="33" t="s">
        <v>1604</v>
      </c>
      <c r="D206" s="11" t="n">
        <v>29.4</v>
      </c>
      <c r="E206" s="11" t="n">
        <v>29.4</v>
      </c>
      <c r="F206" s="11" t="n">
        <f aca="false">ROUND(E206-D206,2)</f>
        <v>0</v>
      </c>
      <c r="G206" s="32" t="n">
        <v>1</v>
      </c>
      <c r="H206" s="42" t="s">
        <v>97</v>
      </c>
      <c r="I206" s="42" t="s">
        <v>1249</v>
      </c>
      <c r="J206" s="42" t="s">
        <v>1605</v>
      </c>
      <c r="K206" s="33" t="s">
        <v>1606</v>
      </c>
    </row>
    <row r="207" customFormat="false" ht="15" hidden="false" customHeight="false" outlineLevel="0" collapsed="false">
      <c r="A207" s="41" t="s">
        <v>877</v>
      </c>
      <c r="B207" s="41" t="s">
        <v>1555</v>
      </c>
      <c r="C207" s="30" t="s">
        <v>1556</v>
      </c>
      <c r="D207" s="15" t="n">
        <v>29.4</v>
      </c>
      <c r="E207" s="15" t="n">
        <v>29.4</v>
      </c>
      <c r="F207" s="15" t="n">
        <f aca="false">ROUND(E207-D207,2)</f>
        <v>0</v>
      </c>
      <c r="G207" s="29" t="n">
        <v>1</v>
      </c>
      <c r="H207" s="41" t="s">
        <v>97</v>
      </c>
      <c r="I207" s="41" t="s">
        <v>1557</v>
      </c>
      <c r="J207" s="41" t="s">
        <v>1607</v>
      </c>
      <c r="K207" s="30" t="s">
        <v>1608</v>
      </c>
    </row>
    <row r="208" customFormat="false" ht="15" hidden="false" customHeight="false" outlineLevel="0" collapsed="false">
      <c r="A208" s="42" t="s">
        <v>877</v>
      </c>
      <c r="B208" s="42" t="s">
        <v>1560</v>
      </c>
      <c r="C208" s="33" t="s">
        <v>1561</v>
      </c>
      <c r="D208" s="11" t="n">
        <v>29.4</v>
      </c>
      <c r="E208" s="11" t="n">
        <v>29.4</v>
      </c>
      <c r="F208" s="11" t="n">
        <f aca="false">ROUND(E208-D208,2)</f>
        <v>0</v>
      </c>
      <c r="G208" s="32" t="n">
        <v>1</v>
      </c>
      <c r="H208" s="42" t="s">
        <v>97</v>
      </c>
      <c r="I208" s="42" t="s">
        <v>1562</v>
      </c>
      <c r="J208" s="42" t="s">
        <v>1609</v>
      </c>
      <c r="K208" s="33" t="s">
        <v>1610</v>
      </c>
    </row>
    <row r="209" customFormat="false" ht="15" hidden="false" customHeight="false" outlineLevel="0" collapsed="false">
      <c r="A209" s="41" t="s">
        <v>877</v>
      </c>
      <c r="B209" s="41" t="s">
        <v>1565</v>
      </c>
      <c r="C209" s="30" t="s">
        <v>1566</v>
      </c>
      <c r="D209" s="15" t="n">
        <v>29.4</v>
      </c>
      <c r="E209" s="15" t="n">
        <v>29.4</v>
      </c>
      <c r="F209" s="15" t="n">
        <f aca="false">ROUND(E209-D209,2)</f>
        <v>0</v>
      </c>
      <c r="G209" s="29" t="n">
        <v>1</v>
      </c>
      <c r="H209" s="41" t="s">
        <v>97</v>
      </c>
      <c r="I209" s="41" t="s">
        <v>1567</v>
      </c>
      <c r="J209" s="41" t="s">
        <v>1611</v>
      </c>
      <c r="K209" s="30" t="s">
        <v>1612</v>
      </c>
    </row>
    <row r="210" customFormat="false" ht="15" hidden="false" customHeight="false" outlineLevel="0" collapsed="false">
      <c r="A210" s="42" t="s">
        <v>877</v>
      </c>
      <c r="B210" s="42" t="s">
        <v>1570</v>
      </c>
      <c r="C210" s="33" t="s">
        <v>1613</v>
      </c>
      <c r="D210" s="11" t="n">
        <v>29.4</v>
      </c>
      <c r="E210" s="11" t="n">
        <v>29.4</v>
      </c>
      <c r="F210" s="11" t="n">
        <f aca="false">ROUND(E210-D210,2)</f>
        <v>0</v>
      </c>
      <c r="G210" s="32" t="n">
        <v>1</v>
      </c>
      <c r="H210" s="42" t="s">
        <v>97</v>
      </c>
      <c r="I210" s="42" t="s">
        <v>1572</v>
      </c>
      <c r="J210" s="42" t="s">
        <v>1614</v>
      </c>
      <c r="K210" s="33" t="s">
        <v>1615</v>
      </c>
    </row>
    <row r="211" customFormat="false" ht="15" hidden="false" customHeight="false" outlineLevel="0" collapsed="false">
      <c r="A211" s="41" t="s">
        <v>877</v>
      </c>
      <c r="B211" s="41" t="s">
        <v>1590</v>
      </c>
      <c r="C211" s="30" t="s">
        <v>1616</v>
      </c>
      <c r="D211" s="15" t="n">
        <v>29.08</v>
      </c>
      <c r="E211" s="15" t="n">
        <v>29.08</v>
      </c>
      <c r="F211" s="15" t="n">
        <f aca="false">ROUND(E211-D211,2)</f>
        <v>0</v>
      </c>
      <c r="G211" s="29" t="n">
        <v>2</v>
      </c>
      <c r="H211" s="41" t="s">
        <v>97</v>
      </c>
      <c r="I211" s="41" t="s">
        <v>1592</v>
      </c>
      <c r="J211" s="41" t="s">
        <v>1617</v>
      </c>
      <c r="K211" s="30" t="s">
        <v>1618</v>
      </c>
    </row>
    <row r="212" customFormat="false" ht="15" hidden="false" customHeight="false" outlineLevel="0" collapsed="false">
      <c r="A212" s="42" t="s">
        <v>852</v>
      </c>
      <c r="B212" s="42" t="s">
        <v>1619</v>
      </c>
      <c r="C212" s="33" t="s">
        <v>1620</v>
      </c>
      <c r="D212" s="11" t="n">
        <v>28.49</v>
      </c>
      <c r="E212" s="11" t="n">
        <v>28.49</v>
      </c>
      <c r="F212" s="11" t="n">
        <f aca="false">ROUND(E212-D212,2)</f>
        <v>0</v>
      </c>
      <c r="G212" s="32" t="n">
        <v>2</v>
      </c>
      <c r="H212" s="42" t="s">
        <v>97</v>
      </c>
      <c r="I212" s="42" t="s">
        <v>1621</v>
      </c>
      <c r="J212" s="42" t="s">
        <v>1622</v>
      </c>
      <c r="K212" s="33" t="s">
        <v>1623</v>
      </c>
    </row>
    <row r="213" customFormat="false" ht="15" hidden="false" customHeight="false" outlineLevel="0" collapsed="false">
      <c r="A213" s="41" t="s">
        <v>823</v>
      </c>
      <c r="B213" s="41" t="s">
        <v>1536</v>
      </c>
      <c r="C213" s="30" t="s">
        <v>1537</v>
      </c>
      <c r="D213" s="15" t="n">
        <v>28.13</v>
      </c>
      <c r="E213" s="15" t="n">
        <v>28.13</v>
      </c>
      <c r="F213" s="15" t="n">
        <f aca="false">ROUND(E213-D213,2)</f>
        <v>0</v>
      </c>
      <c r="G213" s="29" t="n">
        <v>2</v>
      </c>
      <c r="H213" s="41" t="s">
        <v>97</v>
      </c>
      <c r="I213" s="41" t="s">
        <v>1538</v>
      </c>
      <c r="J213" s="41" t="s">
        <v>1624</v>
      </c>
      <c r="K213" s="30" t="s">
        <v>1625</v>
      </c>
    </row>
    <row r="214" customFormat="false" ht="15" hidden="false" customHeight="false" outlineLevel="0" collapsed="false">
      <c r="A214" s="42" t="s">
        <v>823</v>
      </c>
      <c r="B214" s="42" t="s">
        <v>1550</v>
      </c>
      <c r="C214" s="33" t="s">
        <v>1551</v>
      </c>
      <c r="D214" s="11" t="n">
        <v>27.27</v>
      </c>
      <c r="E214" s="11" t="n">
        <v>27.27</v>
      </c>
      <c r="F214" s="11" t="n">
        <f aca="false">ROUND(E214-D214,2)</f>
        <v>0</v>
      </c>
      <c r="G214" s="32" t="n">
        <v>2</v>
      </c>
      <c r="H214" s="42" t="s">
        <v>97</v>
      </c>
      <c r="I214" s="42" t="s">
        <v>1552</v>
      </c>
      <c r="J214" s="42" t="s">
        <v>1626</v>
      </c>
      <c r="K214" s="33" t="s">
        <v>1627</v>
      </c>
    </row>
    <row r="215" customFormat="false" ht="15" hidden="false" customHeight="false" outlineLevel="0" collapsed="false">
      <c r="A215" s="41" t="s">
        <v>829</v>
      </c>
      <c r="B215" s="41" t="s">
        <v>1423</v>
      </c>
      <c r="C215" s="30" t="s">
        <v>1424</v>
      </c>
      <c r="D215" s="15" t="n">
        <v>27.27</v>
      </c>
      <c r="E215" s="15" t="n">
        <v>27.27</v>
      </c>
      <c r="F215" s="15" t="n">
        <f aca="false">ROUND(E215-D215,2)</f>
        <v>0</v>
      </c>
      <c r="G215" s="29" t="n">
        <v>2</v>
      </c>
      <c r="H215" s="41" t="s">
        <v>97</v>
      </c>
      <c r="I215" s="41" t="s">
        <v>1425</v>
      </c>
      <c r="J215" s="41" t="s">
        <v>1628</v>
      </c>
      <c r="K215" s="30" t="s">
        <v>1629</v>
      </c>
    </row>
    <row r="216" customFormat="false" ht="22.35" hidden="false" customHeight="false" outlineLevel="0" collapsed="false">
      <c r="A216" s="42" t="s">
        <v>823</v>
      </c>
      <c r="B216" s="42" t="s">
        <v>1545</v>
      </c>
      <c r="C216" s="33" t="s">
        <v>1546</v>
      </c>
      <c r="D216" s="11" t="n">
        <v>27.12</v>
      </c>
      <c r="E216" s="11" t="n">
        <v>27.12</v>
      </c>
      <c r="F216" s="11" t="n">
        <f aca="false">ROUND(E216-D216,2)</f>
        <v>0</v>
      </c>
      <c r="G216" s="32" t="n">
        <v>2</v>
      </c>
      <c r="H216" s="42" t="s">
        <v>97</v>
      </c>
      <c r="I216" s="42" t="s">
        <v>1547</v>
      </c>
      <c r="J216" s="42" t="s">
        <v>1630</v>
      </c>
      <c r="K216" s="33" t="s">
        <v>1631</v>
      </c>
    </row>
    <row r="217" customFormat="false" ht="15" hidden="false" customHeight="false" outlineLevel="0" collapsed="false">
      <c r="A217" s="41" t="s">
        <v>823</v>
      </c>
      <c r="B217" s="41" t="s">
        <v>1565</v>
      </c>
      <c r="C217" s="30" t="s">
        <v>1566</v>
      </c>
      <c r="D217" s="15" t="n">
        <v>26.54</v>
      </c>
      <c r="E217" s="15" t="n">
        <v>26.54</v>
      </c>
      <c r="F217" s="15" t="n">
        <f aca="false">ROUND(E217-D217,2)</f>
        <v>0</v>
      </c>
      <c r="G217" s="29" t="n">
        <v>2</v>
      </c>
      <c r="H217" s="41" t="s">
        <v>97</v>
      </c>
      <c r="I217" s="41" t="s">
        <v>1567</v>
      </c>
      <c r="J217" s="41" t="s">
        <v>1632</v>
      </c>
      <c r="K217" s="30" t="s">
        <v>1633</v>
      </c>
    </row>
    <row r="218" customFormat="false" ht="15" hidden="false" customHeight="false" outlineLevel="0" collapsed="false">
      <c r="A218" s="42" t="s">
        <v>823</v>
      </c>
      <c r="B218" s="42" t="s">
        <v>1555</v>
      </c>
      <c r="C218" s="33" t="s">
        <v>1556</v>
      </c>
      <c r="D218" s="11" t="n">
        <v>26.41</v>
      </c>
      <c r="E218" s="11" t="n">
        <v>26.41</v>
      </c>
      <c r="F218" s="11" t="n">
        <f aca="false">ROUND(E218-D218,2)</f>
        <v>0</v>
      </c>
      <c r="G218" s="32" t="n">
        <v>1</v>
      </c>
      <c r="H218" s="42" t="s">
        <v>97</v>
      </c>
      <c r="I218" s="42" t="s">
        <v>1557</v>
      </c>
      <c r="J218" s="42" t="s">
        <v>1634</v>
      </c>
      <c r="K218" s="33" t="s">
        <v>1635</v>
      </c>
    </row>
    <row r="219" customFormat="false" ht="15" hidden="false" customHeight="false" outlineLevel="0" collapsed="false">
      <c r="A219" s="41" t="s">
        <v>823</v>
      </c>
      <c r="B219" s="41" t="s">
        <v>1560</v>
      </c>
      <c r="C219" s="30" t="s">
        <v>1561</v>
      </c>
      <c r="D219" s="15" t="n">
        <v>26.41</v>
      </c>
      <c r="E219" s="15" t="n">
        <v>26.41</v>
      </c>
      <c r="F219" s="15" t="n">
        <f aca="false">ROUND(E219-D219,2)</f>
        <v>0</v>
      </c>
      <c r="G219" s="29" t="n">
        <v>1</v>
      </c>
      <c r="H219" s="41" t="s">
        <v>97</v>
      </c>
      <c r="I219" s="41" t="s">
        <v>1562</v>
      </c>
      <c r="J219" s="41" t="s">
        <v>1636</v>
      </c>
      <c r="K219" s="30" t="s">
        <v>1637</v>
      </c>
    </row>
    <row r="220" customFormat="false" ht="15" hidden="false" customHeight="false" outlineLevel="0" collapsed="false">
      <c r="A220" s="42" t="s">
        <v>823</v>
      </c>
      <c r="B220" s="42" t="s">
        <v>1570</v>
      </c>
      <c r="C220" s="33" t="s">
        <v>1571</v>
      </c>
      <c r="D220" s="11" t="n">
        <v>26.41</v>
      </c>
      <c r="E220" s="11" t="n">
        <v>26.41</v>
      </c>
      <c r="F220" s="11" t="n">
        <f aca="false">ROUND(E220-D220,2)</f>
        <v>0</v>
      </c>
      <c r="G220" s="32" t="n">
        <v>1</v>
      </c>
      <c r="H220" s="42" t="s">
        <v>97</v>
      </c>
      <c r="I220" s="42" t="s">
        <v>1572</v>
      </c>
      <c r="J220" s="42" t="s">
        <v>1638</v>
      </c>
      <c r="K220" s="33" t="s">
        <v>1639</v>
      </c>
    </row>
    <row r="221" customFormat="false" ht="22.35" hidden="false" customHeight="false" outlineLevel="0" collapsed="false">
      <c r="A221" s="41" t="s">
        <v>852</v>
      </c>
      <c r="B221" s="41" t="s">
        <v>1640</v>
      </c>
      <c r="C221" s="30" t="s">
        <v>1641</v>
      </c>
      <c r="D221" s="15" t="n">
        <v>26.28</v>
      </c>
      <c r="E221" s="15" t="n">
        <v>26.28</v>
      </c>
      <c r="F221" s="15" t="n">
        <f aca="false">ROUND(E221-D221,2)</f>
        <v>0</v>
      </c>
      <c r="G221" s="29" t="n">
        <v>2</v>
      </c>
      <c r="H221" s="41" t="s">
        <v>97</v>
      </c>
      <c r="I221" s="41" t="s">
        <v>1642</v>
      </c>
      <c r="J221" s="41" t="s">
        <v>1643</v>
      </c>
      <c r="K221" s="30" t="s">
        <v>1644</v>
      </c>
    </row>
    <row r="222" customFormat="false" ht="15" hidden="false" customHeight="false" outlineLevel="0" collapsed="false">
      <c r="A222" s="42" t="s">
        <v>877</v>
      </c>
      <c r="B222" s="42" t="s">
        <v>1619</v>
      </c>
      <c r="C222" s="33" t="s">
        <v>1620</v>
      </c>
      <c r="D222" s="11" t="n">
        <v>25.95</v>
      </c>
      <c r="E222" s="11" t="n">
        <v>25.95</v>
      </c>
      <c r="F222" s="11" t="n">
        <f aca="false">ROUND(E222-D222,2)</f>
        <v>0</v>
      </c>
      <c r="G222" s="32" t="n">
        <v>2</v>
      </c>
      <c r="H222" s="42" t="s">
        <v>97</v>
      </c>
      <c r="I222" s="42" t="s">
        <v>1621</v>
      </c>
      <c r="J222" s="42" t="s">
        <v>1645</v>
      </c>
      <c r="K222" s="33" t="s">
        <v>1646</v>
      </c>
    </row>
    <row r="223" customFormat="false" ht="15" hidden="false" customHeight="false" outlineLevel="0" collapsed="false">
      <c r="A223" s="41" t="s">
        <v>852</v>
      </c>
      <c r="B223" s="41" t="s">
        <v>1647</v>
      </c>
      <c r="C223" s="30" t="s">
        <v>1648</v>
      </c>
      <c r="D223" s="15" t="n">
        <v>25.55</v>
      </c>
      <c r="E223" s="15" t="n">
        <v>25.55</v>
      </c>
      <c r="F223" s="15" t="n">
        <f aca="false">ROUND(E223-D223,2)</f>
        <v>0</v>
      </c>
      <c r="G223" s="29" t="n">
        <v>2</v>
      </c>
      <c r="H223" s="41" t="s">
        <v>97</v>
      </c>
      <c r="I223" s="41" t="s">
        <v>1649</v>
      </c>
      <c r="J223" s="41" t="s">
        <v>1650</v>
      </c>
      <c r="K223" s="30" t="s">
        <v>1651</v>
      </c>
    </row>
    <row r="224" customFormat="false" ht="22.35" hidden="false" customHeight="false" outlineLevel="0" collapsed="false">
      <c r="A224" s="42" t="s">
        <v>829</v>
      </c>
      <c r="B224" s="42" t="s">
        <v>1497</v>
      </c>
      <c r="C224" s="33" t="s">
        <v>1498</v>
      </c>
      <c r="D224" s="11" t="n">
        <v>25.26</v>
      </c>
      <c r="E224" s="11" t="n">
        <v>25.26</v>
      </c>
      <c r="F224" s="11" t="n">
        <f aca="false">ROUND(E224-D224,2)</f>
        <v>0</v>
      </c>
      <c r="G224" s="32" t="n">
        <v>1</v>
      </c>
      <c r="H224" s="42" t="s">
        <v>97</v>
      </c>
      <c r="I224" s="42" t="s">
        <v>1499</v>
      </c>
      <c r="J224" s="42" t="s">
        <v>1652</v>
      </c>
      <c r="K224" s="33" t="s">
        <v>1653</v>
      </c>
    </row>
    <row r="225" customFormat="false" ht="15" hidden="false" customHeight="false" outlineLevel="0" collapsed="false">
      <c r="A225" s="41" t="s">
        <v>823</v>
      </c>
      <c r="B225" s="41" t="s">
        <v>1619</v>
      </c>
      <c r="C225" s="30" t="s">
        <v>1620</v>
      </c>
      <c r="D225" s="15" t="n">
        <v>25.04</v>
      </c>
      <c r="E225" s="15" t="n">
        <v>25.04</v>
      </c>
      <c r="F225" s="15" t="n">
        <f aca="false">ROUND(E225-D225,2)</f>
        <v>0</v>
      </c>
      <c r="G225" s="29" t="n">
        <v>2</v>
      </c>
      <c r="H225" s="41" t="s">
        <v>97</v>
      </c>
      <c r="I225" s="41" t="s">
        <v>1621</v>
      </c>
      <c r="J225" s="41" t="s">
        <v>1654</v>
      </c>
      <c r="K225" s="30" t="s">
        <v>1655</v>
      </c>
    </row>
    <row r="226" customFormat="false" ht="15" hidden="false" customHeight="false" outlineLevel="0" collapsed="false">
      <c r="A226" s="42" t="s">
        <v>919</v>
      </c>
      <c r="B226" s="42" t="s">
        <v>1463</v>
      </c>
      <c r="C226" s="33" t="s">
        <v>1464</v>
      </c>
      <c r="D226" s="11" t="n">
        <v>24.68</v>
      </c>
      <c r="E226" s="11" t="n">
        <v>24.68</v>
      </c>
      <c r="F226" s="11" t="n">
        <f aca="false">ROUND(E226-D226,2)</f>
        <v>0</v>
      </c>
      <c r="G226" s="32" t="n">
        <v>2</v>
      </c>
      <c r="H226" s="42" t="s">
        <v>97</v>
      </c>
      <c r="I226" s="42" t="s">
        <v>1465</v>
      </c>
      <c r="J226" s="42" t="s">
        <v>1656</v>
      </c>
      <c r="K226" s="33" t="s">
        <v>1657</v>
      </c>
    </row>
    <row r="227" customFormat="false" ht="15" hidden="false" customHeight="false" outlineLevel="0" collapsed="false">
      <c r="A227" s="41" t="s">
        <v>919</v>
      </c>
      <c r="B227" s="41" t="s">
        <v>1647</v>
      </c>
      <c r="C227" s="30" t="s">
        <v>1648</v>
      </c>
      <c r="D227" s="15" t="n">
        <v>23.91</v>
      </c>
      <c r="E227" s="15" t="n">
        <v>23.91</v>
      </c>
      <c r="F227" s="15" t="n">
        <f aca="false">ROUND(E227-D227,2)</f>
        <v>0</v>
      </c>
      <c r="G227" s="29" t="n">
        <v>2</v>
      </c>
      <c r="H227" s="41" t="s">
        <v>97</v>
      </c>
      <c r="I227" s="41" t="s">
        <v>1649</v>
      </c>
      <c r="J227" s="41" t="s">
        <v>1658</v>
      </c>
      <c r="K227" s="30" t="s">
        <v>1659</v>
      </c>
    </row>
    <row r="228" customFormat="false" ht="22.35" hidden="false" customHeight="false" outlineLevel="0" collapsed="false">
      <c r="A228" s="42" t="s">
        <v>877</v>
      </c>
      <c r="B228" s="42" t="s">
        <v>1640</v>
      </c>
      <c r="C228" s="33" t="s">
        <v>1660</v>
      </c>
      <c r="D228" s="11" t="n">
        <v>23.59</v>
      </c>
      <c r="E228" s="11" t="n">
        <v>23.59</v>
      </c>
      <c r="F228" s="11" t="n">
        <f aca="false">ROUND(E228-D228,2)</f>
        <v>0</v>
      </c>
      <c r="G228" s="32" t="n">
        <v>2</v>
      </c>
      <c r="H228" s="42" t="s">
        <v>97</v>
      </c>
      <c r="I228" s="42" t="s">
        <v>1642</v>
      </c>
      <c r="J228" s="42" t="s">
        <v>1661</v>
      </c>
      <c r="K228" s="33" t="s">
        <v>1662</v>
      </c>
    </row>
    <row r="229" customFormat="false" ht="22.35" hidden="false" customHeight="false" outlineLevel="0" collapsed="false">
      <c r="A229" s="41" t="s">
        <v>877</v>
      </c>
      <c r="B229" s="41" t="s">
        <v>1497</v>
      </c>
      <c r="C229" s="30" t="s">
        <v>1663</v>
      </c>
      <c r="D229" s="15" t="n">
        <v>22.82</v>
      </c>
      <c r="E229" s="15" t="n">
        <v>22.82</v>
      </c>
      <c r="F229" s="15" t="n">
        <f aca="false">ROUND(E229-D229,2)</f>
        <v>0</v>
      </c>
      <c r="G229" s="29" t="n">
        <v>1</v>
      </c>
      <c r="H229" s="41" t="s">
        <v>97</v>
      </c>
      <c r="I229" s="41" t="s">
        <v>1499</v>
      </c>
      <c r="J229" s="41" t="s">
        <v>1664</v>
      </c>
      <c r="K229" s="30" t="s">
        <v>1665</v>
      </c>
    </row>
    <row r="230" customFormat="false" ht="15" hidden="false" customHeight="false" outlineLevel="0" collapsed="false">
      <c r="A230" s="42" t="s">
        <v>877</v>
      </c>
      <c r="B230" s="42" t="s">
        <v>1488</v>
      </c>
      <c r="C230" s="33" t="s">
        <v>1666</v>
      </c>
      <c r="D230" s="11" t="n">
        <v>22.82</v>
      </c>
      <c r="E230" s="11" t="n">
        <v>22.82</v>
      </c>
      <c r="F230" s="11" t="n">
        <f aca="false">ROUND(E230-D230,2)</f>
        <v>0</v>
      </c>
      <c r="G230" s="32" t="n">
        <v>1</v>
      </c>
      <c r="H230" s="42" t="s">
        <v>97</v>
      </c>
      <c r="I230" s="42" t="s">
        <v>1490</v>
      </c>
      <c r="J230" s="42" t="s">
        <v>1667</v>
      </c>
      <c r="K230" s="33" t="s">
        <v>1668</v>
      </c>
    </row>
    <row r="231" customFormat="false" ht="15" hidden="false" customHeight="false" outlineLevel="0" collapsed="false">
      <c r="A231" s="41" t="s">
        <v>823</v>
      </c>
      <c r="B231" s="41" t="s">
        <v>1647</v>
      </c>
      <c r="C231" s="30" t="s">
        <v>1648</v>
      </c>
      <c r="D231" s="15" t="n">
        <v>21.35</v>
      </c>
      <c r="E231" s="15" t="n">
        <v>21.35</v>
      </c>
      <c r="F231" s="15" t="n">
        <f aca="false">ROUND(E231-D231,2)</f>
        <v>0</v>
      </c>
      <c r="G231" s="29" t="n">
        <v>2</v>
      </c>
      <c r="H231" s="41" t="s">
        <v>97</v>
      </c>
      <c r="I231" s="41" t="s">
        <v>1649</v>
      </c>
      <c r="J231" s="41" t="s">
        <v>1669</v>
      </c>
      <c r="K231" s="30" t="s">
        <v>1670</v>
      </c>
    </row>
    <row r="232" customFormat="false" ht="22.35" hidden="false" customHeight="false" outlineLevel="0" collapsed="false">
      <c r="A232" s="42" t="s">
        <v>823</v>
      </c>
      <c r="B232" s="42" t="s">
        <v>1640</v>
      </c>
      <c r="C232" s="33" t="s">
        <v>1641</v>
      </c>
      <c r="D232" s="11" t="n">
        <v>20.88</v>
      </c>
      <c r="E232" s="11" t="n">
        <v>20.88</v>
      </c>
      <c r="F232" s="11" t="n">
        <f aca="false">ROUND(E232-D232,2)</f>
        <v>0</v>
      </c>
      <c r="G232" s="32" t="n">
        <v>1</v>
      </c>
      <c r="H232" s="42" t="s">
        <v>97</v>
      </c>
      <c r="I232" s="42" t="s">
        <v>1642</v>
      </c>
      <c r="J232" s="42" t="s">
        <v>1671</v>
      </c>
      <c r="K232" s="33" t="s">
        <v>1672</v>
      </c>
    </row>
    <row r="233" customFormat="false" ht="15" hidden="false" customHeight="false" outlineLevel="0" collapsed="false">
      <c r="A233" s="41" t="s">
        <v>852</v>
      </c>
      <c r="B233" s="41" t="s">
        <v>1418</v>
      </c>
      <c r="C233" s="30" t="s">
        <v>1419</v>
      </c>
      <c r="D233" s="15" t="n">
        <v>19.42</v>
      </c>
      <c r="E233" s="15" t="n">
        <v>19.42</v>
      </c>
      <c r="F233" s="15" t="n">
        <f aca="false">ROUND(E233-D233,2)</f>
        <v>0</v>
      </c>
      <c r="G233" s="29" t="n">
        <v>2</v>
      </c>
      <c r="H233" s="41" t="s">
        <v>97</v>
      </c>
      <c r="I233" s="41" t="s">
        <v>1420</v>
      </c>
      <c r="J233" s="41" t="s">
        <v>1673</v>
      </c>
      <c r="K233" s="30" t="s">
        <v>1674</v>
      </c>
    </row>
    <row r="234" customFormat="false" ht="15" hidden="false" customHeight="false" outlineLevel="0" collapsed="false">
      <c r="A234" s="42" t="s">
        <v>852</v>
      </c>
      <c r="B234" s="42" t="s">
        <v>1531</v>
      </c>
      <c r="C234" s="33" t="s">
        <v>1532</v>
      </c>
      <c r="D234" s="11" t="n">
        <v>17.31</v>
      </c>
      <c r="E234" s="11" t="n">
        <v>17.31</v>
      </c>
      <c r="F234" s="11" t="n">
        <f aca="false">ROUND(E234-D234,2)</f>
        <v>0</v>
      </c>
      <c r="G234" s="32" t="n">
        <v>2</v>
      </c>
      <c r="H234" s="42" t="s">
        <v>97</v>
      </c>
      <c r="I234" s="42" t="s">
        <v>1533</v>
      </c>
      <c r="J234" s="42" t="s">
        <v>1675</v>
      </c>
      <c r="K234" s="33" t="s">
        <v>1676</v>
      </c>
    </row>
    <row r="235" customFormat="false" ht="22.35" hidden="false" customHeight="false" outlineLevel="0" collapsed="false">
      <c r="A235" s="41" t="s">
        <v>852</v>
      </c>
      <c r="B235" s="41" t="s">
        <v>1590</v>
      </c>
      <c r="C235" s="30" t="s">
        <v>1591</v>
      </c>
      <c r="D235" s="15" t="n">
        <v>15.83</v>
      </c>
      <c r="E235" s="15" t="n">
        <v>15.83</v>
      </c>
      <c r="F235" s="15" t="n">
        <f aca="false">ROUND(E235-D235,2)</f>
        <v>0</v>
      </c>
      <c r="G235" s="29" t="n">
        <v>2</v>
      </c>
      <c r="H235" s="41" t="s">
        <v>97</v>
      </c>
      <c r="I235" s="41" t="s">
        <v>1592</v>
      </c>
      <c r="J235" s="41" t="s">
        <v>1677</v>
      </c>
      <c r="K235" s="30" t="s">
        <v>1678</v>
      </c>
    </row>
    <row r="236" customFormat="false" ht="22.35" hidden="false" customHeight="false" outlineLevel="0" collapsed="false">
      <c r="A236" s="42" t="s">
        <v>852</v>
      </c>
      <c r="B236" s="42" t="s">
        <v>1497</v>
      </c>
      <c r="C236" s="33" t="s">
        <v>1498</v>
      </c>
      <c r="D236" s="11" t="n">
        <v>13.04</v>
      </c>
      <c r="E236" s="11" t="n">
        <v>13.04</v>
      </c>
      <c r="F236" s="11" t="n">
        <f aca="false">ROUND(E236-D236,2)</f>
        <v>0</v>
      </c>
      <c r="G236" s="32" t="n">
        <v>1</v>
      </c>
      <c r="H236" s="42" t="s">
        <v>97</v>
      </c>
      <c r="I236" s="42" t="s">
        <v>1499</v>
      </c>
      <c r="J236" s="42" t="s">
        <v>1679</v>
      </c>
      <c r="K236" s="33" t="s">
        <v>1680</v>
      </c>
    </row>
    <row r="237" customFormat="false" ht="15" hidden="false" customHeight="false" outlineLevel="0" collapsed="false">
      <c r="A237" s="41" t="s">
        <v>852</v>
      </c>
      <c r="B237" s="41" t="s">
        <v>1125</v>
      </c>
      <c r="C237" s="30" t="s">
        <v>1126</v>
      </c>
      <c r="D237" s="15" t="n">
        <v>6.48</v>
      </c>
      <c r="E237" s="15" t="n">
        <v>6.48</v>
      </c>
      <c r="F237" s="15" t="n">
        <f aca="false">ROUND(E237-D237,2)</f>
        <v>0</v>
      </c>
      <c r="G237" s="29" t="n">
        <v>2</v>
      </c>
      <c r="H237" s="41" t="s">
        <v>97</v>
      </c>
      <c r="I237" s="41" t="s">
        <v>1127</v>
      </c>
      <c r="J237" s="41" t="s">
        <v>1681</v>
      </c>
      <c r="K237" s="30" t="s">
        <v>1682</v>
      </c>
    </row>
    <row r="238" customFormat="false" ht="22.35" hidden="false" customHeight="false" outlineLevel="0" collapsed="false">
      <c r="A238" s="42" t="s">
        <v>829</v>
      </c>
      <c r="B238" s="42" t="s">
        <v>855</v>
      </c>
      <c r="C238" s="33" t="s">
        <v>856</v>
      </c>
      <c r="D238" s="11" t="n">
        <v>-53.11</v>
      </c>
      <c r="E238" s="11" t="n">
        <v>-53.11</v>
      </c>
      <c r="F238" s="11" t="n">
        <f aca="false">ROUND(E238-D238,2)</f>
        <v>0</v>
      </c>
      <c r="G238" s="32" t="n">
        <v>12</v>
      </c>
      <c r="H238" s="42" t="s">
        <v>97</v>
      </c>
      <c r="I238" s="42" t="s">
        <v>857</v>
      </c>
      <c r="J238" s="42" t="s">
        <v>1683</v>
      </c>
      <c r="K238" s="33" t="s">
        <v>1684</v>
      </c>
    </row>
    <row r="239" customFormat="false" ht="15" hidden="false" customHeight="false" outlineLevel="0" collapsed="false">
      <c r="A239" s="21"/>
      <c r="B239" s="21"/>
      <c r="C239" s="19" t="s">
        <v>21</v>
      </c>
      <c r="D239" s="20" t="n">
        <f aca="false">SUM(D5:D238)</f>
        <v>27621.35</v>
      </c>
      <c r="E239" s="20" t="n">
        <f aca="false">SUM(E5:E238)</f>
        <v>27621.35</v>
      </c>
      <c r="F239" s="20" t="n">
        <f aca="false">SUM(F5:F238)</f>
        <v>0</v>
      </c>
      <c r="G239" s="34" t="n">
        <f aca="false">SUM(G5:G238)</f>
        <v>746</v>
      </c>
      <c r="H239" s="21"/>
      <c r="I239" s="21"/>
      <c r="J239" s="21"/>
      <c r="K239" s="21"/>
    </row>
    <row r="241" customFormat="false" ht="15" hidden="false" customHeight="false" outlineLevel="0" collapsed="false">
      <c r="C241" s="35" t="s">
        <v>1685</v>
      </c>
      <c r="D241" s="52" t="n">
        <f aca="false">SUMPRODUCT(--(ROUND(F5:F238,2)=0))</f>
        <v>234</v>
      </c>
      <c r="E241" s="52" t="n">
        <f aca="false">COUNT(F5:F238)</f>
        <v>234</v>
      </c>
      <c r="F241" s="35" t="str">
        <f aca="false">IF(SUMPRODUCT(--(ROUND(F5:F238,2)=0))=COUNT(F5:F238),"TRUE","FALSE")</f>
        <v>TRUE</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6"/>
    <col collapsed="false" customWidth="true" hidden="false" outlineLevel="0" max="3" min="3" style="0" width="14"/>
    <col collapsed="false" customWidth="true" hidden="false" outlineLevel="0" max="5" min="4" style="0" width="12"/>
    <col collapsed="false" customWidth="true" hidden="false" outlineLevel="0" max="6" min="6" style="0" width="13"/>
    <col collapsed="false" customWidth="true" hidden="false" outlineLevel="0" max="7" min="7" style="0" width="44"/>
    <col collapsed="false" customWidth="true" hidden="false" outlineLevel="0" max="8" min="8" style="0" width="52"/>
  </cols>
  <sheetData>
    <row r="1" customFormat="false" ht="25.5" hidden="false" customHeight="true" outlineLevel="0" collapsed="false">
      <c r="A1" s="1" t="s">
        <v>1686</v>
      </c>
      <c r="B1" s="1"/>
      <c r="C1" s="1"/>
      <c r="D1" s="1"/>
      <c r="E1" s="1"/>
      <c r="F1" s="1"/>
      <c r="G1" s="1"/>
      <c r="H1" s="1"/>
    </row>
    <row r="2" customFormat="false" ht="15.75" hidden="false" customHeight="true" outlineLevel="0" collapsed="false">
      <c r="A2" s="2" t="s">
        <v>1687</v>
      </c>
      <c r="B2" s="2"/>
      <c r="C2" s="2"/>
      <c r="D2" s="2"/>
      <c r="E2" s="2"/>
      <c r="F2" s="2"/>
      <c r="G2" s="2"/>
      <c r="H2" s="2"/>
    </row>
    <row r="4" customFormat="false" ht="30" hidden="false" customHeight="true" outlineLevel="0" collapsed="false">
      <c r="A4" s="8" t="s">
        <v>637</v>
      </c>
      <c r="B4" s="8" t="s">
        <v>814</v>
      </c>
      <c r="C4" s="8" t="s">
        <v>815</v>
      </c>
      <c r="D4" s="8" t="s">
        <v>641</v>
      </c>
      <c r="E4" s="8" t="s">
        <v>819</v>
      </c>
      <c r="F4" s="8" t="s">
        <v>644</v>
      </c>
      <c r="G4" s="8" t="s">
        <v>1688</v>
      </c>
      <c r="H4" s="8" t="s">
        <v>645</v>
      </c>
    </row>
    <row r="5" customFormat="false" ht="22.35" hidden="false" customHeight="false" outlineLevel="0" collapsed="false">
      <c r="A5" s="41" t="n">
        <v>2021</v>
      </c>
      <c r="B5" s="41" t="s">
        <v>823</v>
      </c>
      <c r="C5" s="41" t="s">
        <v>824</v>
      </c>
      <c r="D5" s="41" t="s">
        <v>1689</v>
      </c>
      <c r="E5" s="41" t="s">
        <v>97</v>
      </c>
      <c r="F5" s="15" t="n">
        <v>884.43</v>
      </c>
      <c r="G5" s="30" t="s">
        <v>1690</v>
      </c>
      <c r="H5" s="30" t="s">
        <v>1691</v>
      </c>
    </row>
    <row r="6" customFormat="false" ht="22.35" hidden="false" customHeight="false" outlineLevel="0" collapsed="false">
      <c r="A6" s="42" t="n">
        <v>2217</v>
      </c>
      <c r="B6" s="42" t="s">
        <v>829</v>
      </c>
      <c r="C6" s="42" t="s">
        <v>824</v>
      </c>
      <c r="D6" s="42" t="s">
        <v>743</v>
      </c>
      <c r="E6" s="42" t="s">
        <v>97</v>
      </c>
      <c r="F6" s="11" t="n">
        <v>768.62</v>
      </c>
      <c r="G6" s="33" t="s">
        <v>1690</v>
      </c>
      <c r="H6" s="33" t="s">
        <v>1692</v>
      </c>
    </row>
    <row r="7" customFormat="false" ht="22.35" hidden="false" customHeight="false" outlineLevel="0" collapsed="false">
      <c r="A7" s="41" t="n">
        <v>2829</v>
      </c>
      <c r="B7" s="41" t="s">
        <v>823</v>
      </c>
      <c r="C7" s="41" t="s">
        <v>842</v>
      </c>
      <c r="D7" s="41" t="s">
        <v>1689</v>
      </c>
      <c r="E7" s="41" t="s">
        <v>97</v>
      </c>
      <c r="F7" s="15" t="n">
        <v>680.51</v>
      </c>
      <c r="G7" s="30" t="s">
        <v>1693</v>
      </c>
      <c r="H7" s="30" t="s">
        <v>1694</v>
      </c>
    </row>
    <row r="8" customFormat="false" ht="32.8" hidden="false" customHeight="false" outlineLevel="0" collapsed="false">
      <c r="A8" s="42" t="n">
        <v>3167</v>
      </c>
      <c r="B8" s="42" t="s">
        <v>823</v>
      </c>
      <c r="C8" s="42" t="s">
        <v>837</v>
      </c>
      <c r="D8" s="42" t="s">
        <v>1689</v>
      </c>
      <c r="E8" s="42" t="s">
        <v>97</v>
      </c>
      <c r="F8" s="11" t="n">
        <v>584.77</v>
      </c>
      <c r="G8" s="33" t="s">
        <v>1695</v>
      </c>
      <c r="H8" s="33" t="s">
        <v>1696</v>
      </c>
    </row>
    <row r="9" customFormat="false" ht="32.8" hidden="false" customHeight="false" outlineLevel="0" collapsed="false">
      <c r="A9" s="41" t="n">
        <v>4156</v>
      </c>
      <c r="B9" s="41" t="s">
        <v>823</v>
      </c>
      <c r="C9" s="41" t="s">
        <v>832</v>
      </c>
      <c r="D9" s="41" t="s">
        <v>1689</v>
      </c>
      <c r="E9" s="41" t="s">
        <v>97</v>
      </c>
      <c r="F9" s="15" t="n">
        <v>456.1</v>
      </c>
      <c r="G9" s="30" t="s">
        <v>1697</v>
      </c>
      <c r="H9" s="30" t="s">
        <v>1698</v>
      </c>
    </row>
    <row r="10" customFormat="false" ht="22.35" hidden="false" customHeight="false" outlineLevel="0" collapsed="false">
      <c r="A10" s="42" t="n">
        <v>4402</v>
      </c>
      <c r="B10" s="42" t="s">
        <v>852</v>
      </c>
      <c r="C10" s="42" t="s">
        <v>842</v>
      </c>
      <c r="D10" s="42" t="s">
        <v>1699</v>
      </c>
      <c r="E10" s="42" t="s">
        <v>97</v>
      </c>
      <c r="F10" s="11" t="n">
        <v>406.86</v>
      </c>
      <c r="G10" s="33" t="s">
        <v>1693</v>
      </c>
      <c r="H10" s="33" t="s">
        <v>1700</v>
      </c>
    </row>
    <row r="11" customFormat="false" ht="22.35" hidden="false" customHeight="false" outlineLevel="0" collapsed="false">
      <c r="A11" s="41" t="n">
        <v>4544</v>
      </c>
      <c r="B11" s="41" t="s">
        <v>829</v>
      </c>
      <c r="C11" s="41" t="s">
        <v>824</v>
      </c>
      <c r="D11" s="41" t="s">
        <v>743</v>
      </c>
      <c r="E11" s="41" t="s">
        <v>97</v>
      </c>
      <c r="F11" s="15" t="n">
        <v>394.58</v>
      </c>
      <c r="G11" s="30" t="s">
        <v>1690</v>
      </c>
      <c r="H11" s="30" t="s">
        <v>1701</v>
      </c>
    </row>
    <row r="12" customFormat="false" ht="22.35" hidden="false" customHeight="false" outlineLevel="0" collapsed="false">
      <c r="A12" s="42" t="n">
        <v>4556</v>
      </c>
      <c r="B12" s="42" t="s">
        <v>823</v>
      </c>
      <c r="C12" s="42" t="s">
        <v>860</v>
      </c>
      <c r="D12" s="42" t="s">
        <v>1689</v>
      </c>
      <c r="E12" s="42" t="s">
        <v>97</v>
      </c>
      <c r="F12" s="11" t="n">
        <v>391.55</v>
      </c>
      <c r="G12" s="33" t="s">
        <v>1702</v>
      </c>
      <c r="H12" s="33" t="s">
        <v>1703</v>
      </c>
    </row>
    <row r="13" customFormat="false" ht="22.35" hidden="false" customHeight="false" outlineLevel="0" collapsed="false">
      <c r="A13" s="41" t="n">
        <v>4587</v>
      </c>
      <c r="B13" s="41" t="s">
        <v>823</v>
      </c>
      <c r="C13" s="41" t="s">
        <v>824</v>
      </c>
      <c r="D13" s="41" t="s">
        <v>1689</v>
      </c>
      <c r="E13" s="41" t="s">
        <v>97</v>
      </c>
      <c r="F13" s="15" t="n">
        <v>387.4</v>
      </c>
      <c r="G13" s="30" t="s">
        <v>1690</v>
      </c>
      <c r="H13" s="30" t="s">
        <v>1704</v>
      </c>
    </row>
    <row r="14" customFormat="false" ht="32.8" hidden="false" customHeight="false" outlineLevel="0" collapsed="false">
      <c r="A14" s="42" t="n">
        <v>4913</v>
      </c>
      <c r="B14" s="42" t="s">
        <v>823</v>
      </c>
      <c r="C14" s="42" t="s">
        <v>832</v>
      </c>
      <c r="D14" s="42" t="s">
        <v>1689</v>
      </c>
      <c r="E14" s="42" t="s">
        <v>97</v>
      </c>
      <c r="F14" s="11" t="n">
        <v>374.96</v>
      </c>
      <c r="G14" s="33" t="s">
        <v>1697</v>
      </c>
      <c r="H14" s="33" t="s">
        <v>1698</v>
      </c>
    </row>
    <row r="15" customFormat="false" ht="32.8" hidden="false" customHeight="false" outlineLevel="0" collapsed="false">
      <c r="A15" s="41" t="n">
        <v>5125</v>
      </c>
      <c r="B15" s="41" t="s">
        <v>823</v>
      </c>
      <c r="C15" s="41" t="s">
        <v>855</v>
      </c>
      <c r="D15" s="41" t="s">
        <v>1689</v>
      </c>
      <c r="E15" s="41" t="s">
        <v>97</v>
      </c>
      <c r="F15" s="15" t="n">
        <v>346.74</v>
      </c>
      <c r="G15" s="30" t="s">
        <v>1705</v>
      </c>
      <c r="H15" s="30" t="s">
        <v>1706</v>
      </c>
    </row>
    <row r="16" customFormat="false" ht="22.35" hidden="false" customHeight="false" outlineLevel="0" collapsed="false">
      <c r="A16" s="42" t="n">
        <v>5897</v>
      </c>
      <c r="B16" s="42" t="s">
        <v>852</v>
      </c>
      <c r="C16" s="42" t="s">
        <v>860</v>
      </c>
      <c r="D16" s="42" t="s">
        <v>1699</v>
      </c>
      <c r="E16" s="42" t="s">
        <v>97</v>
      </c>
      <c r="F16" s="11" t="n">
        <v>292.12</v>
      </c>
      <c r="G16" s="33" t="s">
        <v>1702</v>
      </c>
      <c r="H16" s="33" t="s">
        <v>1707</v>
      </c>
    </row>
    <row r="17" customFormat="false" ht="22.35" hidden="false" customHeight="false" outlineLevel="0" collapsed="false">
      <c r="A17" s="41" t="n">
        <v>5923</v>
      </c>
      <c r="B17" s="41" t="s">
        <v>877</v>
      </c>
      <c r="C17" s="41" t="s">
        <v>878</v>
      </c>
      <c r="D17" s="41" t="s">
        <v>748</v>
      </c>
      <c r="E17" s="41" t="s">
        <v>97</v>
      </c>
      <c r="F17" s="15" t="n">
        <v>288.33</v>
      </c>
      <c r="G17" s="30" t="s">
        <v>1708</v>
      </c>
      <c r="H17" s="30" t="s">
        <v>1709</v>
      </c>
    </row>
    <row r="18" customFormat="false" ht="22.35" hidden="false" customHeight="false" outlineLevel="0" collapsed="false">
      <c r="A18" s="42" t="n">
        <v>6789</v>
      </c>
      <c r="B18" s="42" t="s">
        <v>823</v>
      </c>
      <c r="C18" s="42" t="s">
        <v>872</v>
      </c>
      <c r="D18" s="42" t="s">
        <v>1689</v>
      </c>
      <c r="E18" s="42" t="s">
        <v>97</v>
      </c>
      <c r="F18" s="11" t="n">
        <v>226.75</v>
      </c>
      <c r="G18" s="33" t="s">
        <v>1710</v>
      </c>
      <c r="H18" s="33" t="s">
        <v>1711</v>
      </c>
    </row>
    <row r="19" customFormat="false" ht="22.35" hidden="false" customHeight="false" outlineLevel="0" collapsed="false">
      <c r="A19" s="41" t="n">
        <v>6809</v>
      </c>
      <c r="B19" s="41" t="s">
        <v>829</v>
      </c>
      <c r="C19" s="41" t="s">
        <v>847</v>
      </c>
      <c r="D19" s="41" t="s">
        <v>743</v>
      </c>
      <c r="E19" s="41" t="s">
        <v>97</v>
      </c>
      <c r="F19" s="15" t="n">
        <v>225.13</v>
      </c>
      <c r="G19" s="30" t="s">
        <v>1712</v>
      </c>
      <c r="H19" s="30" t="s">
        <v>1713</v>
      </c>
    </row>
    <row r="20" customFormat="false" ht="22.35" hidden="false" customHeight="false" outlineLevel="0" collapsed="false">
      <c r="A20" s="42" t="n">
        <v>6841</v>
      </c>
      <c r="B20" s="42" t="s">
        <v>823</v>
      </c>
      <c r="C20" s="42" t="s">
        <v>890</v>
      </c>
      <c r="D20" s="42" t="s">
        <v>1689</v>
      </c>
      <c r="E20" s="42" t="s">
        <v>97</v>
      </c>
      <c r="F20" s="11" t="n">
        <v>224.11</v>
      </c>
      <c r="G20" s="33" t="s">
        <v>1714</v>
      </c>
      <c r="H20" s="33" t="s">
        <v>1715</v>
      </c>
    </row>
    <row r="21" customFormat="false" ht="22.35" hidden="false" customHeight="false" outlineLevel="0" collapsed="false">
      <c r="A21" s="41" t="n">
        <v>7028</v>
      </c>
      <c r="B21" s="41" t="s">
        <v>823</v>
      </c>
      <c r="C21" s="41" t="s">
        <v>867</v>
      </c>
      <c r="D21" s="41" t="s">
        <v>1689</v>
      </c>
      <c r="E21" s="41" t="s">
        <v>97</v>
      </c>
      <c r="F21" s="15" t="n">
        <v>208.51</v>
      </c>
      <c r="G21" s="30" t="s">
        <v>1716</v>
      </c>
      <c r="H21" s="30" t="s">
        <v>1717</v>
      </c>
    </row>
    <row r="22" customFormat="false" ht="22.35" hidden="false" customHeight="false" outlineLevel="0" collapsed="false">
      <c r="A22" s="42" t="n">
        <v>7069</v>
      </c>
      <c r="B22" s="42" t="s">
        <v>877</v>
      </c>
      <c r="C22" s="42" t="s">
        <v>912</v>
      </c>
      <c r="D22" s="42" t="s">
        <v>748</v>
      </c>
      <c r="E22" s="42" t="s">
        <v>97</v>
      </c>
      <c r="F22" s="11" t="n">
        <v>201.99</v>
      </c>
      <c r="G22" s="33" t="s">
        <v>913</v>
      </c>
      <c r="H22" s="33" t="s">
        <v>1718</v>
      </c>
    </row>
    <row r="23" customFormat="false" ht="22.35" hidden="false" customHeight="false" outlineLevel="0" collapsed="false">
      <c r="A23" s="41" t="n">
        <v>7410</v>
      </c>
      <c r="B23" s="41" t="s">
        <v>852</v>
      </c>
      <c r="C23" s="41" t="s">
        <v>867</v>
      </c>
      <c r="D23" s="41" t="s">
        <v>1699</v>
      </c>
      <c r="E23" s="41" t="s">
        <v>97</v>
      </c>
      <c r="F23" s="15" t="n">
        <v>185.09</v>
      </c>
      <c r="G23" s="30" t="s">
        <v>1716</v>
      </c>
      <c r="H23" s="30" t="s">
        <v>1719</v>
      </c>
    </row>
    <row r="24" customFormat="false" ht="32.8" hidden="false" customHeight="false" outlineLevel="0" collapsed="false">
      <c r="A24" s="42" t="n">
        <v>7665</v>
      </c>
      <c r="B24" s="42" t="s">
        <v>823</v>
      </c>
      <c r="C24" s="42" t="s">
        <v>855</v>
      </c>
      <c r="D24" s="42" t="s">
        <v>1689</v>
      </c>
      <c r="E24" s="42" t="s">
        <v>97</v>
      </c>
      <c r="F24" s="11" t="n">
        <v>174.78</v>
      </c>
      <c r="G24" s="33" t="s">
        <v>1705</v>
      </c>
      <c r="H24" s="33" t="s">
        <v>1720</v>
      </c>
    </row>
    <row r="25" customFormat="false" ht="22.35" hidden="false" customHeight="false" outlineLevel="0" collapsed="false">
      <c r="A25" s="41" t="n">
        <v>7726</v>
      </c>
      <c r="B25" s="41" t="s">
        <v>877</v>
      </c>
      <c r="C25" s="41" t="s">
        <v>867</v>
      </c>
      <c r="D25" s="41" t="s">
        <v>748</v>
      </c>
      <c r="E25" s="41" t="s">
        <v>97</v>
      </c>
      <c r="F25" s="15" t="n">
        <v>165.79</v>
      </c>
      <c r="G25" s="30" t="s">
        <v>1716</v>
      </c>
      <c r="H25" s="30" t="s">
        <v>1721</v>
      </c>
    </row>
    <row r="26" customFormat="false" ht="22.35" hidden="false" customHeight="false" outlineLevel="0" collapsed="false">
      <c r="A26" s="42" t="n">
        <v>7731</v>
      </c>
      <c r="B26" s="42" t="s">
        <v>852</v>
      </c>
      <c r="C26" s="42" t="s">
        <v>885</v>
      </c>
      <c r="D26" s="42" t="s">
        <v>1699</v>
      </c>
      <c r="E26" s="42" t="s">
        <v>97</v>
      </c>
      <c r="F26" s="11" t="n">
        <v>165.18</v>
      </c>
      <c r="G26" s="33" t="s">
        <v>1722</v>
      </c>
      <c r="H26" s="33" t="s">
        <v>1723</v>
      </c>
    </row>
    <row r="27" customFormat="false" ht="22.35" hidden="false" customHeight="false" outlineLevel="0" collapsed="false">
      <c r="A27" s="41" t="n">
        <v>7738</v>
      </c>
      <c r="B27" s="41" t="s">
        <v>829</v>
      </c>
      <c r="C27" s="41" t="s">
        <v>872</v>
      </c>
      <c r="D27" s="41" t="s">
        <v>743</v>
      </c>
      <c r="E27" s="41" t="s">
        <v>97</v>
      </c>
      <c r="F27" s="15" t="n">
        <v>164.12</v>
      </c>
      <c r="G27" s="30" t="s">
        <v>1710</v>
      </c>
      <c r="H27" s="30" t="s">
        <v>1724</v>
      </c>
    </row>
    <row r="28" customFormat="false" ht="22.35" hidden="false" customHeight="false" outlineLevel="0" collapsed="false">
      <c r="A28" s="42" t="n">
        <v>7870</v>
      </c>
      <c r="B28" s="42" t="s">
        <v>823</v>
      </c>
      <c r="C28" s="42" t="s">
        <v>907</v>
      </c>
      <c r="D28" s="42" t="s">
        <v>1689</v>
      </c>
      <c r="E28" s="42" t="s">
        <v>97</v>
      </c>
      <c r="F28" s="11" t="n">
        <v>150.21</v>
      </c>
      <c r="G28" s="33" t="s">
        <v>1725</v>
      </c>
      <c r="H28" s="33" t="s">
        <v>1726</v>
      </c>
    </row>
    <row r="29" customFormat="false" ht="22.35" hidden="false" customHeight="false" outlineLevel="0" collapsed="false">
      <c r="A29" s="41" t="n">
        <v>7894</v>
      </c>
      <c r="B29" s="41" t="s">
        <v>829</v>
      </c>
      <c r="C29" s="41" t="s">
        <v>847</v>
      </c>
      <c r="D29" s="41" t="s">
        <v>743</v>
      </c>
      <c r="E29" s="41" t="s">
        <v>97</v>
      </c>
      <c r="F29" s="15" t="n">
        <v>148.15</v>
      </c>
      <c r="G29" s="30" t="s">
        <v>1712</v>
      </c>
      <c r="H29" s="30" t="s">
        <v>1727</v>
      </c>
    </row>
    <row r="30" customFormat="false" ht="32.8" hidden="false" customHeight="false" outlineLevel="0" collapsed="false">
      <c r="A30" s="42" t="n">
        <v>8290</v>
      </c>
      <c r="B30" s="42" t="s">
        <v>852</v>
      </c>
      <c r="C30" s="42" t="s">
        <v>902</v>
      </c>
      <c r="D30" s="42" t="s">
        <v>1699</v>
      </c>
      <c r="E30" s="42" t="s">
        <v>97</v>
      </c>
      <c r="F30" s="11" t="n">
        <v>124.97</v>
      </c>
      <c r="G30" s="33" t="s">
        <v>1728</v>
      </c>
      <c r="H30" s="33" t="s">
        <v>1729</v>
      </c>
    </row>
    <row r="31" customFormat="false" ht="22.35" hidden="false" customHeight="false" outlineLevel="0" collapsed="false">
      <c r="A31" s="41" t="n">
        <v>8297</v>
      </c>
      <c r="B31" s="41" t="s">
        <v>829</v>
      </c>
      <c r="C31" s="41" t="s">
        <v>912</v>
      </c>
      <c r="D31" s="41" t="s">
        <v>743</v>
      </c>
      <c r="E31" s="41" t="s">
        <v>97</v>
      </c>
      <c r="F31" s="15" t="n">
        <v>124.1</v>
      </c>
      <c r="G31" s="30" t="s">
        <v>913</v>
      </c>
      <c r="H31" s="30" t="s">
        <v>1730</v>
      </c>
    </row>
    <row r="32" customFormat="false" ht="32.8" hidden="false" customHeight="false" outlineLevel="0" collapsed="false">
      <c r="A32" s="42" t="n">
        <v>8314</v>
      </c>
      <c r="B32" s="42" t="s">
        <v>823</v>
      </c>
      <c r="C32" s="42" t="s">
        <v>897</v>
      </c>
      <c r="D32" s="42" t="s">
        <v>1689</v>
      </c>
      <c r="E32" s="42" t="s">
        <v>97</v>
      </c>
      <c r="F32" s="11" t="n">
        <v>121.29</v>
      </c>
      <c r="G32" s="33" t="s">
        <v>1731</v>
      </c>
      <c r="H32" s="33" t="s">
        <v>1732</v>
      </c>
    </row>
    <row r="33" customFormat="false" ht="22.35" hidden="false" customHeight="false" outlineLevel="0" collapsed="false">
      <c r="A33" s="41" t="n">
        <v>8325</v>
      </c>
      <c r="B33" s="41" t="s">
        <v>852</v>
      </c>
      <c r="C33" s="41" t="s">
        <v>912</v>
      </c>
      <c r="D33" s="41" t="s">
        <v>1699</v>
      </c>
      <c r="E33" s="41" t="s">
        <v>97</v>
      </c>
      <c r="F33" s="15" t="n">
        <v>120.12</v>
      </c>
      <c r="G33" s="30" t="s">
        <v>913</v>
      </c>
      <c r="H33" s="30" t="s">
        <v>1733</v>
      </c>
    </row>
    <row r="34" customFormat="false" ht="22.35" hidden="false" customHeight="false" outlineLevel="0" collapsed="false">
      <c r="A34" s="42" t="n">
        <v>8360</v>
      </c>
      <c r="B34" s="42" t="s">
        <v>823</v>
      </c>
      <c r="C34" s="42" t="s">
        <v>867</v>
      </c>
      <c r="D34" s="42" t="s">
        <v>1689</v>
      </c>
      <c r="E34" s="42" t="s">
        <v>97</v>
      </c>
      <c r="F34" s="11" t="n">
        <v>117.25</v>
      </c>
      <c r="G34" s="33" t="s">
        <v>1716</v>
      </c>
      <c r="H34" s="33" t="s">
        <v>1734</v>
      </c>
    </row>
    <row r="35" customFormat="false" ht="22.35" hidden="false" customHeight="false" outlineLevel="0" collapsed="false">
      <c r="A35" s="41" t="n">
        <v>8361</v>
      </c>
      <c r="B35" s="41" t="s">
        <v>852</v>
      </c>
      <c r="C35" s="41" t="s">
        <v>842</v>
      </c>
      <c r="D35" s="41" t="s">
        <v>1699</v>
      </c>
      <c r="E35" s="41" t="s">
        <v>97</v>
      </c>
      <c r="F35" s="15" t="n">
        <v>116.87</v>
      </c>
      <c r="G35" s="30" t="s">
        <v>1693</v>
      </c>
      <c r="H35" s="30" t="s">
        <v>1735</v>
      </c>
    </row>
    <row r="36" customFormat="false" ht="22.35" hidden="false" customHeight="false" outlineLevel="0" collapsed="false">
      <c r="A36" s="42" t="n">
        <v>8366</v>
      </c>
      <c r="B36" s="42" t="s">
        <v>919</v>
      </c>
      <c r="C36" s="42" t="s">
        <v>907</v>
      </c>
      <c r="D36" s="42" t="s">
        <v>1736</v>
      </c>
      <c r="E36" s="42" t="s">
        <v>97</v>
      </c>
      <c r="F36" s="11" t="n">
        <v>115.73</v>
      </c>
      <c r="G36" s="33" t="s">
        <v>1725</v>
      </c>
      <c r="H36" s="33" t="s">
        <v>1737</v>
      </c>
    </row>
    <row r="37" customFormat="false" ht="22.35" hidden="false" customHeight="false" outlineLevel="0" collapsed="false">
      <c r="A37" s="41" t="n">
        <v>8432</v>
      </c>
      <c r="B37" s="41" t="s">
        <v>852</v>
      </c>
      <c r="C37" s="41" t="s">
        <v>860</v>
      </c>
      <c r="D37" s="41" t="s">
        <v>1699</v>
      </c>
      <c r="E37" s="41" t="s">
        <v>97</v>
      </c>
      <c r="F37" s="15" t="n">
        <v>110.14</v>
      </c>
      <c r="G37" s="30" t="s">
        <v>1702</v>
      </c>
      <c r="H37" s="30" t="s">
        <v>1738</v>
      </c>
    </row>
    <row r="38" customFormat="false" ht="32.8" hidden="false" customHeight="false" outlineLevel="0" collapsed="false">
      <c r="A38" s="42" t="n">
        <v>8452</v>
      </c>
      <c r="B38" s="42" t="s">
        <v>823</v>
      </c>
      <c r="C38" s="42" t="s">
        <v>932</v>
      </c>
      <c r="D38" s="42" t="s">
        <v>1689</v>
      </c>
      <c r="E38" s="42" t="s">
        <v>97</v>
      </c>
      <c r="F38" s="11" t="n">
        <v>108.22</v>
      </c>
      <c r="G38" s="33" t="s">
        <v>1739</v>
      </c>
      <c r="H38" s="33" t="s">
        <v>1740</v>
      </c>
    </row>
    <row r="39" customFormat="false" ht="32.8" hidden="false" customHeight="false" outlineLevel="0" collapsed="false">
      <c r="A39" s="41" t="n">
        <v>8509</v>
      </c>
      <c r="B39" s="41" t="s">
        <v>919</v>
      </c>
      <c r="C39" s="41" t="s">
        <v>927</v>
      </c>
      <c r="D39" s="41" t="s">
        <v>1736</v>
      </c>
      <c r="E39" s="41" t="s">
        <v>97</v>
      </c>
      <c r="F39" s="15" t="n">
        <v>103.48</v>
      </c>
      <c r="G39" s="30" t="s">
        <v>1741</v>
      </c>
      <c r="H39" s="30" t="s">
        <v>1742</v>
      </c>
    </row>
    <row r="40" customFormat="false" ht="22.35" hidden="false" customHeight="false" outlineLevel="0" collapsed="false">
      <c r="A40" s="42" t="n">
        <v>8544</v>
      </c>
      <c r="B40" s="42" t="s">
        <v>823</v>
      </c>
      <c r="C40" s="42" t="s">
        <v>872</v>
      </c>
      <c r="D40" s="42" t="s">
        <v>1689</v>
      </c>
      <c r="E40" s="42" t="s">
        <v>97</v>
      </c>
      <c r="F40" s="11" t="n">
        <v>99.33</v>
      </c>
      <c r="G40" s="33" t="s">
        <v>1710</v>
      </c>
      <c r="H40" s="33" t="s">
        <v>1743</v>
      </c>
    </row>
    <row r="41" customFormat="false" ht="32.8" hidden="false" customHeight="false" outlineLevel="0" collapsed="false">
      <c r="A41" s="41" t="n">
        <v>8565</v>
      </c>
      <c r="B41" s="41" t="s">
        <v>919</v>
      </c>
      <c r="C41" s="41" t="s">
        <v>927</v>
      </c>
      <c r="D41" s="41" t="s">
        <v>1736</v>
      </c>
      <c r="E41" s="41" t="s">
        <v>97</v>
      </c>
      <c r="F41" s="15" t="n">
        <v>98.7</v>
      </c>
      <c r="G41" s="30" t="s">
        <v>1741</v>
      </c>
      <c r="H41" s="30" t="s">
        <v>1742</v>
      </c>
    </row>
    <row r="42" customFormat="false" ht="43.25" hidden="false" customHeight="false" outlineLevel="0" collapsed="false">
      <c r="A42" s="42" t="n">
        <v>8567</v>
      </c>
      <c r="B42" s="42" t="s">
        <v>919</v>
      </c>
      <c r="C42" s="42" t="s">
        <v>922</v>
      </c>
      <c r="D42" s="42" t="s">
        <v>1736</v>
      </c>
      <c r="E42" s="42" t="s">
        <v>97</v>
      </c>
      <c r="F42" s="11" t="n">
        <v>98.58</v>
      </c>
      <c r="G42" s="33" t="s">
        <v>1744</v>
      </c>
      <c r="H42" s="33" t="s">
        <v>1745</v>
      </c>
    </row>
    <row r="43" customFormat="false" ht="22.35" hidden="false" customHeight="false" outlineLevel="0" collapsed="false">
      <c r="A43" s="41" t="n">
        <v>8575</v>
      </c>
      <c r="B43" s="41" t="s">
        <v>829</v>
      </c>
      <c r="C43" s="41" t="s">
        <v>847</v>
      </c>
      <c r="D43" s="41" t="s">
        <v>743</v>
      </c>
      <c r="E43" s="41" t="s">
        <v>97</v>
      </c>
      <c r="F43" s="15" t="n">
        <v>97.7</v>
      </c>
      <c r="G43" s="30" t="s">
        <v>1712</v>
      </c>
      <c r="H43" s="30" t="s">
        <v>1713</v>
      </c>
    </row>
    <row r="44" customFormat="false" ht="32.8" hidden="false" customHeight="false" outlineLevel="0" collapsed="false">
      <c r="A44" s="42" t="n">
        <v>8580</v>
      </c>
      <c r="B44" s="42" t="s">
        <v>823</v>
      </c>
      <c r="C44" s="42" t="s">
        <v>837</v>
      </c>
      <c r="D44" s="42" t="s">
        <v>1689</v>
      </c>
      <c r="E44" s="42" t="s">
        <v>97</v>
      </c>
      <c r="F44" s="11" t="n">
        <v>97.36</v>
      </c>
      <c r="G44" s="33" t="s">
        <v>1695</v>
      </c>
      <c r="H44" s="33" t="s">
        <v>1746</v>
      </c>
    </row>
    <row r="45" customFormat="false" ht="32.8" hidden="false" customHeight="false" outlineLevel="0" collapsed="false">
      <c r="A45" s="41" t="n">
        <v>8607</v>
      </c>
      <c r="B45" s="41" t="s">
        <v>829</v>
      </c>
      <c r="C45" s="41" t="s">
        <v>855</v>
      </c>
      <c r="D45" s="41" t="s">
        <v>743</v>
      </c>
      <c r="E45" s="41" t="s">
        <v>97</v>
      </c>
      <c r="F45" s="15" t="n">
        <v>95.49</v>
      </c>
      <c r="G45" s="30" t="s">
        <v>1705</v>
      </c>
      <c r="H45" s="30" t="s">
        <v>1747</v>
      </c>
    </row>
    <row r="46" customFormat="false" ht="32.8" hidden="false" customHeight="false" outlineLevel="0" collapsed="false">
      <c r="A46" s="42" t="n">
        <v>8627</v>
      </c>
      <c r="B46" s="42" t="s">
        <v>919</v>
      </c>
      <c r="C46" s="42" t="s">
        <v>983</v>
      </c>
      <c r="D46" s="42" t="s">
        <v>1736</v>
      </c>
      <c r="E46" s="42" t="s">
        <v>97</v>
      </c>
      <c r="F46" s="11" t="n">
        <v>94.5</v>
      </c>
      <c r="G46" s="33" t="s">
        <v>1748</v>
      </c>
      <c r="H46" s="33" t="s">
        <v>1749</v>
      </c>
    </row>
    <row r="47" customFormat="false" ht="32.8" hidden="false" customHeight="false" outlineLevel="0" collapsed="false">
      <c r="A47" s="41" t="n">
        <v>8653</v>
      </c>
      <c r="B47" s="41" t="s">
        <v>919</v>
      </c>
      <c r="C47" s="41" t="s">
        <v>1032</v>
      </c>
      <c r="D47" s="41" t="s">
        <v>1736</v>
      </c>
      <c r="E47" s="41" t="s">
        <v>97</v>
      </c>
      <c r="F47" s="15" t="n">
        <v>93.45</v>
      </c>
      <c r="G47" s="30" t="s">
        <v>1750</v>
      </c>
      <c r="H47" s="30" t="s">
        <v>1751</v>
      </c>
    </row>
    <row r="48" customFormat="false" ht="22.35" hidden="false" customHeight="false" outlineLevel="0" collapsed="false">
      <c r="A48" s="42" t="n">
        <v>8684</v>
      </c>
      <c r="B48" s="42" t="s">
        <v>877</v>
      </c>
      <c r="C48" s="42" t="s">
        <v>998</v>
      </c>
      <c r="D48" s="42" t="s">
        <v>748</v>
      </c>
      <c r="E48" s="42" t="s">
        <v>97</v>
      </c>
      <c r="F48" s="11" t="n">
        <v>92.4</v>
      </c>
      <c r="G48" s="33" t="s">
        <v>1752</v>
      </c>
      <c r="H48" s="33" t="s">
        <v>1753</v>
      </c>
    </row>
    <row r="49" customFormat="false" ht="22.35" hidden="false" customHeight="false" outlineLevel="0" collapsed="false">
      <c r="A49" s="41" t="n">
        <v>8685</v>
      </c>
      <c r="B49" s="41" t="s">
        <v>919</v>
      </c>
      <c r="C49" s="41" t="s">
        <v>1185</v>
      </c>
      <c r="D49" s="41" t="s">
        <v>1736</v>
      </c>
      <c r="E49" s="41" t="s">
        <v>97</v>
      </c>
      <c r="F49" s="15" t="n">
        <v>92.4</v>
      </c>
      <c r="G49" s="30" t="s">
        <v>1754</v>
      </c>
      <c r="H49" s="30" t="s">
        <v>1755</v>
      </c>
    </row>
    <row r="50" customFormat="false" ht="22.35" hidden="false" customHeight="false" outlineLevel="0" collapsed="false">
      <c r="A50" s="42" t="n">
        <v>8686</v>
      </c>
      <c r="B50" s="42" t="s">
        <v>919</v>
      </c>
      <c r="C50" s="42" t="s">
        <v>1227</v>
      </c>
      <c r="D50" s="42" t="s">
        <v>1736</v>
      </c>
      <c r="E50" s="42" t="s">
        <v>97</v>
      </c>
      <c r="F50" s="11" t="n">
        <v>92.4</v>
      </c>
      <c r="G50" s="33" t="s">
        <v>1228</v>
      </c>
      <c r="H50" s="33" t="s">
        <v>1756</v>
      </c>
    </row>
    <row r="51" customFormat="false" ht="22.35" hidden="false" customHeight="false" outlineLevel="0" collapsed="false">
      <c r="A51" s="41" t="n">
        <v>8687</v>
      </c>
      <c r="B51" s="41" t="s">
        <v>919</v>
      </c>
      <c r="C51" s="41" t="s">
        <v>907</v>
      </c>
      <c r="D51" s="41" t="s">
        <v>1736</v>
      </c>
      <c r="E51" s="41" t="s">
        <v>97</v>
      </c>
      <c r="F51" s="15" t="n">
        <v>92.4</v>
      </c>
      <c r="G51" s="30" t="s">
        <v>1725</v>
      </c>
      <c r="H51" s="30" t="s">
        <v>1737</v>
      </c>
    </row>
    <row r="52" customFormat="false" ht="22.35" hidden="false" customHeight="false" outlineLevel="0" collapsed="false">
      <c r="A52" s="42" t="n">
        <v>8714</v>
      </c>
      <c r="B52" s="42" t="s">
        <v>877</v>
      </c>
      <c r="C52" s="42" t="s">
        <v>1217</v>
      </c>
      <c r="D52" s="42" t="s">
        <v>748</v>
      </c>
      <c r="E52" s="42" t="s">
        <v>97</v>
      </c>
      <c r="F52" s="11" t="n">
        <v>91.35</v>
      </c>
      <c r="G52" s="33" t="s">
        <v>1218</v>
      </c>
      <c r="H52" s="33" t="s">
        <v>1757</v>
      </c>
    </row>
    <row r="53" customFormat="false" ht="22.35" hidden="false" customHeight="false" outlineLevel="0" collapsed="false">
      <c r="A53" s="41" t="n">
        <v>8737</v>
      </c>
      <c r="B53" s="41" t="s">
        <v>877</v>
      </c>
      <c r="C53" s="41" t="s">
        <v>878</v>
      </c>
      <c r="D53" s="41" t="s">
        <v>748</v>
      </c>
      <c r="E53" s="41" t="s">
        <v>97</v>
      </c>
      <c r="F53" s="15" t="n">
        <v>90.3</v>
      </c>
      <c r="G53" s="30" t="s">
        <v>1708</v>
      </c>
      <c r="H53" s="30" t="s">
        <v>1709</v>
      </c>
    </row>
    <row r="54" customFormat="false" ht="32.8" hidden="false" customHeight="false" outlineLevel="0" collapsed="false">
      <c r="A54" s="42" t="n">
        <v>8738</v>
      </c>
      <c r="B54" s="42" t="s">
        <v>877</v>
      </c>
      <c r="C54" s="42" t="s">
        <v>966</v>
      </c>
      <c r="D54" s="42" t="s">
        <v>748</v>
      </c>
      <c r="E54" s="42" t="s">
        <v>97</v>
      </c>
      <c r="F54" s="11" t="n">
        <v>90.3</v>
      </c>
      <c r="G54" s="33" t="s">
        <v>1758</v>
      </c>
      <c r="H54" s="33" t="s">
        <v>1759</v>
      </c>
    </row>
    <row r="55" customFormat="false" ht="43.25" hidden="false" customHeight="false" outlineLevel="0" collapsed="false">
      <c r="A55" s="41" t="n">
        <v>8739</v>
      </c>
      <c r="B55" s="41" t="s">
        <v>919</v>
      </c>
      <c r="C55" s="41" t="s">
        <v>922</v>
      </c>
      <c r="D55" s="41" t="s">
        <v>1736</v>
      </c>
      <c r="E55" s="41" t="s">
        <v>97</v>
      </c>
      <c r="F55" s="15" t="n">
        <v>90.3</v>
      </c>
      <c r="G55" s="30" t="s">
        <v>1744</v>
      </c>
      <c r="H55" s="30" t="s">
        <v>1745</v>
      </c>
    </row>
    <row r="56" customFormat="false" ht="32.8" hidden="false" customHeight="false" outlineLevel="0" collapsed="false">
      <c r="A56" s="42" t="n">
        <v>9143</v>
      </c>
      <c r="B56" s="42" t="s">
        <v>919</v>
      </c>
      <c r="C56" s="42" t="s">
        <v>1252</v>
      </c>
      <c r="D56" s="42" t="s">
        <v>1736</v>
      </c>
      <c r="E56" s="42" t="s">
        <v>97</v>
      </c>
      <c r="F56" s="11" t="n">
        <v>89.25</v>
      </c>
      <c r="G56" s="33" t="s">
        <v>1760</v>
      </c>
      <c r="H56" s="33" t="s">
        <v>1761</v>
      </c>
    </row>
    <row r="57" customFormat="false" ht="22.35" hidden="false" customHeight="false" outlineLevel="0" collapsed="false">
      <c r="A57" s="41" t="n">
        <v>9147</v>
      </c>
      <c r="B57" s="41" t="s">
        <v>852</v>
      </c>
      <c r="C57" s="41" t="s">
        <v>867</v>
      </c>
      <c r="D57" s="41" t="s">
        <v>1699</v>
      </c>
      <c r="E57" s="41" t="s">
        <v>97</v>
      </c>
      <c r="F57" s="15" t="n">
        <v>88.81</v>
      </c>
      <c r="G57" s="30" t="s">
        <v>1716</v>
      </c>
      <c r="H57" s="30" t="s">
        <v>1719</v>
      </c>
    </row>
    <row r="58" customFormat="false" ht="22.35" hidden="false" customHeight="false" outlineLevel="0" collapsed="false">
      <c r="A58" s="42" t="n">
        <v>9176</v>
      </c>
      <c r="B58" s="42" t="s">
        <v>877</v>
      </c>
      <c r="C58" s="42" t="s">
        <v>973</v>
      </c>
      <c r="D58" s="42" t="s">
        <v>748</v>
      </c>
      <c r="E58" s="42" t="s">
        <v>97</v>
      </c>
      <c r="F58" s="11" t="n">
        <v>86.1</v>
      </c>
      <c r="G58" s="33" t="s">
        <v>1762</v>
      </c>
      <c r="H58" s="33" t="s">
        <v>1763</v>
      </c>
    </row>
    <row r="59" customFormat="false" ht="22.35" hidden="false" customHeight="false" outlineLevel="0" collapsed="false">
      <c r="A59" s="41" t="n">
        <v>9187</v>
      </c>
      <c r="B59" s="41" t="s">
        <v>877</v>
      </c>
      <c r="C59" s="41" t="s">
        <v>1190</v>
      </c>
      <c r="D59" s="41" t="s">
        <v>748</v>
      </c>
      <c r="E59" s="41" t="s">
        <v>97</v>
      </c>
      <c r="F59" s="15" t="n">
        <v>85.05</v>
      </c>
      <c r="G59" s="30" t="s">
        <v>1191</v>
      </c>
      <c r="H59" s="30" t="s">
        <v>1764</v>
      </c>
    </row>
    <row r="60" customFormat="false" ht="22.35" hidden="false" customHeight="false" outlineLevel="0" collapsed="false">
      <c r="A60" s="42" t="n">
        <v>9224</v>
      </c>
      <c r="B60" s="42" t="s">
        <v>852</v>
      </c>
      <c r="C60" s="42" t="s">
        <v>885</v>
      </c>
      <c r="D60" s="42" t="s">
        <v>1699</v>
      </c>
      <c r="E60" s="42" t="s">
        <v>97</v>
      </c>
      <c r="F60" s="11" t="n">
        <v>83.04</v>
      </c>
      <c r="G60" s="33" t="s">
        <v>1722</v>
      </c>
      <c r="H60" s="33" t="s">
        <v>1765</v>
      </c>
    </row>
    <row r="61" customFormat="false" ht="32.8" hidden="false" customHeight="false" outlineLevel="0" collapsed="false">
      <c r="A61" s="41" t="n">
        <v>9238</v>
      </c>
      <c r="B61" s="41" t="s">
        <v>823</v>
      </c>
      <c r="C61" s="41" t="s">
        <v>1066</v>
      </c>
      <c r="D61" s="41" t="s">
        <v>1689</v>
      </c>
      <c r="E61" s="41" t="s">
        <v>97</v>
      </c>
      <c r="F61" s="15" t="n">
        <v>82.74</v>
      </c>
      <c r="G61" s="30" t="s">
        <v>1766</v>
      </c>
      <c r="H61" s="30" t="s">
        <v>1767</v>
      </c>
    </row>
    <row r="62" customFormat="false" ht="22.35" hidden="false" customHeight="false" outlineLevel="0" collapsed="false">
      <c r="A62" s="42" t="n">
        <v>9246</v>
      </c>
      <c r="B62" s="42" t="s">
        <v>877</v>
      </c>
      <c r="C62" s="42" t="s">
        <v>1125</v>
      </c>
      <c r="D62" s="42" t="s">
        <v>748</v>
      </c>
      <c r="E62" s="42" t="s">
        <v>97</v>
      </c>
      <c r="F62" s="11" t="n">
        <v>81.9</v>
      </c>
      <c r="G62" s="33" t="s">
        <v>1137</v>
      </c>
      <c r="H62" s="33" t="s">
        <v>1768</v>
      </c>
    </row>
    <row r="63" customFormat="false" ht="22.35" hidden="false" customHeight="false" outlineLevel="0" collapsed="false">
      <c r="A63" s="41" t="n">
        <v>9247</v>
      </c>
      <c r="B63" s="41" t="s">
        <v>877</v>
      </c>
      <c r="C63" s="41" t="s">
        <v>1003</v>
      </c>
      <c r="D63" s="41" t="s">
        <v>748</v>
      </c>
      <c r="E63" s="41" t="s">
        <v>97</v>
      </c>
      <c r="F63" s="15" t="n">
        <v>81.9</v>
      </c>
      <c r="G63" s="30" t="s">
        <v>1004</v>
      </c>
      <c r="H63" s="30" t="s">
        <v>1769</v>
      </c>
    </row>
    <row r="64" customFormat="false" ht="22.35" hidden="false" customHeight="false" outlineLevel="0" collapsed="false">
      <c r="A64" s="42" t="n">
        <v>9248</v>
      </c>
      <c r="B64" s="42" t="s">
        <v>877</v>
      </c>
      <c r="C64" s="42" t="s">
        <v>1232</v>
      </c>
      <c r="D64" s="42" t="s">
        <v>748</v>
      </c>
      <c r="E64" s="42" t="s">
        <v>97</v>
      </c>
      <c r="F64" s="11" t="n">
        <v>81.9</v>
      </c>
      <c r="G64" s="33" t="s">
        <v>1770</v>
      </c>
      <c r="H64" s="33" t="s">
        <v>1771</v>
      </c>
    </row>
    <row r="65" customFormat="false" ht="22.35" hidden="false" customHeight="false" outlineLevel="0" collapsed="false">
      <c r="A65" s="41" t="n">
        <v>9264</v>
      </c>
      <c r="B65" s="41" t="s">
        <v>823</v>
      </c>
      <c r="C65" s="41" t="s">
        <v>1003</v>
      </c>
      <c r="D65" s="41" t="s">
        <v>1689</v>
      </c>
      <c r="E65" s="41" t="s">
        <v>97</v>
      </c>
      <c r="F65" s="15" t="n">
        <v>81.85</v>
      </c>
      <c r="G65" s="30" t="s">
        <v>1004</v>
      </c>
      <c r="H65" s="30" t="s">
        <v>1772</v>
      </c>
    </row>
    <row r="66" customFormat="false" ht="22.35" hidden="false" customHeight="false" outlineLevel="0" collapsed="false">
      <c r="A66" s="42" t="n">
        <v>9265</v>
      </c>
      <c r="B66" s="42" t="s">
        <v>823</v>
      </c>
      <c r="C66" s="42" t="s">
        <v>1232</v>
      </c>
      <c r="D66" s="42" t="s">
        <v>1689</v>
      </c>
      <c r="E66" s="42" t="s">
        <v>97</v>
      </c>
      <c r="F66" s="11" t="n">
        <v>81.85</v>
      </c>
      <c r="G66" s="33" t="s">
        <v>1770</v>
      </c>
      <c r="H66" s="33" t="s">
        <v>1773</v>
      </c>
    </row>
    <row r="67" customFormat="false" ht="22.35" hidden="false" customHeight="false" outlineLevel="0" collapsed="false">
      <c r="A67" s="41" t="n">
        <v>9293</v>
      </c>
      <c r="B67" s="41" t="s">
        <v>823</v>
      </c>
      <c r="C67" s="41" t="s">
        <v>1125</v>
      </c>
      <c r="D67" s="41" t="s">
        <v>1689</v>
      </c>
      <c r="E67" s="41" t="s">
        <v>97</v>
      </c>
      <c r="F67" s="15" t="n">
        <v>80.98</v>
      </c>
      <c r="G67" s="30" t="s">
        <v>1137</v>
      </c>
      <c r="H67" s="30" t="s">
        <v>1774</v>
      </c>
    </row>
    <row r="68" customFormat="false" ht="32.8" hidden="false" customHeight="false" outlineLevel="0" collapsed="false">
      <c r="A68" s="42" t="n">
        <v>9294</v>
      </c>
      <c r="B68" s="42" t="s">
        <v>823</v>
      </c>
      <c r="C68" s="42" t="s">
        <v>966</v>
      </c>
      <c r="D68" s="42" t="s">
        <v>1689</v>
      </c>
      <c r="E68" s="42" t="s">
        <v>97</v>
      </c>
      <c r="F68" s="11" t="n">
        <v>80.98</v>
      </c>
      <c r="G68" s="33" t="s">
        <v>1758</v>
      </c>
      <c r="H68" s="33" t="s">
        <v>1775</v>
      </c>
    </row>
    <row r="69" customFormat="false" ht="22.35" hidden="false" customHeight="false" outlineLevel="0" collapsed="false">
      <c r="A69" s="41" t="n">
        <v>9295</v>
      </c>
      <c r="B69" s="41" t="s">
        <v>823</v>
      </c>
      <c r="C69" s="41" t="s">
        <v>860</v>
      </c>
      <c r="D69" s="41" t="s">
        <v>1689</v>
      </c>
      <c r="E69" s="41" t="s">
        <v>97</v>
      </c>
      <c r="F69" s="15" t="n">
        <v>80.98</v>
      </c>
      <c r="G69" s="30" t="s">
        <v>1702</v>
      </c>
      <c r="H69" s="30" t="s">
        <v>1703</v>
      </c>
    </row>
    <row r="70" customFormat="false" ht="22.35" hidden="false" customHeight="false" outlineLevel="0" collapsed="false">
      <c r="A70" s="42" t="n">
        <v>9298</v>
      </c>
      <c r="B70" s="42" t="s">
        <v>877</v>
      </c>
      <c r="C70" s="42" t="s">
        <v>1232</v>
      </c>
      <c r="D70" s="42" t="s">
        <v>748</v>
      </c>
      <c r="E70" s="42" t="s">
        <v>97</v>
      </c>
      <c r="F70" s="11" t="n">
        <v>80.85</v>
      </c>
      <c r="G70" s="33" t="s">
        <v>1770</v>
      </c>
      <c r="H70" s="33" t="s">
        <v>1776</v>
      </c>
    </row>
    <row r="71" customFormat="false" ht="32.8" hidden="false" customHeight="false" outlineLevel="0" collapsed="false">
      <c r="A71" s="41" t="n">
        <v>9329</v>
      </c>
      <c r="B71" s="41" t="s">
        <v>823</v>
      </c>
      <c r="C71" s="41" t="s">
        <v>902</v>
      </c>
      <c r="D71" s="41" t="s">
        <v>1689</v>
      </c>
      <c r="E71" s="41" t="s">
        <v>97</v>
      </c>
      <c r="F71" s="15" t="n">
        <v>80.1</v>
      </c>
      <c r="G71" s="30" t="s">
        <v>1728</v>
      </c>
      <c r="H71" s="30" t="s">
        <v>1777</v>
      </c>
    </row>
    <row r="72" customFormat="false" ht="22.35" hidden="false" customHeight="false" outlineLevel="0" collapsed="false">
      <c r="A72" s="42" t="n">
        <v>9330</v>
      </c>
      <c r="B72" s="42" t="s">
        <v>823</v>
      </c>
      <c r="C72" s="42" t="s">
        <v>1190</v>
      </c>
      <c r="D72" s="42" t="s">
        <v>1689</v>
      </c>
      <c r="E72" s="42" t="s">
        <v>97</v>
      </c>
      <c r="F72" s="11" t="n">
        <v>80.1</v>
      </c>
      <c r="G72" s="33" t="s">
        <v>1191</v>
      </c>
      <c r="H72" s="33" t="s">
        <v>1778</v>
      </c>
    </row>
    <row r="73" customFormat="false" ht="22.35" hidden="false" customHeight="false" outlineLevel="0" collapsed="false">
      <c r="A73" s="41" t="n">
        <v>9331</v>
      </c>
      <c r="B73" s="41" t="s">
        <v>823</v>
      </c>
      <c r="C73" s="41" t="s">
        <v>1185</v>
      </c>
      <c r="D73" s="41" t="s">
        <v>1689</v>
      </c>
      <c r="E73" s="41" t="s">
        <v>97</v>
      </c>
      <c r="F73" s="15" t="n">
        <v>80.1</v>
      </c>
      <c r="G73" s="30" t="s">
        <v>1754</v>
      </c>
      <c r="H73" s="30" t="s">
        <v>1779</v>
      </c>
    </row>
    <row r="74" customFormat="false" ht="32.8" hidden="false" customHeight="false" outlineLevel="0" collapsed="false">
      <c r="A74" s="42" t="n">
        <v>9332</v>
      </c>
      <c r="B74" s="42" t="s">
        <v>823</v>
      </c>
      <c r="C74" s="42" t="s">
        <v>1071</v>
      </c>
      <c r="D74" s="42" t="s">
        <v>1689</v>
      </c>
      <c r="E74" s="42" t="s">
        <v>97</v>
      </c>
      <c r="F74" s="11" t="n">
        <v>80.1</v>
      </c>
      <c r="G74" s="33" t="s">
        <v>1780</v>
      </c>
      <c r="H74" s="33" t="s">
        <v>1781</v>
      </c>
    </row>
    <row r="75" customFormat="false" ht="32.8" hidden="false" customHeight="false" outlineLevel="0" collapsed="false">
      <c r="A75" s="41" t="n">
        <v>9333</v>
      </c>
      <c r="B75" s="41" t="s">
        <v>823</v>
      </c>
      <c r="C75" s="41" t="s">
        <v>1032</v>
      </c>
      <c r="D75" s="41" t="s">
        <v>1689</v>
      </c>
      <c r="E75" s="41" t="s">
        <v>97</v>
      </c>
      <c r="F75" s="15" t="n">
        <v>80.1</v>
      </c>
      <c r="G75" s="30" t="s">
        <v>1750</v>
      </c>
      <c r="H75" s="30" t="s">
        <v>1782</v>
      </c>
    </row>
    <row r="76" customFormat="false" ht="22.35" hidden="false" customHeight="false" outlineLevel="0" collapsed="false">
      <c r="A76" s="42" t="n">
        <v>9334</v>
      </c>
      <c r="B76" s="42" t="s">
        <v>823</v>
      </c>
      <c r="C76" s="42" t="s">
        <v>973</v>
      </c>
      <c r="D76" s="42" t="s">
        <v>1689</v>
      </c>
      <c r="E76" s="42" t="s">
        <v>97</v>
      </c>
      <c r="F76" s="11" t="n">
        <v>80.1</v>
      </c>
      <c r="G76" s="33" t="s">
        <v>1762</v>
      </c>
      <c r="H76" s="33" t="s">
        <v>1783</v>
      </c>
    </row>
    <row r="77" customFormat="false" ht="32.8" hidden="false" customHeight="false" outlineLevel="0" collapsed="false">
      <c r="A77" s="41" t="n">
        <v>9335</v>
      </c>
      <c r="B77" s="41" t="s">
        <v>823</v>
      </c>
      <c r="C77" s="41" t="s">
        <v>1252</v>
      </c>
      <c r="D77" s="41" t="s">
        <v>1689</v>
      </c>
      <c r="E77" s="41" t="s">
        <v>97</v>
      </c>
      <c r="F77" s="15" t="n">
        <v>80.1</v>
      </c>
      <c r="G77" s="30" t="s">
        <v>1760</v>
      </c>
      <c r="H77" s="30" t="s">
        <v>1784</v>
      </c>
    </row>
    <row r="78" customFormat="false" ht="43.25" hidden="false" customHeight="false" outlineLevel="0" collapsed="false">
      <c r="A78" s="42" t="n">
        <v>9336</v>
      </c>
      <c r="B78" s="42" t="s">
        <v>823</v>
      </c>
      <c r="C78" s="42" t="s">
        <v>959</v>
      </c>
      <c r="D78" s="42" t="s">
        <v>1689</v>
      </c>
      <c r="E78" s="42" t="s">
        <v>97</v>
      </c>
      <c r="F78" s="11" t="n">
        <v>80.1</v>
      </c>
      <c r="G78" s="33" t="s">
        <v>1785</v>
      </c>
      <c r="H78" s="33" t="s">
        <v>1786</v>
      </c>
    </row>
    <row r="79" customFormat="false" ht="32.8" hidden="false" customHeight="false" outlineLevel="0" collapsed="false">
      <c r="A79" s="41" t="n">
        <v>9337</v>
      </c>
      <c r="B79" s="41" t="s">
        <v>823</v>
      </c>
      <c r="C79" s="41" t="s">
        <v>983</v>
      </c>
      <c r="D79" s="41" t="s">
        <v>1689</v>
      </c>
      <c r="E79" s="41" t="s">
        <v>97</v>
      </c>
      <c r="F79" s="15" t="n">
        <v>80.1</v>
      </c>
      <c r="G79" s="30" t="s">
        <v>1748</v>
      </c>
      <c r="H79" s="30" t="s">
        <v>1787</v>
      </c>
    </row>
    <row r="80" customFormat="false" ht="22.35" hidden="false" customHeight="false" outlineLevel="0" collapsed="false">
      <c r="A80" s="42" t="n">
        <v>9346</v>
      </c>
      <c r="B80" s="42" t="s">
        <v>877</v>
      </c>
      <c r="C80" s="42" t="s">
        <v>1044</v>
      </c>
      <c r="D80" s="42" t="s">
        <v>748</v>
      </c>
      <c r="E80" s="42" t="s">
        <v>97</v>
      </c>
      <c r="F80" s="11" t="n">
        <v>79.8</v>
      </c>
      <c r="G80" s="33" t="s">
        <v>1788</v>
      </c>
      <c r="H80" s="33" t="s">
        <v>1789</v>
      </c>
    </row>
    <row r="81" customFormat="false" ht="22.35" hidden="false" customHeight="false" outlineLevel="0" collapsed="false">
      <c r="A81" s="41" t="n">
        <v>9362</v>
      </c>
      <c r="B81" s="41" t="s">
        <v>829</v>
      </c>
      <c r="C81" s="41" t="s">
        <v>1585</v>
      </c>
      <c r="D81" s="41" t="s">
        <v>743</v>
      </c>
      <c r="E81" s="41" t="s">
        <v>97</v>
      </c>
      <c r="F81" s="15" t="n">
        <v>79.22</v>
      </c>
      <c r="G81" s="30" t="s">
        <v>1790</v>
      </c>
      <c r="H81" s="30" t="s">
        <v>1791</v>
      </c>
    </row>
    <row r="82" customFormat="false" ht="22.35" hidden="false" customHeight="false" outlineLevel="0" collapsed="false">
      <c r="A82" s="42" t="n">
        <v>9363</v>
      </c>
      <c r="B82" s="42" t="s">
        <v>823</v>
      </c>
      <c r="C82" s="42" t="s">
        <v>1120</v>
      </c>
      <c r="D82" s="42" t="s">
        <v>1689</v>
      </c>
      <c r="E82" s="42" t="s">
        <v>97</v>
      </c>
      <c r="F82" s="11" t="n">
        <v>79.22</v>
      </c>
      <c r="G82" s="33" t="s">
        <v>1792</v>
      </c>
      <c r="H82" s="33" t="s">
        <v>1793</v>
      </c>
    </row>
    <row r="83" customFormat="false" ht="22.35" hidden="false" customHeight="false" outlineLevel="0" collapsed="false">
      <c r="A83" s="41" t="n">
        <v>9364</v>
      </c>
      <c r="B83" s="41" t="s">
        <v>823</v>
      </c>
      <c r="C83" s="41" t="s">
        <v>1212</v>
      </c>
      <c r="D83" s="41" t="s">
        <v>1689</v>
      </c>
      <c r="E83" s="41" t="s">
        <v>97</v>
      </c>
      <c r="F83" s="15" t="n">
        <v>79.22</v>
      </c>
      <c r="G83" s="30" t="s">
        <v>1794</v>
      </c>
      <c r="H83" s="30" t="s">
        <v>1795</v>
      </c>
    </row>
    <row r="84" customFormat="false" ht="22.35" hidden="false" customHeight="false" outlineLevel="0" collapsed="false">
      <c r="A84" s="42" t="n">
        <v>9365</v>
      </c>
      <c r="B84" s="42" t="s">
        <v>823</v>
      </c>
      <c r="C84" s="42" t="s">
        <v>842</v>
      </c>
      <c r="D84" s="42" t="s">
        <v>1689</v>
      </c>
      <c r="E84" s="42" t="s">
        <v>97</v>
      </c>
      <c r="F84" s="11" t="n">
        <v>79.22</v>
      </c>
      <c r="G84" s="33" t="s">
        <v>1693</v>
      </c>
      <c r="H84" s="33" t="s">
        <v>1694</v>
      </c>
    </row>
    <row r="85" customFormat="false" ht="22.35" hidden="false" customHeight="false" outlineLevel="0" collapsed="false">
      <c r="A85" s="41" t="n">
        <v>9388</v>
      </c>
      <c r="B85" s="41" t="s">
        <v>823</v>
      </c>
      <c r="C85" s="41" t="s">
        <v>1217</v>
      </c>
      <c r="D85" s="41" t="s">
        <v>1689</v>
      </c>
      <c r="E85" s="41" t="s">
        <v>97</v>
      </c>
      <c r="F85" s="15" t="n">
        <v>78.34</v>
      </c>
      <c r="G85" s="30" t="s">
        <v>1218</v>
      </c>
      <c r="H85" s="30" t="s">
        <v>1796</v>
      </c>
    </row>
    <row r="86" customFormat="false" ht="22.35" hidden="false" customHeight="false" outlineLevel="0" collapsed="false">
      <c r="A86" s="42" t="n">
        <v>9389</v>
      </c>
      <c r="B86" s="42" t="s">
        <v>823</v>
      </c>
      <c r="C86" s="42" t="s">
        <v>998</v>
      </c>
      <c r="D86" s="42" t="s">
        <v>1689</v>
      </c>
      <c r="E86" s="42" t="s">
        <v>97</v>
      </c>
      <c r="F86" s="11" t="n">
        <v>78.34</v>
      </c>
      <c r="G86" s="33" t="s">
        <v>1752</v>
      </c>
      <c r="H86" s="33" t="s">
        <v>1797</v>
      </c>
    </row>
    <row r="87" customFormat="false" ht="22.35" hidden="false" customHeight="false" outlineLevel="0" collapsed="false">
      <c r="A87" s="41" t="n">
        <v>9390</v>
      </c>
      <c r="B87" s="41" t="s">
        <v>823</v>
      </c>
      <c r="C87" s="41" t="s">
        <v>1227</v>
      </c>
      <c r="D87" s="41" t="s">
        <v>1689</v>
      </c>
      <c r="E87" s="41" t="s">
        <v>97</v>
      </c>
      <c r="F87" s="15" t="n">
        <v>78.34</v>
      </c>
      <c r="G87" s="30" t="s">
        <v>1228</v>
      </c>
      <c r="H87" s="30" t="s">
        <v>1798</v>
      </c>
    </row>
    <row r="88" customFormat="false" ht="22.35" hidden="false" customHeight="false" outlineLevel="0" collapsed="false">
      <c r="A88" s="42" t="n">
        <v>9391</v>
      </c>
      <c r="B88" s="42" t="s">
        <v>823</v>
      </c>
      <c r="C88" s="42" t="s">
        <v>907</v>
      </c>
      <c r="D88" s="42" t="s">
        <v>1689</v>
      </c>
      <c r="E88" s="42" t="s">
        <v>97</v>
      </c>
      <c r="F88" s="11" t="n">
        <v>78.34</v>
      </c>
      <c r="G88" s="33" t="s">
        <v>1725</v>
      </c>
      <c r="H88" s="33" t="s">
        <v>1726</v>
      </c>
    </row>
    <row r="89" customFormat="false" ht="43.25" hidden="false" customHeight="false" outlineLevel="0" collapsed="false">
      <c r="A89" s="41" t="n">
        <v>9421</v>
      </c>
      <c r="B89" s="41" t="s">
        <v>823</v>
      </c>
      <c r="C89" s="41" t="s">
        <v>959</v>
      </c>
      <c r="D89" s="41" t="s">
        <v>1689</v>
      </c>
      <c r="E89" s="41" t="s">
        <v>97</v>
      </c>
      <c r="F89" s="15" t="n">
        <v>77.75</v>
      </c>
      <c r="G89" s="30" t="s">
        <v>1785</v>
      </c>
      <c r="H89" s="30" t="s">
        <v>1786</v>
      </c>
    </row>
    <row r="90" customFormat="false" ht="22.35" hidden="false" customHeight="false" outlineLevel="0" collapsed="false">
      <c r="A90" s="42" t="n">
        <v>9428</v>
      </c>
      <c r="B90" s="42" t="s">
        <v>823</v>
      </c>
      <c r="C90" s="42" t="s">
        <v>1044</v>
      </c>
      <c r="D90" s="42" t="s">
        <v>1689</v>
      </c>
      <c r="E90" s="42" t="s">
        <v>97</v>
      </c>
      <c r="F90" s="11" t="n">
        <v>77.45</v>
      </c>
      <c r="G90" s="33" t="s">
        <v>1788</v>
      </c>
      <c r="H90" s="33" t="s">
        <v>1799</v>
      </c>
    </row>
    <row r="91" customFormat="false" ht="22.35" hidden="false" customHeight="false" outlineLevel="0" collapsed="false">
      <c r="A91" s="41" t="n">
        <v>9492</v>
      </c>
      <c r="B91" s="41" t="s">
        <v>852</v>
      </c>
      <c r="C91" s="41" t="s">
        <v>1212</v>
      </c>
      <c r="D91" s="41" t="s">
        <v>1699</v>
      </c>
      <c r="E91" s="41" t="s">
        <v>97</v>
      </c>
      <c r="F91" s="15" t="n">
        <v>74.55</v>
      </c>
      <c r="G91" s="30" t="s">
        <v>1794</v>
      </c>
      <c r="H91" s="30" t="s">
        <v>1800</v>
      </c>
    </row>
    <row r="92" customFormat="false" ht="22.35" hidden="false" customHeight="false" outlineLevel="0" collapsed="false">
      <c r="A92" s="42" t="n">
        <v>9512</v>
      </c>
      <c r="B92" s="42" t="s">
        <v>829</v>
      </c>
      <c r="C92" s="42" t="s">
        <v>872</v>
      </c>
      <c r="D92" s="42" t="s">
        <v>743</v>
      </c>
      <c r="E92" s="42" t="s">
        <v>97</v>
      </c>
      <c r="F92" s="11" t="n">
        <v>73.72</v>
      </c>
      <c r="G92" s="33" t="s">
        <v>1710</v>
      </c>
      <c r="H92" s="33" t="s">
        <v>1801</v>
      </c>
    </row>
    <row r="93" customFormat="false" ht="32.8" hidden="false" customHeight="false" outlineLevel="0" collapsed="false">
      <c r="A93" s="41" t="n">
        <v>9524</v>
      </c>
      <c r="B93" s="41" t="s">
        <v>852</v>
      </c>
      <c r="C93" s="41" t="s">
        <v>902</v>
      </c>
      <c r="D93" s="41" t="s">
        <v>1699</v>
      </c>
      <c r="E93" s="41" t="s">
        <v>97</v>
      </c>
      <c r="F93" s="15" t="n">
        <v>73.5</v>
      </c>
      <c r="G93" s="30" t="s">
        <v>1728</v>
      </c>
      <c r="H93" s="30" t="s">
        <v>1729</v>
      </c>
    </row>
    <row r="94" customFormat="false" ht="22.35" hidden="false" customHeight="false" outlineLevel="0" collapsed="false">
      <c r="A94" s="42" t="n">
        <v>9525</v>
      </c>
      <c r="B94" s="42" t="s">
        <v>852</v>
      </c>
      <c r="C94" s="42" t="s">
        <v>842</v>
      </c>
      <c r="D94" s="42" t="s">
        <v>1699</v>
      </c>
      <c r="E94" s="42" t="s">
        <v>97</v>
      </c>
      <c r="F94" s="11" t="n">
        <v>73.5</v>
      </c>
      <c r="G94" s="33" t="s">
        <v>1693</v>
      </c>
      <c r="H94" s="33" t="s">
        <v>1700</v>
      </c>
    </row>
    <row r="95" customFormat="false" ht="22.35" hidden="false" customHeight="false" outlineLevel="0" collapsed="false">
      <c r="A95" s="41" t="n">
        <v>9537</v>
      </c>
      <c r="B95" s="41" t="s">
        <v>823</v>
      </c>
      <c r="C95" s="41" t="s">
        <v>867</v>
      </c>
      <c r="D95" s="41" t="s">
        <v>1689</v>
      </c>
      <c r="E95" s="41" t="s">
        <v>97</v>
      </c>
      <c r="F95" s="15" t="n">
        <v>73.06</v>
      </c>
      <c r="G95" s="30" t="s">
        <v>1716</v>
      </c>
      <c r="H95" s="30" t="s">
        <v>1802</v>
      </c>
    </row>
    <row r="96" customFormat="false" ht="32.8" hidden="false" customHeight="false" outlineLevel="0" collapsed="false">
      <c r="A96" s="42" t="n">
        <v>9545</v>
      </c>
      <c r="B96" s="42" t="s">
        <v>823</v>
      </c>
      <c r="C96" s="42" t="s">
        <v>932</v>
      </c>
      <c r="D96" s="42" t="s">
        <v>1689</v>
      </c>
      <c r="E96" s="42" t="s">
        <v>97</v>
      </c>
      <c r="F96" s="11" t="n">
        <v>73.05</v>
      </c>
      <c r="G96" s="33" t="s">
        <v>1739</v>
      </c>
      <c r="H96" s="33" t="s">
        <v>1740</v>
      </c>
    </row>
    <row r="97" customFormat="false" ht="32.8" hidden="false" customHeight="false" outlineLevel="0" collapsed="false">
      <c r="A97" s="41" t="n">
        <v>9566</v>
      </c>
      <c r="B97" s="41" t="s">
        <v>823</v>
      </c>
      <c r="C97" s="41" t="s">
        <v>897</v>
      </c>
      <c r="D97" s="41" t="s">
        <v>1689</v>
      </c>
      <c r="E97" s="41" t="s">
        <v>97</v>
      </c>
      <c r="F97" s="15" t="n">
        <v>72.17</v>
      </c>
      <c r="G97" s="30" t="s">
        <v>1731</v>
      </c>
      <c r="H97" s="30" t="s">
        <v>1732</v>
      </c>
    </row>
    <row r="98" customFormat="false" ht="32.8" hidden="false" customHeight="false" outlineLevel="0" collapsed="false">
      <c r="A98" s="42" t="n">
        <v>9567</v>
      </c>
      <c r="B98" s="42" t="s">
        <v>823</v>
      </c>
      <c r="C98" s="42" t="s">
        <v>832</v>
      </c>
      <c r="D98" s="42" t="s">
        <v>1689</v>
      </c>
      <c r="E98" s="42" t="s">
        <v>97</v>
      </c>
      <c r="F98" s="11" t="n">
        <v>72.17</v>
      </c>
      <c r="G98" s="33" t="s">
        <v>1697</v>
      </c>
      <c r="H98" s="33" t="s">
        <v>1698</v>
      </c>
    </row>
    <row r="99" customFormat="false" ht="22.35" hidden="false" customHeight="false" outlineLevel="0" collapsed="false">
      <c r="A99" s="41" t="n">
        <v>9570</v>
      </c>
      <c r="B99" s="41" t="s">
        <v>877</v>
      </c>
      <c r="C99" s="41" t="s">
        <v>1352</v>
      </c>
      <c r="D99" s="41" t="s">
        <v>748</v>
      </c>
      <c r="E99" s="41" t="s">
        <v>97</v>
      </c>
      <c r="F99" s="15" t="n">
        <v>71.72</v>
      </c>
      <c r="G99" s="30" t="s">
        <v>1353</v>
      </c>
      <c r="H99" s="30" t="s">
        <v>1803</v>
      </c>
    </row>
    <row r="100" customFormat="false" ht="32.8" hidden="false" customHeight="false" outlineLevel="0" collapsed="false">
      <c r="A100" s="42" t="n">
        <v>9571</v>
      </c>
      <c r="B100" s="42" t="s">
        <v>877</v>
      </c>
      <c r="C100" s="42" t="s">
        <v>1266</v>
      </c>
      <c r="D100" s="42" t="s">
        <v>748</v>
      </c>
      <c r="E100" s="42" t="s">
        <v>97</v>
      </c>
      <c r="F100" s="11" t="n">
        <v>71.72</v>
      </c>
      <c r="G100" s="33" t="s">
        <v>1804</v>
      </c>
      <c r="H100" s="33" t="s">
        <v>1805</v>
      </c>
    </row>
    <row r="101" customFormat="false" ht="32.8" hidden="false" customHeight="false" outlineLevel="0" collapsed="false">
      <c r="A101" s="41" t="n">
        <v>9579</v>
      </c>
      <c r="B101" s="41" t="s">
        <v>823</v>
      </c>
      <c r="C101" s="41" t="s">
        <v>1286</v>
      </c>
      <c r="D101" s="41" t="s">
        <v>1689</v>
      </c>
      <c r="E101" s="41" t="s">
        <v>97</v>
      </c>
      <c r="F101" s="15" t="n">
        <v>71.3</v>
      </c>
      <c r="G101" s="30" t="s">
        <v>1806</v>
      </c>
      <c r="H101" s="30" t="s">
        <v>1807</v>
      </c>
    </row>
    <row r="102" customFormat="false" ht="32.8" hidden="false" customHeight="false" outlineLevel="0" collapsed="false">
      <c r="A102" s="42" t="n">
        <v>9591</v>
      </c>
      <c r="B102" s="42" t="s">
        <v>852</v>
      </c>
      <c r="C102" s="42" t="s">
        <v>1071</v>
      </c>
      <c r="D102" s="42" t="s">
        <v>1699</v>
      </c>
      <c r="E102" s="42" t="s">
        <v>97</v>
      </c>
      <c r="F102" s="11" t="n">
        <v>70.35</v>
      </c>
      <c r="G102" s="33" t="s">
        <v>1780</v>
      </c>
      <c r="H102" s="33" t="s">
        <v>1808</v>
      </c>
    </row>
    <row r="103" customFormat="false" ht="43.25" hidden="false" customHeight="false" outlineLevel="0" collapsed="false">
      <c r="A103" s="41" t="n">
        <v>9592</v>
      </c>
      <c r="B103" s="41" t="s">
        <v>852</v>
      </c>
      <c r="C103" s="41" t="s">
        <v>959</v>
      </c>
      <c r="D103" s="41" t="s">
        <v>1699</v>
      </c>
      <c r="E103" s="41" t="s">
        <v>97</v>
      </c>
      <c r="F103" s="15" t="n">
        <v>70.35</v>
      </c>
      <c r="G103" s="30" t="s">
        <v>1785</v>
      </c>
      <c r="H103" s="30" t="s">
        <v>1809</v>
      </c>
    </row>
    <row r="104" customFormat="false" ht="22.35" hidden="false" customHeight="false" outlineLevel="0" collapsed="false">
      <c r="A104" s="42" t="n">
        <v>9631</v>
      </c>
      <c r="B104" s="42" t="s">
        <v>823</v>
      </c>
      <c r="C104" s="42" t="s">
        <v>1259</v>
      </c>
      <c r="D104" s="42" t="s">
        <v>1689</v>
      </c>
      <c r="E104" s="42" t="s">
        <v>97</v>
      </c>
      <c r="F104" s="11" t="n">
        <v>68.65</v>
      </c>
      <c r="G104" s="33" t="s">
        <v>1810</v>
      </c>
      <c r="H104" s="33" t="s">
        <v>1811</v>
      </c>
    </row>
    <row r="105" customFormat="false" ht="22.35" hidden="false" customHeight="false" outlineLevel="0" collapsed="false">
      <c r="A105" s="41" t="n">
        <v>9632</v>
      </c>
      <c r="B105" s="41" t="s">
        <v>823</v>
      </c>
      <c r="C105" s="41" t="s">
        <v>890</v>
      </c>
      <c r="D105" s="41" t="s">
        <v>1689</v>
      </c>
      <c r="E105" s="41" t="s">
        <v>97</v>
      </c>
      <c r="F105" s="15" t="n">
        <v>68.65</v>
      </c>
      <c r="G105" s="30" t="s">
        <v>1714</v>
      </c>
      <c r="H105" s="30" t="s">
        <v>1715</v>
      </c>
    </row>
    <row r="106" customFormat="false" ht="32.8" hidden="false" customHeight="false" outlineLevel="0" collapsed="false">
      <c r="A106" s="42" t="n">
        <v>9633</v>
      </c>
      <c r="B106" s="42" t="s">
        <v>823</v>
      </c>
      <c r="C106" s="42" t="s">
        <v>1175</v>
      </c>
      <c r="D106" s="42" t="s">
        <v>1689</v>
      </c>
      <c r="E106" s="42" t="s">
        <v>97</v>
      </c>
      <c r="F106" s="11" t="n">
        <v>68.65</v>
      </c>
      <c r="G106" s="33" t="s">
        <v>1812</v>
      </c>
      <c r="H106" s="33" t="s">
        <v>1813</v>
      </c>
    </row>
    <row r="107" customFormat="false" ht="32.8" hidden="false" customHeight="false" outlineLevel="0" collapsed="false">
      <c r="A107" s="41" t="n">
        <v>9634</v>
      </c>
      <c r="B107" s="41" t="s">
        <v>823</v>
      </c>
      <c r="C107" s="41" t="s">
        <v>1340</v>
      </c>
      <c r="D107" s="41" t="s">
        <v>1689</v>
      </c>
      <c r="E107" s="41" t="s">
        <v>97</v>
      </c>
      <c r="F107" s="15" t="n">
        <v>68.65</v>
      </c>
      <c r="G107" s="30" t="s">
        <v>1814</v>
      </c>
      <c r="H107" s="30" t="s">
        <v>1815</v>
      </c>
    </row>
    <row r="108" customFormat="false" ht="32.8" hidden="false" customHeight="false" outlineLevel="0" collapsed="false">
      <c r="A108" s="42" t="n">
        <v>9635</v>
      </c>
      <c r="B108" s="42" t="s">
        <v>823</v>
      </c>
      <c r="C108" s="42" t="s">
        <v>1345</v>
      </c>
      <c r="D108" s="42" t="s">
        <v>1689</v>
      </c>
      <c r="E108" s="42" t="s">
        <v>97</v>
      </c>
      <c r="F108" s="11" t="n">
        <v>68.65</v>
      </c>
      <c r="G108" s="33" t="s">
        <v>1816</v>
      </c>
      <c r="H108" s="33" t="s">
        <v>1817</v>
      </c>
    </row>
    <row r="109" customFormat="false" ht="22.35" hidden="false" customHeight="false" outlineLevel="0" collapsed="false">
      <c r="A109" s="41" t="n">
        <v>9665</v>
      </c>
      <c r="B109" s="41" t="s">
        <v>823</v>
      </c>
      <c r="C109" s="41" t="s">
        <v>1293</v>
      </c>
      <c r="D109" s="41" t="s">
        <v>1689</v>
      </c>
      <c r="E109" s="41" t="s">
        <v>97</v>
      </c>
      <c r="F109" s="15" t="n">
        <v>67.77</v>
      </c>
      <c r="G109" s="30" t="s">
        <v>1294</v>
      </c>
      <c r="H109" s="30" t="s">
        <v>1818</v>
      </c>
    </row>
    <row r="110" customFormat="false" ht="22.35" hidden="false" customHeight="false" outlineLevel="0" collapsed="false">
      <c r="A110" s="42" t="n">
        <v>9672</v>
      </c>
      <c r="B110" s="42" t="s">
        <v>852</v>
      </c>
      <c r="C110" s="42" t="s">
        <v>1120</v>
      </c>
      <c r="D110" s="42" t="s">
        <v>1699</v>
      </c>
      <c r="E110" s="42" t="s">
        <v>97</v>
      </c>
      <c r="F110" s="11" t="n">
        <v>67.2</v>
      </c>
      <c r="G110" s="33" t="s">
        <v>1792</v>
      </c>
      <c r="H110" s="33" t="s">
        <v>1819</v>
      </c>
    </row>
    <row r="111" customFormat="false" ht="22.35" hidden="false" customHeight="false" outlineLevel="0" collapsed="false">
      <c r="A111" s="41" t="n">
        <v>9673</v>
      </c>
      <c r="B111" s="41" t="s">
        <v>852</v>
      </c>
      <c r="C111" s="41" t="s">
        <v>860</v>
      </c>
      <c r="D111" s="41" t="s">
        <v>1699</v>
      </c>
      <c r="E111" s="41" t="s">
        <v>97</v>
      </c>
      <c r="F111" s="15" t="n">
        <v>67.2</v>
      </c>
      <c r="G111" s="30" t="s">
        <v>1702</v>
      </c>
      <c r="H111" s="30" t="s">
        <v>1707</v>
      </c>
    </row>
    <row r="112" customFormat="false" ht="32.8" hidden="false" customHeight="false" outlineLevel="0" collapsed="false">
      <c r="A112" s="42" t="n">
        <v>9689</v>
      </c>
      <c r="B112" s="42" t="s">
        <v>823</v>
      </c>
      <c r="C112" s="42" t="s">
        <v>837</v>
      </c>
      <c r="D112" s="42" t="s">
        <v>1689</v>
      </c>
      <c r="E112" s="42" t="s">
        <v>97</v>
      </c>
      <c r="F112" s="11" t="n">
        <v>66.89</v>
      </c>
      <c r="G112" s="33" t="s">
        <v>1695</v>
      </c>
      <c r="H112" s="33" t="s">
        <v>1696</v>
      </c>
    </row>
    <row r="113" customFormat="false" ht="22.35" hidden="false" customHeight="false" outlineLevel="0" collapsed="false">
      <c r="A113" s="41" t="n">
        <v>9699</v>
      </c>
      <c r="B113" s="41" t="s">
        <v>829</v>
      </c>
      <c r="C113" s="41" t="s">
        <v>1140</v>
      </c>
      <c r="D113" s="41" t="s">
        <v>743</v>
      </c>
      <c r="E113" s="41" t="s">
        <v>97</v>
      </c>
      <c r="F113" s="15" t="n">
        <v>66.15</v>
      </c>
      <c r="G113" s="30" t="s">
        <v>1141</v>
      </c>
      <c r="H113" s="30" t="s">
        <v>1820</v>
      </c>
    </row>
    <row r="114" customFormat="false" ht="32.8" hidden="false" customHeight="false" outlineLevel="0" collapsed="false">
      <c r="A114" s="42" t="n">
        <v>9700</v>
      </c>
      <c r="B114" s="42" t="s">
        <v>829</v>
      </c>
      <c r="C114" s="42" t="s">
        <v>855</v>
      </c>
      <c r="D114" s="42" t="s">
        <v>743</v>
      </c>
      <c r="E114" s="42" t="s">
        <v>97</v>
      </c>
      <c r="F114" s="11" t="n">
        <v>66.15</v>
      </c>
      <c r="G114" s="33" t="s">
        <v>1705</v>
      </c>
      <c r="H114" s="33" t="s">
        <v>1821</v>
      </c>
    </row>
    <row r="115" customFormat="false" ht="22.35" hidden="false" customHeight="false" outlineLevel="0" collapsed="false">
      <c r="A115" s="41" t="n">
        <v>9710</v>
      </c>
      <c r="B115" s="41" t="s">
        <v>823</v>
      </c>
      <c r="C115" s="41" t="s">
        <v>1145</v>
      </c>
      <c r="D115" s="41" t="s">
        <v>1689</v>
      </c>
      <c r="E115" s="41" t="s">
        <v>97</v>
      </c>
      <c r="F115" s="15" t="n">
        <v>66.02</v>
      </c>
      <c r="G115" s="30" t="s">
        <v>1822</v>
      </c>
      <c r="H115" s="30" t="s">
        <v>1823</v>
      </c>
    </row>
    <row r="116" customFormat="false" ht="22.35" hidden="false" customHeight="false" outlineLevel="0" collapsed="false">
      <c r="A116" s="42" t="n">
        <v>9711</v>
      </c>
      <c r="B116" s="42" t="s">
        <v>823</v>
      </c>
      <c r="C116" s="42" t="s">
        <v>1315</v>
      </c>
      <c r="D116" s="42" t="s">
        <v>1689</v>
      </c>
      <c r="E116" s="42" t="s">
        <v>97</v>
      </c>
      <c r="F116" s="11" t="n">
        <v>66.02</v>
      </c>
      <c r="G116" s="33" t="s">
        <v>1316</v>
      </c>
      <c r="H116" s="33" t="s">
        <v>1824</v>
      </c>
    </row>
    <row r="117" customFormat="false" ht="32.8" hidden="false" customHeight="false" outlineLevel="0" collapsed="false">
      <c r="A117" s="41" t="n">
        <v>9712</v>
      </c>
      <c r="B117" s="41" t="s">
        <v>823</v>
      </c>
      <c r="C117" s="41" t="s">
        <v>1298</v>
      </c>
      <c r="D117" s="41" t="s">
        <v>1689</v>
      </c>
      <c r="E117" s="41" t="s">
        <v>97</v>
      </c>
      <c r="F117" s="15" t="n">
        <v>66.02</v>
      </c>
      <c r="G117" s="30" t="s">
        <v>1825</v>
      </c>
      <c r="H117" s="30" t="s">
        <v>1826</v>
      </c>
    </row>
    <row r="118" customFormat="false" ht="32.8" hidden="false" customHeight="false" outlineLevel="0" collapsed="false">
      <c r="A118" s="42" t="n">
        <v>9723</v>
      </c>
      <c r="B118" s="42" t="s">
        <v>852</v>
      </c>
      <c r="C118" s="42" t="s">
        <v>1066</v>
      </c>
      <c r="D118" s="42" t="s">
        <v>1699</v>
      </c>
      <c r="E118" s="42" t="s">
        <v>97</v>
      </c>
      <c r="F118" s="11" t="n">
        <v>65.1</v>
      </c>
      <c r="G118" s="33" t="s">
        <v>1766</v>
      </c>
      <c r="H118" s="33" t="s">
        <v>1827</v>
      </c>
    </row>
    <row r="119" customFormat="false" ht="22.35" hidden="false" customHeight="false" outlineLevel="0" collapsed="false">
      <c r="A119" s="41" t="n">
        <v>9724</v>
      </c>
      <c r="B119" s="41" t="s">
        <v>829</v>
      </c>
      <c r="C119" s="41" t="s">
        <v>872</v>
      </c>
      <c r="D119" s="41" t="s">
        <v>743</v>
      </c>
      <c r="E119" s="41" t="s">
        <v>97</v>
      </c>
      <c r="F119" s="15" t="n">
        <v>65.1</v>
      </c>
      <c r="G119" s="30" t="s">
        <v>1710</v>
      </c>
      <c r="H119" s="30" t="s">
        <v>1724</v>
      </c>
    </row>
    <row r="120" customFormat="false" ht="22.35" hidden="false" customHeight="false" outlineLevel="0" collapsed="false">
      <c r="A120" s="42" t="n">
        <v>9725</v>
      </c>
      <c r="B120" s="42" t="s">
        <v>829</v>
      </c>
      <c r="C120" s="42" t="s">
        <v>824</v>
      </c>
      <c r="D120" s="42" t="s">
        <v>743</v>
      </c>
      <c r="E120" s="42" t="s">
        <v>97</v>
      </c>
      <c r="F120" s="11" t="n">
        <v>65.1</v>
      </c>
      <c r="G120" s="33" t="s">
        <v>1690</v>
      </c>
      <c r="H120" s="33" t="s">
        <v>1692</v>
      </c>
    </row>
    <row r="121" customFormat="false" ht="22.35" hidden="false" customHeight="false" outlineLevel="0" collapsed="false">
      <c r="A121" s="41" t="n">
        <v>9744</v>
      </c>
      <c r="B121" s="41" t="s">
        <v>829</v>
      </c>
      <c r="C121" s="41" t="s">
        <v>847</v>
      </c>
      <c r="D121" s="41" t="s">
        <v>743</v>
      </c>
      <c r="E121" s="41" t="s">
        <v>97</v>
      </c>
      <c r="F121" s="15" t="n">
        <v>64.29</v>
      </c>
      <c r="G121" s="30" t="s">
        <v>1712</v>
      </c>
      <c r="H121" s="30" t="s">
        <v>1727</v>
      </c>
    </row>
    <row r="122" customFormat="false" ht="22.35" hidden="false" customHeight="false" outlineLevel="0" collapsed="false">
      <c r="A122" s="42" t="n">
        <v>9765</v>
      </c>
      <c r="B122" s="42" t="s">
        <v>852</v>
      </c>
      <c r="C122" s="42" t="s">
        <v>885</v>
      </c>
      <c r="D122" s="42" t="s">
        <v>1699</v>
      </c>
      <c r="E122" s="42" t="s">
        <v>97</v>
      </c>
      <c r="F122" s="11" t="n">
        <v>63</v>
      </c>
      <c r="G122" s="33" t="s">
        <v>1722</v>
      </c>
      <c r="H122" s="33" t="s">
        <v>1723</v>
      </c>
    </row>
    <row r="123" customFormat="false" ht="22.35" hidden="false" customHeight="false" outlineLevel="0" collapsed="false">
      <c r="A123" s="41" t="n">
        <v>9768</v>
      </c>
      <c r="B123" s="41" t="s">
        <v>823</v>
      </c>
      <c r="C123" s="41" t="s">
        <v>949</v>
      </c>
      <c r="D123" s="41" t="s">
        <v>1689</v>
      </c>
      <c r="E123" s="41" t="s">
        <v>97</v>
      </c>
      <c r="F123" s="15" t="n">
        <v>62.65</v>
      </c>
      <c r="G123" s="30" t="s">
        <v>950</v>
      </c>
      <c r="H123" s="30" t="s">
        <v>1828</v>
      </c>
    </row>
    <row r="124" customFormat="false" ht="22.35" hidden="false" customHeight="false" outlineLevel="0" collapsed="false">
      <c r="A124" s="42" t="n">
        <v>9780</v>
      </c>
      <c r="B124" s="42" t="s">
        <v>823</v>
      </c>
      <c r="C124" s="42" t="s">
        <v>1352</v>
      </c>
      <c r="D124" s="42" t="s">
        <v>1689</v>
      </c>
      <c r="E124" s="42" t="s">
        <v>97</v>
      </c>
      <c r="F124" s="11" t="n">
        <v>61.96</v>
      </c>
      <c r="G124" s="33" t="s">
        <v>1353</v>
      </c>
      <c r="H124" s="33" t="s">
        <v>1829</v>
      </c>
    </row>
    <row r="125" customFormat="false" ht="32.8" hidden="false" customHeight="false" outlineLevel="0" collapsed="false">
      <c r="A125" s="41" t="n">
        <v>9781</v>
      </c>
      <c r="B125" s="41" t="s">
        <v>823</v>
      </c>
      <c r="C125" s="41" t="s">
        <v>1266</v>
      </c>
      <c r="D125" s="41" t="s">
        <v>1689</v>
      </c>
      <c r="E125" s="41" t="s">
        <v>97</v>
      </c>
      <c r="F125" s="15" t="n">
        <v>61.96</v>
      </c>
      <c r="G125" s="30" t="s">
        <v>1804</v>
      </c>
      <c r="H125" s="30" t="s">
        <v>1830</v>
      </c>
    </row>
    <row r="126" customFormat="false" ht="22.35" hidden="false" customHeight="false" outlineLevel="0" collapsed="false">
      <c r="A126" s="42" t="n">
        <v>9782</v>
      </c>
      <c r="B126" s="42" t="s">
        <v>829</v>
      </c>
      <c r="C126" s="42" t="s">
        <v>1195</v>
      </c>
      <c r="D126" s="42" t="s">
        <v>743</v>
      </c>
      <c r="E126" s="42" t="s">
        <v>97</v>
      </c>
      <c r="F126" s="11" t="n">
        <v>61.95</v>
      </c>
      <c r="G126" s="33" t="s">
        <v>1831</v>
      </c>
      <c r="H126" s="33" t="s">
        <v>1832</v>
      </c>
    </row>
    <row r="127" customFormat="false" ht="32.8" hidden="false" customHeight="false" outlineLevel="0" collapsed="false">
      <c r="A127" s="41" t="n">
        <v>9797</v>
      </c>
      <c r="B127" s="41" t="s">
        <v>823</v>
      </c>
      <c r="C127" s="41" t="s">
        <v>1330</v>
      </c>
      <c r="D127" s="41" t="s">
        <v>1689</v>
      </c>
      <c r="E127" s="41" t="s">
        <v>97</v>
      </c>
      <c r="F127" s="15" t="n">
        <v>61.62</v>
      </c>
      <c r="G127" s="30" t="s">
        <v>1833</v>
      </c>
      <c r="H127" s="30" t="s">
        <v>1834</v>
      </c>
    </row>
    <row r="128" customFormat="false" ht="22.35" hidden="false" customHeight="false" outlineLevel="0" collapsed="false">
      <c r="A128" s="42" t="n">
        <v>9798</v>
      </c>
      <c r="B128" s="42" t="s">
        <v>823</v>
      </c>
      <c r="C128" s="42" t="s">
        <v>1212</v>
      </c>
      <c r="D128" s="42" t="s">
        <v>1689</v>
      </c>
      <c r="E128" s="42" t="s">
        <v>97</v>
      </c>
      <c r="F128" s="11" t="n">
        <v>61.62</v>
      </c>
      <c r="G128" s="33" t="s">
        <v>1794</v>
      </c>
      <c r="H128" s="33" t="s">
        <v>1835</v>
      </c>
    </row>
    <row r="129" customFormat="false" ht="22.35" hidden="false" customHeight="false" outlineLevel="0" collapsed="false">
      <c r="A129" s="41" t="n">
        <v>9799</v>
      </c>
      <c r="B129" s="41" t="s">
        <v>823</v>
      </c>
      <c r="C129" s="41" t="s">
        <v>949</v>
      </c>
      <c r="D129" s="41" t="s">
        <v>1689</v>
      </c>
      <c r="E129" s="41" t="s">
        <v>97</v>
      </c>
      <c r="F129" s="15" t="n">
        <v>61.62</v>
      </c>
      <c r="G129" s="30" t="s">
        <v>950</v>
      </c>
      <c r="H129" s="30" t="s">
        <v>1828</v>
      </c>
    </row>
    <row r="130" customFormat="false" ht="32.8" hidden="false" customHeight="false" outlineLevel="0" collapsed="false">
      <c r="A130" s="42" t="n">
        <v>9809</v>
      </c>
      <c r="B130" s="42" t="s">
        <v>823</v>
      </c>
      <c r="C130" s="42" t="s">
        <v>832</v>
      </c>
      <c r="D130" s="42" t="s">
        <v>1689</v>
      </c>
      <c r="E130" s="42" t="s">
        <v>97</v>
      </c>
      <c r="F130" s="11" t="n">
        <v>61.09</v>
      </c>
      <c r="G130" s="33" t="s">
        <v>1697</v>
      </c>
      <c r="H130" s="33" t="s">
        <v>1698</v>
      </c>
    </row>
    <row r="131" customFormat="false" ht="22.35" hidden="false" customHeight="false" outlineLevel="0" collapsed="false">
      <c r="A131" s="41" t="n">
        <v>9813</v>
      </c>
      <c r="B131" s="41" t="s">
        <v>852</v>
      </c>
      <c r="C131" s="41" t="s">
        <v>1017</v>
      </c>
      <c r="D131" s="41" t="s">
        <v>1699</v>
      </c>
      <c r="E131" s="41" t="s">
        <v>97</v>
      </c>
      <c r="F131" s="15" t="n">
        <v>60.9</v>
      </c>
      <c r="G131" s="30" t="s">
        <v>1018</v>
      </c>
      <c r="H131" s="30" t="s">
        <v>1836</v>
      </c>
    </row>
    <row r="132" customFormat="false" ht="32.8" hidden="false" customHeight="false" outlineLevel="0" collapsed="false">
      <c r="A132" s="42" t="n">
        <v>9814</v>
      </c>
      <c r="B132" s="42" t="s">
        <v>829</v>
      </c>
      <c r="C132" s="42" t="s">
        <v>855</v>
      </c>
      <c r="D132" s="42" t="s">
        <v>743</v>
      </c>
      <c r="E132" s="42" t="s">
        <v>97</v>
      </c>
      <c r="F132" s="11" t="n">
        <v>60.9</v>
      </c>
      <c r="G132" s="33" t="s">
        <v>1705</v>
      </c>
      <c r="H132" s="33" t="s">
        <v>1747</v>
      </c>
    </row>
    <row r="133" customFormat="false" ht="22.35" hidden="false" customHeight="false" outlineLevel="0" collapsed="false">
      <c r="A133" s="41" t="n">
        <v>9816</v>
      </c>
      <c r="B133" s="41" t="s">
        <v>829</v>
      </c>
      <c r="C133" s="41" t="s">
        <v>1105</v>
      </c>
      <c r="D133" s="41" t="s">
        <v>743</v>
      </c>
      <c r="E133" s="41" t="s">
        <v>97</v>
      </c>
      <c r="F133" s="15" t="n">
        <v>60.9</v>
      </c>
      <c r="G133" s="30" t="s">
        <v>1106</v>
      </c>
      <c r="H133" s="30" t="s">
        <v>1837</v>
      </c>
    </row>
    <row r="134" customFormat="false" ht="32.8" hidden="false" customHeight="false" outlineLevel="0" collapsed="false">
      <c r="A134" s="42" t="n">
        <v>9826</v>
      </c>
      <c r="B134" s="42" t="s">
        <v>823</v>
      </c>
      <c r="C134" s="42" t="s">
        <v>1303</v>
      </c>
      <c r="D134" s="42" t="s">
        <v>1689</v>
      </c>
      <c r="E134" s="42" t="s">
        <v>97</v>
      </c>
      <c r="F134" s="11" t="n">
        <v>60.74</v>
      </c>
      <c r="G134" s="33" t="s">
        <v>1838</v>
      </c>
      <c r="H134" s="33" t="s">
        <v>1839</v>
      </c>
    </row>
    <row r="135" customFormat="false" ht="22.35" hidden="false" customHeight="false" outlineLevel="0" collapsed="false">
      <c r="A135" s="41" t="n">
        <v>9827</v>
      </c>
      <c r="B135" s="41" t="s">
        <v>823</v>
      </c>
      <c r="C135" s="41" t="s">
        <v>1088</v>
      </c>
      <c r="D135" s="41" t="s">
        <v>1689</v>
      </c>
      <c r="E135" s="41" t="s">
        <v>97</v>
      </c>
      <c r="F135" s="15" t="n">
        <v>60.74</v>
      </c>
      <c r="G135" s="30" t="s">
        <v>1089</v>
      </c>
      <c r="H135" s="30" t="s">
        <v>1840</v>
      </c>
    </row>
    <row r="136" customFormat="false" ht="22.35" hidden="false" customHeight="false" outlineLevel="0" collapsed="false">
      <c r="A136" s="42" t="n">
        <v>9849</v>
      </c>
      <c r="B136" s="42" t="s">
        <v>829</v>
      </c>
      <c r="C136" s="42" t="s">
        <v>1165</v>
      </c>
      <c r="D136" s="42" t="s">
        <v>743</v>
      </c>
      <c r="E136" s="42" t="s">
        <v>97</v>
      </c>
      <c r="F136" s="11" t="n">
        <v>59.85</v>
      </c>
      <c r="G136" s="33" t="s">
        <v>1166</v>
      </c>
      <c r="H136" s="33" t="s">
        <v>1841</v>
      </c>
    </row>
    <row r="137" customFormat="false" ht="22.35" hidden="false" customHeight="false" outlineLevel="0" collapsed="false">
      <c r="A137" s="41" t="n">
        <v>9854</v>
      </c>
      <c r="B137" s="41" t="s">
        <v>823</v>
      </c>
      <c r="C137" s="41" t="s">
        <v>1276</v>
      </c>
      <c r="D137" s="41" t="s">
        <v>1689</v>
      </c>
      <c r="E137" s="41" t="s">
        <v>97</v>
      </c>
      <c r="F137" s="15" t="n">
        <v>59.85</v>
      </c>
      <c r="G137" s="30" t="s">
        <v>1842</v>
      </c>
      <c r="H137" s="30" t="s">
        <v>1843</v>
      </c>
    </row>
    <row r="138" customFormat="false" ht="22.35" hidden="false" customHeight="false" outlineLevel="0" collapsed="false">
      <c r="A138" s="42" t="n">
        <v>9859</v>
      </c>
      <c r="B138" s="42" t="s">
        <v>823</v>
      </c>
      <c r="C138" s="42" t="s">
        <v>878</v>
      </c>
      <c r="D138" s="42" t="s">
        <v>1689</v>
      </c>
      <c r="E138" s="42" t="s">
        <v>97</v>
      </c>
      <c r="F138" s="11" t="n">
        <v>59.34</v>
      </c>
      <c r="G138" s="33" t="s">
        <v>1708</v>
      </c>
      <c r="H138" s="33" t="s">
        <v>1844</v>
      </c>
    </row>
    <row r="139" customFormat="false" ht="32.8" hidden="false" customHeight="false" outlineLevel="0" collapsed="false">
      <c r="A139" s="41" t="n">
        <v>9873</v>
      </c>
      <c r="B139" s="41" t="s">
        <v>823</v>
      </c>
      <c r="C139" s="41" t="s">
        <v>1242</v>
      </c>
      <c r="D139" s="41" t="s">
        <v>1689</v>
      </c>
      <c r="E139" s="41" t="s">
        <v>97</v>
      </c>
      <c r="F139" s="15" t="n">
        <v>58.7</v>
      </c>
      <c r="G139" s="30" t="s">
        <v>1845</v>
      </c>
      <c r="H139" s="30" t="s">
        <v>1846</v>
      </c>
    </row>
    <row r="140" customFormat="false" ht="22.35" hidden="false" customHeight="false" outlineLevel="0" collapsed="false">
      <c r="A140" s="42" t="n">
        <v>9875</v>
      </c>
      <c r="B140" s="42" t="s">
        <v>829</v>
      </c>
      <c r="C140" s="42" t="s">
        <v>912</v>
      </c>
      <c r="D140" s="42" t="s">
        <v>743</v>
      </c>
      <c r="E140" s="42" t="s">
        <v>97</v>
      </c>
      <c r="F140" s="11" t="n">
        <v>58.66</v>
      </c>
      <c r="G140" s="33" t="s">
        <v>913</v>
      </c>
      <c r="H140" s="33" t="s">
        <v>1730</v>
      </c>
    </row>
    <row r="141" customFormat="false" ht="32.8" hidden="false" customHeight="false" outlineLevel="0" collapsed="false">
      <c r="A141" s="41" t="n">
        <v>9893</v>
      </c>
      <c r="B141" s="41" t="s">
        <v>852</v>
      </c>
      <c r="C141" s="41" t="s">
        <v>1242</v>
      </c>
      <c r="D141" s="41" t="s">
        <v>1699</v>
      </c>
      <c r="E141" s="41" t="s">
        <v>97</v>
      </c>
      <c r="F141" s="15" t="n">
        <v>58.09</v>
      </c>
      <c r="G141" s="30" t="s">
        <v>1845</v>
      </c>
      <c r="H141" s="30" t="s">
        <v>1847</v>
      </c>
    </row>
    <row r="142" customFormat="false" ht="32.8" hidden="false" customHeight="false" outlineLevel="0" collapsed="false">
      <c r="A142" s="42" t="n">
        <v>9894</v>
      </c>
      <c r="B142" s="42" t="s">
        <v>852</v>
      </c>
      <c r="C142" s="42" t="s">
        <v>1247</v>
      </c>
      <c r="D142" s="42" t="s">
        <v>1699</v>
      </c>
      <c r="E142" s="42" t="s">
        <v>97</v>
      </c>
      <c r="F142" s="11" t="n">
        <v>58.07</v>
      </c>
      <c r="G142" s="33" t="s">
        <v>1848</v>
      </c>
      <c r="H142" s="33" t="s">
        <v>1849</v>
      </c>
    </row>
    <row r="143" customFormat="false" ht="22.35" hidden="false" customHeight="false" outlineLevel="0" collapsed="false">
      <c r="A143" s="41" t="n">
        <v>9903</v>
      </c>
      <c r="B143" s="41" t="s">
        <v>852</v>
      </c>
      <c r="C143" s="41" t="s">
        <v>1112</v>
      </c>
      <c r="D143" s="41" t="s">
        <v>1699</v>
      </c>
      <c r="E143" s="41" t="s">
        <v>97</v>
      </c>
      <c r="F143" s="15" t="n">
        <v>57.75</v>
      </c>
      <c r="G143" s="30" t="s">
        <v>1113</v>
      </c>
      <c r="H143" s="30" t="s">
        <v>1850</v>
      </c>
    </row>
    <row r="144" customFormat="false" ht="22.35" hidden="false" customHeight="false" outlineLevel="0" collapsed="false">
      <c r="A144" s="42" t="n">
        <v>9904</v>
      </c>
      <c r="B144" s="42" t="s">
        <v>829</v>
      </c>
      <c r="C144" s="42" t="s">
        <v>1054</v>
      </c>
      <c r="D144" s="42" t="s">
        <v>743</v>
      </c>
      <c r="E144" s="42" t="s">
        <v>97</v>
      </c>
      <c r="F144" s="11" t="n">
        <v>57.75</v>
      </c>
      <c r="G144" s="33" t="s">
        <v>1851</v>
      </c>
      <c r="H144" s="33" t="s">
        <v>1852</v>
      </c>
    </row>
    <row r="145" customFormat="false" ht="32.8" hidden="false" customHeight="false" outlineLevel="0" collapsed="false">
      <c r="A145" s="41" t="n">
        <v>9905</v>
      </c>
      <c r="B145" s="41" t="s">
        <v>829</v>
      </c>
      <c r="C145" s="41" t="s">
        <v>954</v>
      </c>
      <c r="D145" s="41" t="s">
        <v>743</v>
      </c>
      <c r="E145" s="41" t="s">
        <v>97</v>
      </c>
      <c r="F145" s="15" t="n">
        <v>57.75</v>
      </c>
      <c r="G145" s="30" t="s">
        <v>1853</v>
      </c>
      <c r="H145" s="30" t="s">
        <v>1854</v>
      </c>
    </row>
    <row r="146" customFormat="false" ht="22.35" hidden="false" customHeight="false" outlineLevel="0" collapsed="false">
      <c r="A146" s="42" t="n">
        <v>9906</v>
      </c>
      <c r="B146" s="42" t="s">
        <v>829</v>
      </c>
      <c r="C146" s="42" t="s">
        <v>944</v>
      </c>
      <c r="D146" s="42" t="s">
        <v>743</v>
      </c>
      <c r="E146" s="42" t="s">
        <v>97</v>
      </c>
      <c r="F146" s="11" t="n">
        <v>57.75</v>
      </c>
      <c r="G146" s="33" t="s">
        <v>1855</v>
      </c>
      <c r="H146" s="33" t="s">
        <v>1856</v>
      </c>
    </row>
    <row r="147" customFormat="false" ht="22.35" hidden="false" customHeight="false" outlineLevel="0" collapsed="false">
      <c r="A147" s="41" t="n">
        <v>9907</v>
      </c>
      <c r="B147" s="41" t="s">
        <v>829</v>
      </c>
      <c r="C147" s="41" t="s">
        <v>847</v>
      </c>
      <c r="D147" s="41" t="s">
        <v>743</v>
      </c>
      <c r="E147" s="41" t="s">
        <v>97</v>
      </c>
      <c r="F147" s="15" t="n">
        <v>57.75</v>
      </c>
      <c r="G147" s="30" t="s">
        <v>1712</v>
      </c>
      <c r="H147" s="30" t="s">
        <v>1713</v>
      </c>
    </row>
    <row r="148" customFormat="false" ht="43.25" hidden="false" customHeight="false" outlineLevel="0" collapsed="false">
      <c r="A148" s="42" t="n">
        <v>9965</v>
      </c>
      <c r="B148" s="42" t="s">
        <v>823</v>
      </c>
      <c r="C148" s="42" t="s">
        <v>1027</v>
      </c>
      <c r="D148" s="42" t="s">
        <v>1689</v>
      </c>
      <c r="E148" s="42" t="s">
        <v>97</v>
      </c>
      <c r="F148" s="11" t="n">
        <v>56.34</v>
      </c>
      <c r="G148" s="33" t="s">
        <v>1857</v>
      </c>
      <c r="H148" s="33" t="s">
        <v>1858</v>
      </c>
    </row>
    <row r="149" customFormat="false" ht="22.35" hidden="false" customHeight="false" outlineLevel="0" collapsed="false">
      <c r="A149" s="41" t="n">
        <v>9995</v>
      </c>
      <c r="B149" s="41" t="s">
        <v>829</v>
      </c>
      <c r="C149" s="41" t="s">
        <v>944</v>
      </c>
      <c r="D149" s="41" t="s">
        <v>743</v>
      </c>
      <c r="E149" s="41" t="s">
        <v>97</v>
      </c>
      <c r="F149" s="15" t="n">
        <v>55.05</v>
      </c>
      <c r="G149" s="30" t="s">
        <v>1855</v>
      </c>
      <c r="H149" s="30" t="s">
        <v>1856</v>
      </c>
    </row>
    <row r="150" customFormat="false" ht="22.35" hidden="false" customHeight="false" outlineLevel="0" collapsed="false">
      <c r="A150" s="42" t="n">
        <v>10002</v>
      </c>
      <c r="B150" s="42" t="s">
        <v>823</v>
      </c>
      <c r="C150" s="42" t="s">
        <v>993</v>
      </c>
      <c r="D150" s="42" t="s">
        <v>1689</v>
      </c>
      <c r="E150" s="42" t="s">
        <v>97</v>
      </c>
      <c r="F150" s="11" t="n">
        <v>54.67</v>
      </c>
      <c r="G150" s="33" t="s">
        <v>994</v>
      </c>
      <c r="H150" s="33" t="s">
        <v>1859</v>
      </c>
    </row>
    <row r="151" customFormat="false" ht="32.8" hidden="false" customHeight="false" outlineLevel="0" collapsed="false">
      <c r="A151" s="41" t="n">
        <v>10004</v>
      </c>
      <c r="B151" s="41" t="s">
        <v>829</v>
      </c>
      <c r="C151" s="41" t="s">
        <v>1155</v>
      </c>
      <c r="D151" s="41" t="s">
        <v>743</v>
      </c>
      <c r="E151" s="41" t="s">
        <v>97</v>
      </c>
      <c r="F151" s="15" t="n">
        <v>54.6</v>
      </c>
      <c r="G151" s="30" t="s">
        <v>1860</v>
      </c>
      <c r="H151" s="30" t="s">
        <v>1861</v>
      </c>
    </row>
    <row r="152" customFormat="false" ht="22.35" hidden="false" customHeight="false" outlineLevel="0" collapsed="false">
      <c r="A152" s="42" t="n">
        <v>10005</v>
      </c>
      <c r="B152" s="42" t="s">
        <v>829</v>
      </c>
      <c r="C152" s="42" t="s">
        <v>1059</v>
      </c>
      <c r="D152" s="42" t="s">
        <v>743</v>
      </c>
      <c r="E152" s="42" t="s">
        <v>97</v>
      </c>
      <c r="F152" s="11" t="n">
        <v>54.6</v>
      </c>
      <c r="G152" s="33" t="s">
        <v>1060</v>
      </c>
      <c r="H152" s="33" t="s">
        <v>1862</v>
      </c>
    </row>
    <row r="153" customFormat="false" ht="32.8" hidden="false" customHeight="false" outlineLevel="0" collapsed="false">
      <c r="A153" s="41" t="n">
        <v>10019</v>
      </c>
      <c r="B153" s="41" t="s">
        <v>823</v>
      </c>
      <c r="C153" s="41" t="s">
        <v>1374</v>
      </c>
      <c r="D153" s="41" t="s">
        <v>1689</v>
      </c>
      <c r="E153" s="41" t="s">
        <v>97</v>
      </c>
      <c r="F153" s="15" t="n">
        <v>54.3</v>
      </c>
      <c r="G153" s="30" t="s">
        <v>1863</v>
      </c>
      <c r="H153" s="30" t="s">
        <v>1864</v>
      </c>
    </row>
    <row r="154" customFormat="false" ht="32.8" hidden="false" customHeight="false" outlineLevel="0" collapsed="false">
      <c r="A154" s="42" t="n">
        <v>10020</v>
      </c>
      <c r="B154" s="42" t="s">
        <v>823</v>
      </c>
      <c r="C154" s="42" t="s">
        <v>832</v>
      </c>
      <c r="D154" s="42" t="s">
        <v>1689</v>
      </c>
      <c r="E154" s="42" t="s">
        <v>97</v>
      </c>
      <c r="F154" s="11" t="n">
        <v>54.15</v>
      </c>
      <c r="G154" s="33" t="s">
        <v>1697</v>
      </c>
      <c r="H154" s="33" t="s">
        <v>1865</v>
      </c>
    </row>
    <row r="155" customFormat="false" ht="22.35" hidden="false" customHeight="false" outlineLevel="0" collapsed="false">
      <c r="A155" s="41" t="n">
        <v>10029</v>
      </c>
      <c r="B155" s="41" t="s">
        <v>829</v>
      </c>
      <c r="C155" s="41" t="s">
        <v>1160</v>
      </c>
      <c r="D155" s="41" t="s">
        <v>743</v>
      </c>
      <c r="E155" s="41" t="s">
        <v>97</v>
      </c>
      <c r="F155" s="15" t="n">
        <v>53.55</v>
      </c>
      <c r="G155" s="30" t="s">
        <v>1866</v>
      </c>
      <c r="H155" s="30" t="s">
        <v>1867</v>
      </c>
    </row>
    <row r="156" customFormat="false" ht="22.35" hidden="false" customHeight="false" outlineLevel="0" collapsed="false">
      <c r="A156" s="42" t="n">
        <v>10030</v>
      </c>
      <c r="B156" s="42" t="s">
        <v>829</v>
      </c>
      <c r="C156" s="42" t="s">
        <v>1585</v>
      </c>
      <c r="D156" s="42" t="s">
        <v>743</v>
      </c>
      <c r="E156" s="42" t="s">
        <v>97</v>
      </c>
      <c r="F156" s="11" t="n">
        <v>53.55</v>
      </c>
      <c r="G156" s="33" t="s">
        <v>1790</v>
      </c>
      <c r="H156" s="33" t="s">
        <v>1868</v>
      </c>
    </row>
    <row r="157" customFormat="false" ht="22.35" hidden="false" customHeight="false" outlineLevel="0" collapsed="false">
      <c r="A157" s="41" t="n">
        <v>10053</v>
      </c>
      <c r="B157" s="41" t="s">
        <v>823</v>
      </c>
      <c r="C157" s="41" t="s">
        <v>1140</v>
      </c>
      <c r="D157" s="41" t="s">
        <v>1689</v>
      </c>
      <c r="E157" s="41" t="s">
        <v>97</v>
      </c>
      <c r="F157" s="15" t="n">
        <v>52.81</v>
      </c>
      <c r="G157" s="30" t="s">
        <v>1141</v>
      </c>
      <c r="H157" s="30" t="s">
        <v>1869</v>
      </c>
    </row>
    <row r="158" customFormat="false" ht="22.35" hidden="false" customHeight="false" outlineLevel="0" collapsed="false">
      <c r="A158" s="42" t="n">
        <v>10054</v>
      </c>
      <c r="B158" s="42" t="s">
        <v>823</v>
      </c>
      <c r="C158" s="42" t="s">
        <v>872</v>
      </c>
      <c r="D158" s="42" t="s">
        <v>1689</v>
      </c>
      <c r="E158" s="42" t="s">
        <v>97</v>
      </c>
      <c r="F158" s="11" t="n">
        <v>52.81</v>
      </c>
      <c r="G158" s="33" t="s">
        <v>1710</v>
      </c>
      <c r="H158" s="33" t="s">
        <v>1711</v>
      </c>
    </row>
    <row r="159" customFormat="false" ht="22.35" hidden="false" customHeight="false" outlineLevel="0" collapsed="false">
      <c r="A159" s="41" t="n">
        <v>10055</v>
      </c>
      <c r="B159" s="41" t="s">
        <v>823</v>
      </c>
      <c r="C159" s="41" t="s">
        <v>1105</v>
      </c>
      <c r="D159" s="41" t="s">
        <v>1689</v>
      </c>
      <c r="E159" s="41" t="s">
        <v>97</v>
      </c>
      <c r="F159" s="15" t="n">
        <v>52.81</v>
      </c>
      <c r="G159" s="30" t="s">
        <v>1106</v>
      </c>
      <c r="H159" s="30" t="s">
        <v>1870</v>
      </c>
    </row>
    <row r="160" customFormat="false" ht="22.35" hidden="false" customHeight="false" outlineLevel="0" collapsed="false">
      <c r="A160" s="42" t="n">
        <v>10056</v>
      </c>
      <c r="B160" s="42" t="s">
        <v>823</v>
      </c>
      <c r="C160" s="42" t="s">
        <v>824</v>
      </c>
      <c r="D160" s="42" t="s">
        <v>1689</v>
      </c>
      <c r="E160" s="42" t="s">
        <v>97</v>
      </c>
      <c r="F160" s="11" t="n">
        <v>52.81</v>
      </c>
      <c r="G160" s="33" t="s">
        <v>1690</v>
      </c>
      <c r="H160" s="33" t="s">
        <v>1691</v>
      </c>
    </row>
    <row r="161" customFormat="false" ht="32.8" hidden="false" customHeight="false" outlineLevel="0" collapsed="false">
      <c r="A161" s="41" t="n">
        <v>10057</v>
      </c>
      <c r="B161" s="41" t="s">
        <v>823</v>
      </c>
      <c r="C161" s="41" t="s">
        <v>1076</v>
      </c>
      <c r="D161" s="41" t="s">
        <v>1689</v>
      </c>
      <c r="E161" s="41" t="s">
        <v>97</v>
      </c>
      <c r="F161" s="15" t="n">
        <v>52.81</v>
      </c>
      <c r="G161" s="30" t="s">
        <v>1871</v>
      </c>
      <c r="H161" s="30" t="s">
        <v>1872</v>
      </c>
    </row>
    <row r="162" customFormat="false" ht="22.35" hidden="false" customHeight="false" outlineLevel="0" collapsed="false">
      <c r="A162" s="42" t="n">
        <v>10062</v>
      </c>
      <c r="B162" s="42" t="s">
        <v>829</v>
      </c>
      <c r="C162" s="42" t="s">
        <v>1098</v>
      </c>
      <c r="D162" s="42" t="s">
        <v>743</v>
      </c>
      <c r="E162" s="42" t="s">
        <v>97</v>
      </c>
      <c r="F162" s="11" t="n">
        <v>52.5</v>
      </c>
      <c r="G162" s="33" t="s">
        <v>1099</v>
      </c>
      <c r="H162" s="33" t="s">
        <v>1873</v>
      </c>
    </row>
    <row r="163" customFormat="false" ht="32.8" hidden="false" customHeight="false" outlineLevel="0" collapsed="false">
      <c r="A163" s="41" t="n">
        <v>10071</v>
      </c>
      <c r="B163" s="41" t="s">
        <v>829</v>
      </c>
      <c r="C163" s="41" t="s">
        <v>1150</v>
      </c>
      <c r="D163" s="41" t="s">
        <v>743</v>
      </c>
      <c r="E163" s="41" t="s">
        <v>97</v>
      </c>
      <c r="F163" s="15" t="n">
        <v>52.5</v>
      </c>
      <c r="G163" s="30" t="s">
        <v>1874</v>
      </c>
      <c r="H163" s="30" t="s">
        <v>1875</v>
      </c>
    </row>
    <row r="164" customFormat="false" ht="22.35" hidden="false" customHeight="false" outlineLevel="0" collapsed="false">
      <c r="A164" s="42" t="n">
        <v>10072</v>
      </c>
      <c r="B164" s="42" t="s">
        <v>829</v>
      </c>
      <c r="C164" s="42" t="s">
        <v>1222</v>
      </c>
      <c r="D164" s="42" t="s">
        <v>743</v>
      </c>
      <c r="E164" s="42" t="s">
        <v>97</v>
      </c>
      <c r="F164" s="11" t="n">
        <v>52.5</v>
      </c>
      <c r="G164" s="33" t="s">
        <v>1876</v>
      </c>
      <c r="H164" s="33" t="s">
        <v>1877</v>
      </c>
    </row>
    <row r="165" customFormat="false" ht="22.35" hidden="false" customHeight="false" outlineLevel="0" collapsed="false">
      <c r="A165" s="41" t="n">
        <v>10073</v>
      </c>
      <c r="B165" s="41" t="s">
        <v>829</v>
      </c>
      <c r="C165" s="41" t="s">
        <v>1207</v>
      </c>
      <c r="D165" s="41" t="s">
        <v>743</v>
      </c>
      <c r="E165" s="41" t="s">
        <v>97</v>
      </c>
      <c r="F165" s="15" t="n">
        <v>52.5</v>
      </c>
      <c r="G165" s="30" t="s">
        <v>1878</v>
      </c>
      <c r="H165" s="30" t="s">
        <v>1879</v>
      </c>
    </row>
    <row r="166" customFormat="false" ht="22.35" hidden="false" customHeight="false" outlineLevel="0" collapsed="false">
      <c r="A166" s="42" t="n">
        <v>10074</v>
      </c>
      <c r="B166" s="42" t="s">
        <v>829</v>
      </c>
      <c r="C166" s="42" t="s">
        <v>1585</v>
      </c>
      <c r="D166" s="42" t="s">
        <v>743</v>
      </c>
      <c r="E166" s="42" t="s">
        <v>97</v>
      </c>
      <c r="F166" s="11" t="n">
        <v>52.5</v>
      </c>
      <c r="G166" s="33" t="s">
        <v>1790</v>
      </c>
      <c r="H166" s="33" t="s">
        <v>1880</v>
      </c>
    </row>
    <row r="167" customFormat="false" ht="22.35" hidden="false" customHeight="false" outlineLevel="0" collapsed="false">
      <c r="A167" s="41" t="n">
        <v>10075</v>
      </c>
      <c r="B167" s="41" t="s">
        <v>829</v>
      </c>
      <c r="C167" s="41" t="s">
        <v>1585</v>
      </c>
      <c r="D167" s="41" t="s">
        <v>743</v>
      </c>
      <c r="E167" s="41" t="s">
        <v>97</v>
      </c>
      <c r="F167" s="15" t="n">
        <v>52.5</v>
      </c>
      <c r="G167" s="30" t="s">
        <v>1790</v>
      </c>
      <c r="H167" s="30" t="s">
        <v>1881</v>
      </c>
    </row>
    <row r="168" customFormat="false" ht="32.8" hidden="false" customHeight="false" outlineLevel="0" collapsed="false">
      <c r="A168" s="42" t="n">
        <v>10084</v>
      </c>
      <c r="B168" s="42" t="s">
        <v>877</v>
      </c>
      <c r="C168" s="42" t="s">
        <v>1242</v>
      </c>
      <c r="D168" s="42" t="s">
        <v>748</v>
      </c>
      <c r="E168" s="42" t="s">
        <v>97</v>
      </c>
      <c r="F168" s="11" t="n">
        <v>52.35</v>
      </c>
      <c r="G168" s="33" t="s">
        <v>1845</v>
      </c>
      <c r="H168" s="33" t="s">
        <v>1882</v>
      </c>
    </row>
    <row r="169" customFormat="false" ht="22.35" hidden="false" customHeight="false" outlineLevel="0" collapsed="false">
      <c r="A169" s="41" t="n">
        <v>10108</v>
      </c>
      <c r="B169" s="41" t="s">
        <v>829</v>
      </c>
      <c r="C169" s="41" t="s">
        <v>1037</v>
      </c>
      <c r="D169" s="41" t="s">
        <v>743</v>
      </c>
      <c r="E169" s="41" t="s">
        <v>97</v>
      </c>
      <c r="F169" s="15" t="n">
        <v>51.45</v>
      </c>
      <c r="G169" s="30" t="s">
        <v>1883</v>
      </c>
      <c r="H169" s="30" t="s">
        <v>1884</v>
      </c>
    </row>
    <row r="170" customFormat="false" ht="22.35" hidden="false" customHeight="false" outlineLevel="0" collapsed="false">
      <c r="A170" s="42" t="n">
        <v>10109</v>
      </c>
      <c r="B170" s="42" t="s">
        <v>829</v>
      </c>
      <c r="C170" s="42" t="s">
        <v>1049</v>
      </c>
      <c r="D170" s="42" t="s">
        <v>743</v>
      </c>
      <c r="E170" s="42" t="s">
        <v>97</v>
      </c>
      <c r="F170" s="11" t="n">
        <v>51.45</v>
      </c>
      <c r="G170" s="33" t="s">
        <v>1050</v>
      </c>
      <c r="H170" s="33" t="s">
        <v>1885</v>
      </c>
    </row>
    <row r="171" customFormat="false" ht="43.25" hidden="false" customHeight="false" outlineLevel="0" collapsed="false">
      <c r="A171" s="41" t="n">
        <v>10118</v>
      </c>
      <c r="B171" s="41" t="s">
        <v>919</v>
      </c>
      <c r="C171" s="41" t="s">
        <v>1381</v>
      </c>
      <c r="D171" s="41" t="s">
        <v>1736</v>
      </c>
      <c r="E171" s="41" t="s">
        <v>97</v>
      </c>
      <c r="F171" s="15" t="n">
        <v>51.35</v>
      </c>
      <c r="G171" s="30" t="s">
        <v>1886</v>
      </c>
      <c r="H171" s="30" t="s">
        <v>1887</v>
      </c>
    </row>
    <row r="172" customFormat="false" ht="22.35" hidden="false" customHeight="false" outlineLevel="0" collapsed="false">
      <c r="A172" s="42" t="n">
        <v>10138</v>
      </c>
      <c r="B172" s="42" t="s">
        <v>829</v>
      </c>
      <c r="C172" s="42" t="s">
        <v>1093</v>
      </c>
      <c r="D172" s="42" t="s">
        <v>743</v>
      </c>
      <c r="E172" s="42" t="s">
        <v>97</v>
      </c>
      <c r="F172" s="11" t="n">
        <v>50.4</v>
      </c>
      <c r="G172" s="33" t="s">
        <v>1888</v>
      </c>
      <c r="H172" s="33" t="s">
        <v>1889</v>
      </c>
    </row>
    <row r="173" customFormat="false" ht="32.8" hidden="false" customHeight="false" outlineLevel="0" collapsed="false">
      <c r="A173" s="41" t="n">
        <v>10161</v>
      </c>
      <c r="B173" s="41" t="s">
        <v>829</v>
      </c>
      <c r="C173" s="41" t="s">
        <v>1202</v>
      </c>
      <c r="D173" s="41" t="s">
        <v>743</v>
      </c>
      <c r="E173" s="41" t="s">
        <v>97</v>
      </c>
      <c r="F173" s="15" t="n">
        <v>49.35</v>
      </c>
      <c r="G173" s="30" t="s">
        <v>1890</v>
      </c>
      <c r="H173" s="30" t="s">
        <v>1891</v>
      </c>
    </row>
    <row r="174" customFormat="false" ht="32.8" hidden="false" customHeight="false" outlineLevel="0" collapsed="false">
      <c r="A174" s="42" t="n">
        <v>10162</v>
      </c>
      <c r="B174" s="42" t="s">
        <v>829</v>
      </c>
      <c r="C174" s="42" t="s">
        <v>939</v>
      </c>
      <c r="D174" s="42" t="s">
        <v>743</v>
      </c>
      <c r="E174" s="42" t="s">
        <v>97</v>
      </c>
      <c r="F174" s="11" t="n">
        <v>49.35</v>
      </c>
      <c r="G174" s="33" t="s">
        <v>1892</v>
      </c>
      <c r="H174" s="33" t="s">
        <v>1893</v>
      </c>
    </row>
    <row r="175" customFormat="false" ht="32.8" hidden="false" customHeight="false" outlineLevel="0" collapsed="false">
      <c r="A175" s="41" t="n">
        <v>10176</v>
      </c>
      <c r="B175" s="41" t="s">
        <v>823</v>
      </c>
      <c r="C175" s="41" t="s">
        <v>855</v>
      </c>
      <c r="D175" s="41" t="s">
        <v>1689</v>
      </c>
      <c r="E175" s="41" t="s">
        <v>97</v>
      </c>
      <c r="F175" s="15" t="n">
        <v>49.29</v>
      </c>
      <c r="G175" s="30" t="s">
        <v>1705</v>
      </c>
      <c r="H175" s="30" t="s">
        <v>1706</v>
      </c>
    </row>
    <row r="176" customFormat="false" ht="32.8" hidden="false" customHeight="false" outlineLevel="0" collapsed="false">
      <c r="A176" s="42" t="n">
        <v>10180</v>
      </c>
      <c r="B176" s="42" t="s">
        <v>877</v>
      </c>
      <c r="C176" s="42" t="s">
        <v>966</v>
      </c>
      <c r="D176" s="42" t="s">
        <v>748</v>
      </c>
      <c r="E176" s="42" t="s">
        <v>97</v>
      </c>
      <c r="F176" s="11" t="n">
        <v>49.18</v>
      </c>
      <c r="G176" s="33" t="s">
        <v>1758</v>
      </c>
      <c r="H176" s="33" t="s">
        <v>1759</v>
      </c>
    </row>
    <row r="177" customFormat="false" ht="22.35" hidden="false" customHeight="false" outlineLevel="0" collapsed="false">
      <c r="A177" s="41" t="n">
        <v>10201</v>
      </c>
      <c r="B177" s="41" t="s">
        <v>829</v>
      </c>
      <c r="C177" s="41" t="s">
        <v>1180</v>
      </c>
      <c r="D177" s="41" t="s">
        <v>743</v>
      </c>
      <c r="E177" s="41" t="s">
        <v>97</v>
      </c>
      <c r="F177" s="15" t="n">
        <v>48.3</v>
      </c>
      <c r="G177" s="30" t="s">
        <v>1894</v>
      </c>
      <c r="H177" s="30" t="s">
        <v>1895</v>
      </c>
    </row>
    <row r="178" customFormat="false" ht="22.35" hidden="false" customHeight="false" outlineLevel="0" collapsed="false">
      <c r="A178" s="42" t="n">
        <v>10202</v>
      </c>
      <c r="B178" s="42" t="s">
        <v>829</v>
      </c>
      <c r="C178" s="42" t="s">
        <v>1083</v>
      </c>
      <c r="D178" s="42" t="s">
        <v>743</v>
      </c>
      <c r="E178" s="42" t="s">
        <v>97</v>
      </c>
      <c r="F178" s="11" t="n">
        <v>48.3</v>
      </c>
      <c r="G178" s="33" t="s">
        <v>1896</v>
      </c>
      <c r="H178" s="33" t="s">
        <v>1897</v>
      </c>
    </row>
    <row r="179" customFormat="false" ht="32.8" hidden="false" customHeight="false" outlineLevel="0" collapsed="false">
      <c r="A179" s="41" t="n">
        <v>10203</v>
      </c>
      <c r="B179" s="41" t="s">
        <v>829</v>
      </c>
      <c r="C179" s="41" t="s">
        <v>1130</v>
      </c>
      <c r="D179" s="41" t="s">
        <v>743</v>
      </c>
      <c r="E179" s="41" t="s">
        <v>97</v>
      </c>
      <c r="F179" s="15" t="n">
        <v>48.3</v>
      </c>
      <c r="G179" s="30" t="s">
        <v>1898</v>
      </c>
      <c r="H179" s="30" t="s">
        <v>1899</v>
      </c>
    </row>
    <row r="180" customFormat="false" ht="32.8" hidden="false" customHeight="false" outlineLevel="0" collapsed="false">
      <c r="A180" s="42" t="n">
        <v>10204</v>
      </c>
      <c r="B180" s="42" t="s">
        <v>823</v>
      </c>
      <c r="C180" s="42" t="s">
        <v>1359</v>
      </c>
      <c r="D180" s="42" t="s">
        <v>1689</v>
      </c>
      <c r="E180" s="42" t="s">
        <v>97</v>
      </c>
      <c r="F180" s="11" t="n">
        <v>48.23</v>
      </c>
      <c r="G180" s="33" t="s">
        <v>1900</v>
      </c>
      <c r="H180" s="33" t="s">
        <v>1901</v>
      </c>
    </row>
    <row r="181" customFormat="false" ht="32.8" hidden="false" customHeight="false" outlineLevel="0" collapsed="false">
      <c r="A181" s="41" t="n">
        <v>10208</v>
      </c>
      <c r="B181" s="41" t="s">
        <v>823</v>
      </c>
      <c r="C181" s="41" t="s">
        <v>1364</v>
      </c>
      <c r="D181" s="41" t="s">
        <v>1689</v>
      </c>
      <c r="E181" s="41" t="s">
        <v>97</v>
      </c>
      <c r="F181" s="15" t="n">
        <v>48</v>
      </c>
      <c r="G181" s="30" t="s">
        <v>1902</v>
      </c>
      <c r="H181" s="30" t="s">
        <v>1903</v>
      </c>
    </row>
    <row r="182" customFormat="false" ht="22.35" hidden="false" customHeight="false" outlineLevel="0" collapsed="false">
      <c r="A182" s="42" t="n">
        <v>10211</v>
      </c>
      <c r="B182" s="42" t="s">
        <v>852</v>
      </c>
      <c r="C182" s="42" t="s">
        <v>878</v>
      </c>
      <c r="D182" s="42" t="s">
        <v>1699</v>
      </c>
      <c r="E182" s="42" t="s">
        <v>97</v>
      </c>
      <c r="F182" s="11" t="n">
        <v>47.79</v>
      </c>
      <c r="G182" s="33" t="s">
        <v>1708</v>
      </c>
      <c r="H182" s="33" t="s">
        <v>1904</v>
      </c>
    </row>
    <row r="183" customFormat="false" ht="32.8" hidden="false" customHeight="false" outlineLevel="0" collapsed="false">
      <c r="A183" s="41" t="n">
        <v>10222</v>
      </c>
      <c r="B183" s="41" t="s">
        <v>829</v>
      </c>
      <c r="C183" s="41" t="s">
        <v>855</v>
      </c>
      <c r="D183" s="41" t="s">
        <v>743</v>
      </c>
      <c r="E183" s="41" t="s">
        <v>97</v>
      </c>
      <c r="F183" s="15" t="n">
        <v>47.49</v>
      </c>
      <c r="G183" s="30" t="s">
        <v>1705</v>
      </c>
      <c r="H183" s="30" t="s">
        <v>1905</v>
      </c>
    </row>
    <row r="184" customFormat="false" ht="32.8" hidden="false" customHeight="false" outlineLevel="0" collapsed="false">
      <c r="A184" s="42" t="n">
        <v>10229</v>
      </c>
      <c r="B184" s="42" t="s">
        <v>829</v>
      </c>
      <c r="C184" s="42" t="s">
        <v>988</v>
      </c>
      <c r="D184" s="42" t="s">
        <v>743</v>
      </c>
      <c r="E184" s="42" t="s">
        <v>97</v>
      </c>
      <c r="F184" s="11" t="n">
        <v>47.25</v>
      </c>
      <c r="G184" s="33" t="s">
        <v>1906</v>
      </c>
      <c r="H184" s="33" t="s">
        <v>1907</v>
      </c>
    </row>
    <row r="185" customFormat="false" ht="22.35" hidden="false" customHeight="false" outlineLevel="0" collapsed="false">
      <c r="A185" s="41" t="n">
        <v>10230</v>
      </c>
      <c r="B185" s="41" t="s">
        <v>829</v>
      </c>
      <c r="C185" s="41" t="s">
        <v>1180</v>
      </c>
      <c r="D185" s="41" t="s">
        <v>743</v>
      </c>
      <c r="E185" s="41" t="s">
        <v>97</v>
      </c>
      <c r="F185" s="15" t="n">
        <v>47.25</v>
      </c>
      <c r="G185" s="30" t="s">
        <v>1894</v>
      </c>
      <c r="H185" s="30" t="s">
        <v>1908</v>
      </c>
    </row>
    <row r="186" customFormat="false" ht="22.35" hidden="false" customHeight="false" outlineLevel="0" collapsed="false">
      <c r="A186" s="42" t="n">
        <v>10232</v>
      </c>
      <c r="B186" s="42" t="s">
        <v>852</v>
      </c>
      <c r="C186" s="42" t="s">
        <v>978</v>
      </c>
      <c r="D186" s="42" t="s">
        <v>1699</v>
      </c>
      <c r="E186" s="42" t="s">
        <v>97</v>
      </c>
      <c r="F186" s="11" t="n">
        <v>47.21</v>
      </c>
      <c r="G186" s="33" t="s">
        <v>1909</v>
      </c>
      <c r="H186" s="33" t="s">
        <v>1910</v>
      </c>
    </row>
    <row r="187" customFormat="false" ht="32.8" hidden="false" customHeight="false" outlineLevel="0" collapsed="false">
      <c r="A187" s="41" t="n">
        <v>10238</v>
      </c>
      <c r="B187" s="41" t="s">
        <v>829</v>
      </c>
      <c r="C187" s="41" t="s">
        <v>939</v>
      </c>
      <c r="D187" s="41" t="s">
        <v>743</v>
      </c>
      <c r="E187" s="41" t="s">
        <v>97</v>
      </c>
      <c r="F187" s="15" t="n">
        <v>46.91</v>
      </c>
      <c r="G187" s="30" t="s">
        <v>1892</v>
      </c>
      <c r="H187" s="30" t="s">
        <v>1893</v>
      </c>
    </row>
    <row r="188" customFormat="false" ht="22.35" hidden="false" customHeight="false" outlineLevel="0" collapsed="false">
      <c r="A188" s="42" t="n">
        <v>10242</v>
      </c>
      <c r="B188" s="42" t="s">
        <v>823</v>
      </c>
      <c r="C188" s="42" t="s">
        <v>973</v>
      </c>
      <c r="D188" s="42" t="s">
        <v>1689</v>
      </c>
      <c r="E188" s="42" t="s">
        <v>97</v>
      </c>
      <c r="F188" s="11" t="n">
        <v>46.7</v>
      </c>
      <c r="G188" s="33" t="s">
        <v>1762</v>
      </c>
      <c r="H188" s="33" t="s">
        <v>1783</v>
      </c>
    </row>
    <row r="189" customFormat="false" ht="32.8" hidden="false" customHeight="false" outlineLevel="0" collapsed="false">
      <c r="A189" s="41" t="n">
        <v>10259</v>
      </c>
      <c r="B189" s="41" t="s">
        <v>829</v>
      </c>
      <c r="C189" s="41" t="s">
        <v>1130</v>
      </c>
      <c r="D189" s="41" t="s">
        <v>743</v>
      </c>
      <c r="E189" s="41" t="s">
        <v>97</v>
      </c>
      <c r="F189" s="15" t="n">
        <v>46.2</v>
      </c>
      <c r="G189" s="30" t="s">
        <v>1898</v>
      </c>
      <c r="H189" s="30" t="s">
        <v>1911</v>
      </c>
    </row>
    <row r="190" customFormat="false" ht="22.35" hidden="false" customHeight="false" outlineLevel="0" collapsed="false">
      <c r="A190" s="42" t="n">
        <v>10272</v>
      </c>
      <c r="B190" s="42" t="s">
        <v>829</v>
      </c>
      <c r="C190" s="42" t="s">
        <v>1170</v>
      </c>
      <c r="D190" s="42" t="s">
        <v>743</v>
      </c>
      <c r="E190" s="42" t="s">
        <v>97</v>
      </c>
      <c r="F190" s="11" t="n">
        <v>45.64</v>
      </c>
      <c r="G190" s="33" t="s">
        <v>1912</v>
      </c>
      <c r="H190" s="33" t="s">
        <v>1913</v>
      </c>
    </row>
    <row r="191" customFormat="false" ht="22.35" hidden="false" customHeight="false" outlineLevel="0" collapsed="false">
      <c r="A191" s="41" t="n">
        <v>10274</v>
      </c>
      <c r="B191" s="41" t="s">
        <v>823</v>
      </c>
      <c r="C191" s="41" t="s">
        <v>998</v>
      </c>
      <c r="D191" s="41" t="s">
        <v>1689</v>
      </c>
      <c r="E191" s="41" t="s">
        <v>97</v>
      </c>
      <c r="F191" s="15" t="n">
        <v>45.63</v>
      </c>
      <c r="G191" s="30" t="s">
        <v>1752</v>
      </c>
      <c r="H191" s="30" t="s">
        <v>1797</v>
      </c>
    </row>
    <row r="192" customFormat="false" ht="32.8" hidden="false" customHeight="false" outlineLevel="0" collapsed="false">
      <c r="A192" s="42" t="n">
        <v>10292</v>
      </c>
      <c r="B192" s="42" t="s">
        <v>829</v>
      </c>
      <c r="C192" s="42" t="s">
        <v>1202</v>
      </c>
      <c r="D192" s="42" t="s">
        <v>743</v>
      </c>
      <c r="E192" s="42" t="s">
        <v>97</v>
      </c>
      <c r="F192" s="11" t="n">
        <v>45.15</v>
      </c>
      <c r="G192" s="33" t="s">
        <v>1890</v>
      </c>
      <c r="H192" s="33" t="s">
        <v>1914</v>
      </c>
    </row>
    <row r="193" customFormat="false" ht="22.35" hidden="false" customHeight="false" outlineLevel="0" collapsed="false">
      <c r="A193" s="41" t="n">
        <v>10293</v>
      </c>
      <c r="B193" s="41" t="s">
        <v>829</v>
      </c>
      <c r="C193" s="41" t="s">
        <v>1083</v>
      </c>
      <c r="D193" s="41" t="s">
        <v>743</v>
      </c>
      <c r="E193" s="41" t="s">
        <v>97</v>
      </c>
      <c r="F193" s="15" t="n">
        <v>45.15</v>
      </c>
      <c r="G193" s="30" t="s">
        <v>1896</v>
      </c>
      <c r="H193" s="30" t="s">
        <v>1915</v>
      </c>
    </row>
    <row r="194" customFormat="false" ht="43.25" hidden="false" customHeight="false" outlineLevel="0" collapsed="false">
      <c r="A194" s="42" t="n">
        <v>10304</v>
      </c>
      <c r="B194" s="42" t="s">
        <v>852</v>
      </c>
      <c r="C194" s="42" t="s">
        <v>1369</v>
      </c>
      <c r="D194" s="42" t="s">
        <v>1699</v>
      </c>
      <c r="E194" s="42" t="s">
        <v>97</v>
      </c>
      <c r="F194" s="11" t="n">
        <v>45.03</v>
      </c>
      <c r="G194" s="33" t="s">
        <v>1916</v>
      </c>
      <c r="H194" s="33" t="s">
        <v>1917</v>
      </c>
    </row>
    <row r="195" customFormat="false" ht="32.8" hidden="false" customHeight="false" outlineLevel="0" collapsed="false">
      <c r="A195" s="41" t="n">
        <v>10331</v>
      </c>
      <c r="B195" s="41" t="s">
        <v>823</v>
      </c>
      <c r="C195" s="41" t="s">
        <v>832</v>
      </c>
      <c r="D195" s="41" t="s">
        <v>1689</v>
      </c>
      <c r="E195" s="41" t="s">
        <v>97</v>
      </c>
      <c r="F195" s="15" t="n">
        <v>44.51</v>
      </c>
      <c r="G195" s="30" t="s">
        <v>1697</v>
      </c>
      <c r="H195" s="30" t="s">
        <v>1865</v>
      </c>
    </row>
    <row r="196" customFormat="false" ht="32.8" hidden="false" customHeight="false" outlineLevel="0" collapsed="false">
      <c r="A196" s="42" t="n">
        <v>10337</v>
      </c>
      <c r="B196" s="42" t="s">
        <v>829</v>
      </c>
      <c r="C196" s="42" t="s">
        <v>988</v>
      </c>
      <c r="D196" s="42" t="s">
        <v>743</v>
      </c>
      <c r="E196" s="42" t="s">
        <v>97</v>
      </c>
      <c r="F196" s="11" t="n">
        <v>44.1</v>
      </c>
      <c r="G196" s="33" t="s">
        <v>1906</v>
      </c>
      <c r="H196" s="33" t="s">
        <v>1918</v>
      </c>
    </row>
    <row r="197" customFormat="false" ht="22.35" hidden="false" customHeight="false" outlineLevel="0" collapsed="false">
      <c r="A197" s="41" t="n">
        <v>10338</v>
      </c>
      <c r="B197" s="41" t="s">
        <v>829</v>
      </c>
      <c r="C197" s="41" t="s">
        <v>1037</v>
      </c>
      <c r="D197" s="41" t="s">
        <v>743</v>
      </c>
      <c r="E197" s="41" t="s">
        <v>97</v>
      </c>
      <c r="F197" s="15" t="n">
        <v>44.1</v>
      </c>
      <c r="G197" s="30" t="s">
        <v>1883</v>
      </c>
      <c r="H197" s="30" t="s">
        <v>1919</v>
      </c>
    </row>
    <row r="198" customFormat="false" ht="22.35" hidden="false" customHeight="false" outlineLevel="0" collapsed="false">
      <c r="A198" s="42" t="n">
        <v>10339</v>
      </c>
      <c r="B198" s="42" t="s">
        <v>829</v>
      </c>
      <c r="C198" s="42" t="s">
        <v>1049</v>
      </c>
      <c r="D198" s="42" t="s">
        <v>743</v>
      </c>
      <c r="E198" s="42" t="s">
        <v>97</v>
      </c>
      <c r="F198" s="11" t="n">
        <v>44.1</v>
      </c>
      <c r="G198" s="33" t="s">
        <v>1050</v>
      </c>
      <c r="H198" s="33" t="s">
        <v>1920</v>
      </c>
    </row>
    <row r="199" customFormat="false" ht="22.35" hidden="false" customHeight="false" outlineLevel="0" collapsed="false">
      <c r="A199" s="41" t="n">
        <v>10340</v>
      </c>
      <c r="B199" s="41" t="s">
        <v>829</v>
      </c>
      <c r="C199" s="41" t="s">
        <v>1585</v>
      </c>
      <c r="D199" s="41" t="s">
        <v>743</v>
      </c>
      <c r="E199" s="41" t="s">
        <v>97</v>
      </c>
      <c r="F199" s="15" t="n">
        <v>44.1</v>
      </c>
      <c r="G199" s="30" t="s">
        <v>1790</v>
      </c>
      <c r="H199" s="30" t="s">
        <v>1921</v>
      </c>
    </row>
    <row r="200" customFormat="false" ht="43.25" hidden="false" customHeight="false" outlineLevel="0" collapsed="false">
      <c r="A200" s="42" t="n">
        <v>10358</v>
      </c>
      <c r="B200" s="42" t="s">
        <v>823</v>
      </c>
      <c r="C200" s="42" t="s">
        <v>1381</v>
      </c>
      <c r="D200" s="42" t="s">
        <v>1689</v>
      </c>
      <c r="E200" s="42" t="s">
        <v>97</v>
      </c>
      <c r="F200" s="11" t="n">
        <v>43.86</v>
      </c>
      <c r="G200" s="33" t="s">
        <v>1886</v>
      </c>
      <c r="H200" s="33" t="s">
        <v>1922</v>
      </c>
    </row>
    <row r="201" customFormat="false" ht="32.8" hidden="false" customHeight="false" outlineLevel="0" collapsed="false">
      <c r="A201" s="41" t="n">
        <v>10363</v>
      </c>
      <c r="B201" s="41" t="s">
        <v>823</v>
      </c>
      <c r="C201" s="41" t="s">
        <v>897</v>
      </c>
      <c r="D201" s="41" t="s">
        <v>1689</v>
      </c>
      <c r="E201" s="41" t="s">
        <v>97</v>
      </c>
      <c r="F201" s="15" t="n">
        <v>43.45</v>
      </c>
      <c r="G201" s="30" t="s">
        <v>1731</v>
      </c>
      <c r="H201" s="30" t="s">
        <v>1732</v>
      </c>
    </row>
    <row r="202" customFormat="false" ht="22.35" hidden="false" customHeight="false" outlineLevel="0" collapsed="false">
      <c r="A202" s="42" t="n">
        <v>10387</v>
      </c>
      <c r="B202" s="42" t="s">
        <v>829</v>
      </c>
      <c r="C202" s="42" t="s">
        <v>1160</v>
      </c>
      <c r="D202" s="42" t="s">
        <v>743</v>
      </c>
      <c r="E202" s="42" t="s">
        <v>97</v>
      </c>
      <c r="F202" s="11" t="n">
        <v>43.05</v>
      </c>
      <c r="G202" s="33" t="s">
        <v>1866</v>
      </c>
      <c r="H202" s="33" t="s">
        <v>1923</v>
      </c>
    </row>
    <row r="203" customFormat="false" ht="22.35" hidden="false" customHeight="false" outlineLevel="0" collapsed="false">
      <c r="A203" s="41" t="n">
        <v>10388</v>
      </c>
      <c r="B203" s="41" t="s">
        <v>829</v>
      </c>
      <c r="C203" s="41" t="s">
        <v>1093</v>
      </c>
      <c r="D203" s="41" t="s">
        <v>743</v>
      </c>
      <c r="E203" s="41" t="s">
        <v>97</v>
      </c>
      <c r="F203" s="15" t="n">
        <v>43.05</v>
      </c>
      <c r="G203" s="30" t="s">
        <v>1888</v>
      </c>
      <c r="H203" s="30" t="s">
        <v>1924</v>
      </c>
    </row>
    <row r="204" customFormat="false" ht="22.35" hidden="false" customHeight="false" outlineLevel="0" collapsed="false">
      <c r="A204" s="42" t="n">
        <v>10389</v>
      </c>
      <c r="B204" s="42" t="s">
        <v>829</v>
      </c>
      <c r="C204" s="42" t="s">
        <v>1098</v>
      </c>
      <c r="D204" s="42" t="s">
        <v>743</v>
      </c>
      <c r="E204" s="42" t="s">
        <v>97</v>
      </c>
      <c r="F204" s="11" t="n">
        <v>43.05</v>
      </c>
      <c r="G204" s="33" t="s">
        <v>1099</v>
      </c>
      <c r="H204" s="33" t="s">
        <v>1925</v>
      </c>
    </row>
    <row r="205" customFormat="false" ht="32.8" hidden="false" customHeight="false" outlineLevel="0" collapsed="false">
      <c r="A205" s="41" t="n">
        <v>10390</v>
      </c>
      <c r="B205" s="41" t="s">
        <v>829</v>
      </c>
      <c r="C205" s="41" t="s">
        <v>1155</v>
      </c>
      <c r="D205" s="41" t="s">
        <v>743</v>
      </c>
      <c r="E205" s="41" t="s">
        <v>97</v>
      </c>
      <c r="F205" s="15" t="n">
        <v>43.05</v>
      </c>
      <c r="G205" s="30" t="s">
        <v>1860</v>
      </c>
      <c r="H205" s="30" t="s">
        <v>1926</v>
      </c>
    </row>
    <row r="206" customFormat="false" ht="22.35" hidden="false" customHeight="false" outlineLevel="0" collapsed="false">
      <c r="A206" s="42" t="n">
        <v>10391</v>
      </c>
      <c r="B206" s="42" t="s">
        <v>829</v>
      </c>
      <c r="C206" s="42" t="s">
        <v>1585</v>
      </c>
      <c r="D206" s="42" t="s">
        <v>743</v>
      </c>
      <c r="E206" s="42" t="s">
        <v>97</v>
      </c>
      <c r="F206" s="11" t="n">
        <v>43.05</v>
      </c>
      <c r="G206" s="33" t="s">
        <v>1790</v>
      </c>
      <c r="H206" s="33" t="s">
        <v>1927</v>
      </c>
    </row>
    <row r="207" customFormat="false" ht="22.35" hidden="false" customHeight="false" outlineLevel="0" collapsed="false">
      <c r="A207" s="41" t="n">
        <v>10394</v>
      </c>
      <c r="B207" s="41" t="s">
        <v>823</v>
      </c>
      <c r="C207" s="41" t="s">
        <v>1003</v>
      </c>
      <c r="D207" s="41" t="s">
        <v>1689</v>
      </c>
      <c r="E207" s="41" t="s">
        <v>97</v>
      </c>
      <c r="F207" s="15" t="n">
        <v>43.05</v>
      </c>
      <c r="G207" s="30" t="s">
        <v>1004</v>
      </c>
      <c r="H207" s="30" t="s">
        <v>1772</v>
      </c>
    </row>
    <row r="208" customFormat="false" ht="22.35" hidden="false" customHeight="false" outlineLevel="0" collapsed="false">
      <c r="A208" s="42" t="n">
        <v>10421</v>
      </c>
      <c r="B208" s="42" t="s">
        <v>829</v>
      </c>
      <c r="C208" s="42" t="s">
        <v>1585</v>
      </c>
      <c r="D208" s="42" t="s">
        <v>743</v>
      </c>
      <c r="E208" s="42" t="s">
        <v>97</v>
      </c>
      <c r="F208" s="11" t="n">
        <v>42.25</v>
      </c>
      <c r="G208" s="33" t="s">
        <v>1790</v>
      </c>
      <c r="H208" s="33" t="s">
        <v>1928</v>
      </c>
    </row>
    <row r="209" customFormat="false" ht="22.35" hidden="false" customHeight="false" outlineLevel="0" collapsed="false">
      <c r="A209" s="41" t="n">
        <v>10432</v>
      </c>
      <c r="B209" s="41" t="s">
        <v>829</v>
      </c>
      <c r="C209" s="41" t="s">
        <v>1207</v>
      </c>
      <c r="D209" s="41" t="s">
        <v>743</v>
      </c>
      <c r="E209" s="41" t="s">
        <v>97</v>
      </c>
      <c r="F209" s="15" t="n">
        <v>42</v>
      </c>
      <c r="G209" s="30" t="s">
        <v>1878</v>
      </c>
      <c r="H209" s="30" t="s">
        <v>1929</v>
      </c>
    </row>
    <row r="210" customFormat="false" ht="32.8" hidden="false" customHeight="false" outlineLevel="0" collapsed="false">
      <c r="A210" s="42" t="n">
        <v>10455</v>
      </c>
      <c r="B210" s="42" t="s">
        <v>823</v>
      </c>
      <c r="C210" s="42" t="s">
        <v>983</v>
      </c>
      <c r="D210" s="42" t="s">
        <v>1689</v>
      </c>
      <c r="E210" s="42" t="s">
        <v>97</v>
      </c>
      <c r="F210" s="11" t="n">
        <v>41.5</v>
      </c>
      <c r="G210" s="33" t="s">
        <v>1748</v>
      </c>
      <c r="H210" s="33" t="s">
        <v>1787</v>
      </c>
    </row>
    <row r="211" customFormat="false" ht="32.8" hidden="false" customHeight="false" outlineLevel="0" collapsed="false">
      <c r="A211" s="41" t="n">
        <v>10458</v>
      </c>
      <c r="B211" s="41" t="s">
        <v>829</v>
      </c>
      <c r="C211" s="41" t="s">
        <v>954</v>
      </c>
      <c r="D211" s="41" t="s">
        <v>743</v>
      </c>
      <c r="E211" s="41" t="s">
        <v>97</v>
      </c>
      <c r="F211" s="15" t="n">
        <v>41.41</v>
      </c>
      <c r="G211" s="30" t="s">
        <v>1853</v>
      </c>
      <c r="H211" s="30" t="s">
        <v>1854</v>
      </c>
    </row>
    <row r="212" customFormat="false" ht="22.35" hidden="false" customHeight="false" outlineLevel="0" collapsed="false">
      <c r="A212" s="42" t="n">
        <v>10478</v>
      </c>
      <c r="B212" s="42" t="s">
        <v>823</v>
      </c>
      <c r="C212" s="42" t="s">
        <v>978</v>
      </c>
      <c r="D212" s="42" t="s">
        <v>1689</v>
      </c>
      <c r="E212" s="42" t="s">
        <v>97</v>
      </c>
      <c r="F212" s="11" t="n">
        <v>41.09</v>
      </c>
      <c r="G212" s="33" t="s">
        <v>1909</v>
      </c>
      <c r="H212" s="33" t="s">
        <v>1930</v>
      </c>
    </row>
    <row r="213" customFormat="false" ht="22.35" hidden="false" customHeight="false" outlineLevel="0" collapsed="false">
      <c r="A213" s="41" t="n">
        <v>10480</v>
      </c>
      <c r="B213" s="41" t="s">
        <v>823</v>
      </c>
      <c r="C213" s="41" t="s">
        <v>1012</v>
      </c>
      <c r="D213" s="41" t="s">
        <v>1689</v>
      </c>
      <c r="E213" s="41" t="s">
        <v>97</v>
      </c>
      <c r="F213" s="15" t="n">
        <v>41.01</v>
      </c>
      <c r="G213" s="30" t="s">
        <v>1931</v>
      </c>
      <c r="H213" s="30" t="s">
        <v>1932</v>
      </c>
    </row>
    <row r="214" customFormat="false" ht="22.35" hidden="false" customHeight="false" outlineLevel="0" collapsed="false">
      <c r="A214" s="42" t="n">
        <v>10483</v>
      </c>
      <c r="B214" s="42" t="s">
        <v>829</v>
      </c>
      <c r="C214" s="42" t="s">
        <v>1059</v>
      </c>
      <c r="D214" s="42" t="s">
        <v>743</v>
      </c>
      <c r="E214" s="42" t="s">
        <v>97</v>
      </c>
      <c r="F214" s="11" t="n">
        <v>40.95</v>
      </c>
      <c r="G214" s="33" t="s">
        <v>1060</v>
      </c>
      <c r="H214" s="33" t="s">
        <v>1933</v>
      </c>
    </row>
    <row r="215" customFormat="false" ht="22.35" hidden="false" customHeight="false" outlineLevel="0" collapsed="false">
      <c r="A215" s="41" t="n">
        <v>10487</v>
      </c>
      <c r="B215" s="41" t="s">
        <v>829</v>
      </c>
      <c r="C215" s="41" t="s">
        <v>1281</v>
      </c>
      <c r="D215" s="41" t="s">
        <v>743</v>
      </c>
      <c r="E215" s="41" t="s">
        <v>97</v>
      </c>
      <c r="F215" s="15" t="n">
        <v>40.75</v>
      </c>
      <c r="G215" s="30" t="s">
        <v>1282</v>
      </c>
      <c r="H215" s="30" t="s">
        <v>1934</v>
      </c>
    </row>
    <row r="216" customFormat="false" ht="22.35" hidden="false" customHeight="false" outlineLevel="0" collapsed="false">
      <c r="A216" s="42" t="n">
        <v>10489</v>
      </c>
      <c r="B216" s="42" t="s">
        <v>823</v>
      </c>
      <c r="C216" s="42" t="s">
        <v>878</v>
      </c>
      <c r="D216" s="42" t="s">
        <v>1689</v>
      </c>
      <c r="E216" s="42" t="s">
        <v>97</v>
      </c>
      <c r="F216" s="11" t="n">
        <v>40.7</v>
      </c>
      <c r="G216" s="33" t="s">
        <v>1708</v>
      </c>
      <c r="H216" s="33" t="s">
        <v>1935</v>
      </c>
    </row>
    <row r="217" customFormat="false" ht="22.35" hidden="false" customHeight="false" outlineLevel="0" collapsed="false">
      <c r="A217" s="41" t="n">
        <v>10516</v>
      </c>
      <c r="B217" s="41" t="s">
        <v>823</v>
      </c>
      <c r="C217" s="41" t="s">
        <v>1012</v>
      </c>
      <c r="D217" s="41" t="s">
        <v>1689</v>
      </c>
      <c r="E217" s="41" t="s">
        <v>97</v>
      </c>
      <c r="F217" s="15" t="n">
        <v>40.15</v>
      </c>
      <c r="G217" s="30" t="s">
        <v>1931</v>
      </c>
      <c r="H217" s="30" t="s">
        <v>1936</v>
      </c>
    </row>
    <row r="218" customFormat="false" ht="32.8" hidden="false" customHeight="false" outlineLevel="0" collapsed="false">
      <c r="A218" s="42" t="n">
        <v>10525</v>
      </c>
      <c r="B218" s="42" t="s">
        <v>823</v>
      </c>
      <c r="C218" s="42" t="s">
        <v>1398</v>
      </c>
      <c r="D218" s="42" t="s">
        <v>1689</v>
      </c>
      <c r="E218" s="42" t="s">
        <v>97</v>
      </c>
      <c r="F218" s="11" t="n">
        <v>39.96</v>
      </c>
      <c r="G218" s="33" t="s">
        <v>1937</v>
      </c>
      <c r="H218" s="33" t="s">
        <v>1938</v>
      </c>
    </row>
    <row r="219" customFormat="false" ht="32.8" hidden="false" customHeight="false" outlineLevel="0" collapsed="false">
      <c r="A219" s="41" t="n">
        <v>10527</v>
      </c>
      <c r="B219" s="41" t="s">
        <v>829</v>
      </c>
      <c r="C219" s="41" t="s">
        <v>1150</v>
      </c>
      <c r="D219" s="41" t="s">
        <v>743</v>
      </c>
      <c r="E219" s="41" t="s">
        <v>97</v>
      </c>
      <c r="F219" s="15" t="n">
        <v>39.9</v>
      </c>
      <c r="G219" s="30" t="s">
        <v>1874</v>
      </c>
      <c r="H219" s="30" t="s">
        <v>1939</v>
      </c>
    </row>
    <row r="220" customFormat="false" ht="32.8" hidden="false" customHeight="false" outlineLevel="0" collapsed="false">
      <c r="A220" s="42" t="n">
        <v>10545</v>
      </c>
      <c r="B220" s="42" t="s">
        <v>919</v>
      </c>
      <c r="C220" s="42" t="s">
        <v>983</v>
      </c>
      <c r="D220" s="42" t="s">
        <v>1736</v>
      </c>
      <c r="E220" s="42" t="s">
        <v>97</v>
      </c>
      <c r="F220" s="11" t="n">
        <v>39.39</v>
      </c>
      <c r="G220" s="33" t="s">
        <v>1748</v>
      </c>
      <c r="H220" s="33" t="s">
        <v>1749</v>
      </c>
    </row>
    <row r="221" customFormat="false" ht="22.35" hidden="false" customHeight="false" outlineLevel="0" collapsed="false">
      <c r="A221" s="41" t="n">
        <v>10549</v>
      </c>
      <c r="B221" s="41" t="s">
        <v>877</v>
      </c>
      <c r="C221" s="41" t="s">
        <v>998</v>
      </c>
      <c r="D221" s="41" t="s">
        <v>748</v>
      </c>
      <c r="E221" s="41" t="s">
        <v>97</v>
      </c>
      <c r="F221" s="15" t="n">
        <v>39.15</v>
      </c>
      <c r="G221" s="30" t="s">
        <v>1752</v>
      </c>
      <c r="H221" s="30" t="s">
        <v>1753</v>
      </c>
    </row>
    <row r="222" customFormat="false" ht="22.35" hidden="false" customHeight="false" outlineLevel="0" collapsed="false">
      <c r="A222" s="42" t="n">
        <v>10566</v>
      </c>
      <c r="B222" s="42" t="s">
        <v>829</v>
      </c>
      <c r="C222" s="42" t="s">
        <v>1222</v>
      </c>
      <c r="D222" s="42" t="s">
        <v>743</v>
      </c>
      <c r="E222" s="42" t="s">
        <v>97</v>
      </c>
      <c r="F222" s="11" t="n">
        <v>38.85</v>
      </c>
      <c r="G222" s="33" t="s">
        <v>1876</v>
      </c>
      <c r="H222" s="33" t="s">
        <v>1940</v>
      </c>
    </row>
    <row r="223" customFormat="false" ht="22.35" hidden="false" customHeight="false" outlineLevel="0" collapsed="false">
      <c r="A223" s="41" t="n">
        <v>10574</v>
      </c>
      <c r="B223" s="41" t="s">
        <v>877</v>
      </c>
      <c r="C223" s="41" t="s">
        <v>973</v>
      </c>
      <c r="D223" s="41" t="s">
        <v>748</v>
      </c>
      <c r="E223" s="41" t="s">
        <v>97</v>
      </c>
      <c r="F223" s="15" t="n">
        <v>38.68</v>
      </c>
      <c r="G223" s="30" t="s">
        <v>1762</v>
      </c>
      <c r="H223" s="30" t="s">
        <v>1763</v>
      </c>
    </row>
    <row r="224" customFormat="false" ht="43.25" hidden="false" customHeight="false" outlineLevel="0" collapsed="false">
      <c r="A224" s="42" t="n">
        <v>10582</v>
      </c>
      <c r="B224" s="42" t="s">
        <v>877</v>
      </c>
      <c r="C224" s="42" t="s">
        <v>1369</v>
      </c>
      <c r="D224" s="42" t="s">
        <v>748</v>
      </c>
      <c r="E224" s="42" t="s">
        <v>97</v>
      </c>
      <c r="F224" s="11" t="n">
        <v>38.33</v>
      </c>
      <c r="G224" s="33" t="s">
        <v>1916</v>
      </c>
      <c r="H224" s="33" t="s">
        <v>1941</v>
      </c>
    </row>
    <row r="225" customFormat="false" ht="22.35" hidden="false" customHeight="false" outlineLevel="0" collapsed="false">
      <c r="A225" s="41" t="n">
        <v>10596</v>
      </c>
      <c r="B225" s="41" t="s">
        <v>877</v>
      </c>
      <c r="C225" s="41" t="s">
        <v>978</v>
      </c>
      <c r="D225" s="41" t="s">
        <v>748</v>
      </c>
      <c r="E225" s="41" t="s">
        <v>97</v>
      </c>
      <c r="F225" s="15" t="n">
        <v>38.04</v>
      </c>
      <c r="G225" s="30" t="s">
        <v>1909</v>
      </c>
      <c r="H225" s="30" t="s">
        <v>1942</v>
      </c>
    </row>
    <row r="226" customFormat="false" ht="22.35" hidden="false" customHeight="false" outlineLevel="0" collapsed="false">
      <c r="A226" s="42" t="n">
        <v>10611</v>
      </c>
      <c r="B226" s="42" t="s">
        <v>829</v>
      </c>
      <c r="C226" s="42" t="s">
        <v>1585</v>
      </c>
      <c r="D226" s="42" t="s">
        <v>743</v>
      </c>
      <c r="E226" s="42" t="s">
        <v>97</v>
      </c>
      <c r="F226" s="11" t="n">
        <v>37.85</v>
      </c>
      <c r="G226" s="33" t="s">
        <v>1790</v>
      </c>
      <c r="H226" s="33" t="s">
        <v>1943</v>
      </c>
    </row>
    <row r="227" customFormat="false" ht="22.35" hidden="false" customHeight="false" outlineLevel="0" collapsed="false">
      <c r="A227" s="41" t="n">
        <v>10615</v>
      </c>
      <c r="B227" s="41" t="s">
        <v>829</v>
      </c>
      <c r="C227" s="41" t="s">
        <v>847</v>
      </c>
      <c r="D227" s="41" t="s">
        <v>743</v>
      </c>
      <c r="E227" s="41" t="s">
        <v>97</v>
      </c>
      <c r="F227" s="15" t="n">
        <v>37.8</v>
      </c>
      <c r="G227" s="30" t="s">
        <v>1712</v>
      </c>
      <c r="H227" s="30" t="s">
        <v>1727</v>
      </c>
    </row>
    <row r="228" customFormat="false" ht="32.8" hidden="false" customHeight="false" outlineLevel="0" collapsed="false">
      <c r="A228" s="42" t="n">
        <v>10621</v>
      </c>
      <c r="B228" s="42" t="s">
        <v>852</v>
      </c>
      <c r="C228" s="42" t="s">
        <v>902</v>
      </c>
      <c r="D228" s="42" t="s">
        <v>1699</v>
      </c>
      <c r="E228" s="42" t="s">
        <v>97</v>
      </c>
      <c r="F228" s="11" t="n">
        <v>37.69</v>
      </c>
      <c r="G228" s="33" t="s">
        <v>1728</v>
      </c>
      <c r="H228" s="33" t="s">
        <v>1944</v>
      </c>
    </row>
    <row r="229" customFormat="false" ht="22.35" hidden="false" customHeight="false" outlineLevel="0" collapsed="false">
      <c r="A229" s="41" t="n">
        <v>10658</v>
      </c>
      <c r="B229" s="41" t="s">
        <v>829</v>
      </c>
      <c r="C229" s="41" t="s">
        <v>1585</v>
      </c>
      <c r="D229" s="41" t="s">
        <v>743</v>
      </c>
      <c r="E229" s="41" t="s">
        <v>97</v>
      </c>
      <c r="F229" s="15" t="n">
        <v>36.97</v>
      </c>
      <c r="G229" s="30" t="s">
        <v>1790</v>
      </c>
      <c r="H229" s="30" t="s">
        <v>1945</v>
      </c>
    </row>
    <row r="230" customFormat="false" ht="22.35" hidden="false" customHeight="false" outlineLevel="0" collapsed="false">
      <c r="A230" s="42" t="n">
        <v>10667</v>
      </c>
      <c r="B230" s="42" t="s">
        <v>829</v>
      </c>
      <c r="C230" s="42" t="s">
        <v>1054</v>
      </c>
      <c r="D230" s="42" t="s">
        <v>743</v>
      </c>
      <c r="E230" s="42" t="s">
        <v>97</v>
      </c>
      <c r="F230" s="11" t="n">
        <v>36.75</v>
      </c>
      <c r="G230" s="33" t="s">
        <v>1851</v>
      </c>
      <c r="H230" s="33" t="s">
        <v>1946</v>
      </c>
    </row>
    <row r="231" customFormat="false" ht="32.8" hidden="false" customHeight="false" outlineLevel="0" collapsed="false">
      <c r="A231" s="41" t="n">
        <v>10668</v>
      </c>
      <c r="B231" s="41" t="s">
        <v>829</v>
      </c>
      <c r="C231" s="41" t="s">
        <v>954</v>
      </c>
      <c r="D231" s="41" t="s">
        <v>743</v>
      </c>
      <c r="E231" s="41" t="s">
        <v>97</v>
      </c>
      <c r="F231" s="15" t="n">
        <v>36.75</v>
      </c>
      <c r="G231" s="30" t="s">
        <v>1853</v>
      </c>
      <c r="H231" s="30" t="s">
        <v>1947</v>
      </c>
    </row>
    <row r="232" customFormat="false" ht="32.8" hidden="false" customHeight="false" outlineLevel="0" collapsed="false">
      <c r="A232" s="42" t="n">
        <v>10669</v>
      </c>
      <c r="B232" s="42" t="s">
        <v>829</v>
      </c>
      <c r="C232" s="42" t="s">
        <v>939</v>
      </c>
      <c r="D232" s="42" t="s">
        <v>743</v>
      </c>
      <c r="E232" s="42" t="s">
        <v>97</v>
      </c>
      <c r="F232" s="11" t="n">
        <v>36.75</v>
      </c>
      <c r="G232" s="33" t="s">
        <v>1892</v>
      </c>
      <c r="H232" s="33" t="s">
        <v>1948</v>
      </c>
    </row>
    <row r="233" customFormat="false" ht="22.35" hidden="false" customHeight="false" outlineLevel="0" collapsed="false">
      <c r="A233" s="41" t="n">
        <v>10670</v>
      </c>
      <c r="B233" s="41" t="s">
        <v>829</v>
      </c>
      <c r="C233" s="41" t="s">
        <v>944</v>
      </c>
      <c r="D233" s="41" t="s">
        <v>743</v>
      </c>
      <c r="E233" s="41" t="s">
        <v>97</v>
      </c>
      <c r="F233" s="15" t="n">
        <v>36.75</v>
      </c>
      <c r="G233" s="30" t="s">
        <v>1855</v>
      </c>
      <c r="H233" s="30" t="s">
        <v>1949</v>
      </c>
    </row>
    <row r="234" customFormat="false" ht="22.35" hidden="false" customHeight="false" outlineLevel="0" collapsed="false">
      <c r="A234" s="42" t="n">
        <v>10671</v>
      </c>
      <c r="B234" s="42" t="s">
        <v>829</v>
      </c>
      <c r="C234" s="42" t="s">
        <v>1165</v>
      </c>
      <c r="D234" s="42" t="s">
        <v>743</v>
      </c>
      <c r="E234" s="42" t="s">
        <v>97</v>
      </c>
      <c r="F234" s="11" t="n">
        <v>36.75</v>
      </c>
      <c r="G234" s="33" t="s">
        <v>1166</v>
      </c>
      <c r="H234" s="33" t="s">
        <v>1950</v>
      </c>
    </row>
    <row r="235" customFormat="false" ht="43.25" hidden="false" customHeight="false" outlineLevel="0" collapsed="false">
      <c r="A235" s="41" t="n">
        <v>10689</v>
      </c>
      <c r="B235" s="41" t="s">
        <v>823</v>
      </c>
      <c r="C235" s="41" t="s">
        <v>1369</v>
      </c>
      <c r="D235" s="41" t="s">
        <v>1689</v>
      </c>
      <c r="E235" s="41" t="s">
        <v>97</v>
      </c>
      <c r="F235" s="15" t="n">
        <v>36.03</v>
      </c>
      <c r="G235" s="30" t="s">
        <v>1916</v>
      </c>
      <c r="H235" s="30" t="s">
        <v>1951</v>
      </c>
    </row>
    <row r="236" customFormat="false" ht="22.35" hidden="false" customHeight="false" outlineLevel="0" collapsed="false">
      <c r="A236" s="42" t="n">
        <v>10699</v>
      </c>
      <c r="B236" s="42" t="s">
        <v>852</v>
      </c>
      <c r="C236" s="42" t="s">
        <v>1112</v>
      </c>
      <c r="D236" s="42" t="s">
        <v>1699</v>
      </c>
      <c r="E236" s="42" t="s">
        <v>97</v>
      </c>
      <c r="F236" s="11" t="n">
        <v>35.7</v>
      </c>
      <c r="G236" s="33" t="s">
        <v>1113</v>
      </c>
      <c r="H236" s="33" t="s">
        <v>1952</v>
      </c>
    </row>
    <row r="237" customFormat="false" ht="22.35" hidden="false" customHeight="false" outlineLevel="0" collapsed="false">
      <c r="A237" s="41" t="n">
        <v>10700</v>
      </c>
      <c r="B237" s="41" t="s">
        <v>852</v>
      </c>
      <c r="C237" s="41" t="s">
        <v>1017</v>
      </c>
      <c r="D237" s="41" t="s">
        <v>1699</v>
      </c>
      <c r="E237" s="41" t="s">
        <v>97</v>
      </c>
      <c r="F237" s="15" t="n">
        <v>35.7</v>
      </c>
      <c r="G237" s="30" t="s">
        <v>1018</v>
      </c>
      <c r="H237" s="30" t="s">
        <v>1953</v>
      </c>
    </row>
    <row r="238" customFormat="false" ht="32.8" hidden="false" customHeight="false" outlineLevel="0" collapsed="false">
      <c r="A238" s="42" t="n">
        <v>10701</v>
      </c>
      <c r="B238" s="42" t="s">
        <v>829</v>
      </c>
      <c r="C238" s="42" t="s">
        <v>855</v>
      </c>
      <c r="D238" s="42" t="s">
        <v>743</v>
      </c>
      <c r="E238" s="42" t="s">
        <v>97</v>
      </c>
      <c r="F238" s="11" t="n">
        <v>35.7</v>
      </c>
      <c r="G238" s="33" t="s">
        <v>1705</v>
      </c>
      <c r="H238" s="33" t="s">
        <v>1954</v>
      </c>
    </row>
    <row r="239" customFormat="false" ht="32.8" hidden="false" customHeight="false" outlineLevel="0" collapsed="false">
      <c r="A239" s="41" t="n">
        <v>10727</v>
      </c>
      <c r="B239" s="41" t="s">
        <v>829</v>
      </c>
      <c r="C239" s="41" t="s">
        <v>939</v>
      </c>
      <c r="D239" s="41" t="s">
        <v>743</v>
      </c>
      <c r="E239" s="41" t="s">
        <v>97</v>
      </c>
      <c r="F239" s="15" t="n">
        <v>35.12</v>
      </c>
      <c r="G239" s="30" t="s">
        <v>1892</v>
      </c>
      <c r="H239" s="30" t="s">
        <v>1948</v>
      </c>
    </row>
    <row r="240" customFormat="false" ht="22.35" hidden="false" customHeight="false" outlineLevel="0" collapsed="false">
      <c r="A240" s="42" t="n">
        <v>10733</v>
      </c>
      <c r="B240" s="42" t="s">
        <v>829</v>
      </c>
      <c r="C240" s="42" t="s">
        <v>944</v>
      </c>
      <c r="D240" s="42" t="s">
        <v>743</v>
      </c>
      <c r="E240" s="42" t="s">
        <v>97</v>
      </c>
      <c r="F240" s="11" t="n">
        <v>34.85</v>
      </c>
      <c r="G240" s="33" t="s">
        <v>1855</v>
      </c>
      <c r="H240" s="33" t="s">
        <v>1949</v>
      </c>
    </row>
    <row r="241" customFormat="false" ht="22.35" hidden="false" customHeight="false" outlineLevel="0" collapsed="false">
      <c r="A241" s="41" t="n">
        <v>10737</v>
      </c>
      <c r="B241" s="41" t="s">
        <v>919</v>
      </c>
      <c r="C241" s="41" t="s">
        <v>1446</v>
      </c>
      <c r="D241" s="41" t="s">
        <v>1736</v>
      </c>
      <c r="E241" s="41" t="s">
        <v>97</v>
      </c>
      <c r="F241" s="15" t="n">
        <v>34.65</v>
      </c>
      <c r="G241" s="30" t="s">
        <v>1955</v>
      </c>
      <c r="H241" s="30" t="s">
        <v>1956</v>
      </c>
    </row>
    <row r="242" customFormat="false" ht="22.35" hidden="false" customHeight="false" outlineLevel="0" collapsed="false">
      <c r="A242" s="42" t="n">
        <v>10776</v>
      </c>
      <c r="B242" s="42" t="s">
        <v>852</v>
      </c>
      <c r="C242" s="42" t="s">
        <v>1423</v>
      </c>
      <c r="D242" s="42" t="s">
        <v>1699</v>
      </c>
      <c r="E242" s="42" t="s">
        <v>97</v>
      </c>
      <c r="F242" s="11" t="n">
        <v>33.6</v>
      </c>
      <c r="G242" s="33" t="s">
        <v>1957</v>
      </c>
      <c r="H242" s="33" t="s">
        <v>1958</v>
      </c>
    </row>
    <row r="243" customFormat="false" ht="22.35" hidden="false" customHeight="false" outlineLevel="0" collapsed="false">
      <c r="A243" s="41" t="n">
        <v>10777</v>
      </c>
      <c r="B243" s="41" t="s">
        <v>829</v>
      </c>
      <c r="C243" s="41" t="s">
        <v>1195</v>
      </c>
      <c r="D243" s="41" t="s">
        <v>743</v>
      </c>
      <c r="E243" s="41" t="s">
        <v>97</v>
      </c>
      <c r="F243" s="15" t="n">
        <v>33.6</v>
      </c>
      <c r="G243" s="30" t="s">
        <v>1831</v>
      </c>
      <c r="H243" s="30" t="s">
        <v>1959</v>
      </c>
    </row>
    <row r="244" customFormat="false" ht="22.35" hidden="false" customHeight="false" outlineLevel="0" collapsed="false">
      <c r="A244" s="42" t="n">
        <v>10778</v>
      </c>
      <c r="B244" s="42" t="s">
        <v>829</v>
      </c>
      <c r="C244" s="42" t="s">
        <v>824</v>
      </c>
      <c r="D244" s="42" t="s">
        <v>743</v>
      </c>
      <c r="E244" s="42" t="s">
        <v>97</v>
      </c>
      <c r="F244" s="11" t="n">
        <v>33.6</v>
      </c>
      <c r="G244" s="33" t="s">
        <v>1690</v>
      </c>
      <c r="H244" s="33" t="s">
        <v>1701</v>
      </c>
    </row>
    <row r="245" customFormat="false" ht="22.35" hidden="false" customHeight="false" outlineLevel="0" collapsed="false">
      <c r="A245" s="41" t="n">
        <v>10797</v>
      </c>
      <c r="B245" s="41" t="s">
        <v>829</v>
      </c>
      <c r="C245" s="41" t="s">
        <v>1281</v>
      </c>
      <c r="D245" s="41" t="s">
        <v>743</v>
      </c>
      <c r="E245" s="41" t="s">
        <v>97</v>
      </c>
      <c r="F245" s="15" t="n">
        <v>33.42</v>
      </c>
      <c r="G245" s="30" t="s">
        <v>1282</v>
      </c>
      <c r="H245" s="30" t="s">
        <v>1960</v>
      </c>
    </row>
    <row r="246" customFormat="false" ht="22.35" hidden="false" customHeight="false" outlineLevel="0" collapsed="false">
      <c r="A246" s="42" t="n">
        <v>10803</v>
      </c>
      <c r="B246" s="42" t="s">
        <v>823</v>
      </c>
      <c r="C246" s="42" t="s">
        <v>1044</v>
      </c>
      <c r="D246" s="42" t="s">
        <v>1689</v>
      </c>
      <c r="E246" s="42" t="s">
        <v>97</v>
      </c>
      <c r="F246" s="11" t="n">
        <v>33.2</v>
      </c>
      <c r="G246" s="33" t="s">
        <v>1788</v>
      </c>
      <c r="H246" s="33" t="s">
        <v>1799</v>
      </c>
    </row>
    <row r="247" customFormat="false" ht="32.8" hidden="false" customHeight="false" outlineLevel="0" collapsed="false">
      <c r="A247" s="41" t="n">
        <v>10809</v>
      </c>
      <c r="B247" s="41" t="s">
        <v>877</v>
      </c>
      <c r="C247" s="41" t="s">
        <v>1359</v>
      </c>
      <c r="D247" s="41" t="s">
        <v>748</v>
      </c>
      <c r="E247" s="41" t="s">
        <v>97</v>
      </c>
      <c r="F247" s="15" t="n">
        <v>32.77</v>
      </c>
      <c r="G247" s="30" t="s">
        <v>1900</v>
      </c>
      <c r="H247" s="30" t="s">
        <v>1961</v>
      </c>
    </row>
    <row r="248" customFormat="false" ht="32.8" hidden="false" customHeight="false" outlineLevel="0" collapsed="false">
      <c r="A248" s="42" t="n">
        <v>10875</v>
      </c>
      <c r="B248" s="42" t="s">
        <v>852</v>
      </c>
      <c r="C248" s="42" t="s">
        <v>1364</v>
      </c>
      <c r="D248" s="42" t="s">
        <v>1699</v>
      </c>
      <c r="E248" s="42" t="s">
        <v>97</v>
      </c>
      <c r="F248" s="11" t="n">
        <v>32.55</v>
      </c>
      <c r="G248" s="33" t="s">
        <v>1902</v>
      </c>
      <c r="H248" s="33" t="s">
        <v>1962</v>
      </c>
    </row>
    <row r="249" customFormat="false" ht="22.35" hidden="false" customHeight="false" outlineLevel="0" collapsed="false">
      <c r="A249" s="41" t="n">
        <v>10876</v>
      </c>
      <c r="B249" s="41" t="s">
        <v>852</v>
      </c>
      <c r="C249" s="41" t="s">
        <v>1550</v>
      </c>
      <c r="D249" s="41" t="s">
        <v>1699</v>
      </c>
      <c r="E249" s="41" t="s">
        <v>97</v>
      </c>
      <c r="F249" s="15" t="n">
        <v>32.55</v>
      </c>
      <c r="G249" s="30" t="s">
        <v>1963</v>
      </c>
      <c r="H249" s="30" t="s">
        <v>1964</v>
      </c>
    </row>
    <row r="250" customFormat="false" ht="22.35" hidden="false" customHeight="false" outlineLevel="0" collapsed="false">
      <c r="A250" s="42" t="n">
        <v>10877</v>
      </c>
      <c r="B250" s="42" t="s">
        <v>852</v>
      </c>
      <c r="C250" s="42" t="s">
        <v>1536</v>
      </c>
      <c r="D250" s="42" t="s">
        <v>1699</v>
      </c>
      <c r="E250" s="42" t="s">
        <v>97</v>
      </c>
      <c r="F250" s="11" t="n">
        <v>32.55</v>
      </c>
      <c r="G250" s="33" t="s">
        <v>1537</v>
      </c>
      <c r="H250" s="33" t="s">
        <v>1965</v>
      </c>
    </row>
    <row r="251" customFormat="false" ht="32.8" hidden="false" customHeight="false" outlineLevel="0" collapsed="false">
      <c r="A251" s="41" t="n">
        <v>10878</v>
      </c>
      <c r="B251" s="41" t="s">
        <v>852</v>
      </c>
      <c r="C251" s="41" t="s">
        <v>1242</v>
      </c>
      <c r="D251" s="41" t="s">
        <v>1699</v>
      </c>
      <c r="E251" s="41" t="s">
        <v>97</v>
      </c>
      <c r="F251" s="15" t="n">
        <v>32.55</v>
      </c>
      <c r="G251" s="30" t="s">
        <v>1845</v>
      </c>
      <c r="H251" s="30" t="s">
        <v>1847</v>
      </c>
    </row>
    <row r="252" customFormat="false" ht="32.8" hidden="false" customHeight="false" outlineLevel="0" collapsed="false">
      <c r="A252" s="42" t="n">
        <v>10879</v>
      </c>
      <c r="B252" s="42" t="s">
        <v>852</v>
      </c>
      <c r="C252" s="42" t="s">
        <v>1247</v>
      </c>
      <c r="D252" s="42" t="s">
        <v>1699</v>
      </c>
      <c r="E252" s="42" t="s">
        <v>97</v>
      </c>
      <c r="F252" s="11" t="n">
        <v>32.55</v>
      </c>
      <c r="G252" s="33" t="s">
        <v>1848</v>
      </c>
      <c r="H252" s="33" t="s">
        <v>1849</v>
      </c>
    </row>
    <row r="253" customFormat="false" ht="32.8" hidden="false" customHeight="false" outlineLevel="0" collapsed="false">
      <c r="A253" s="41" t="n">
        <v>10880</v>
      </c>
      <c r="B253" s="41" t="s">
        <v>852</v>
      </c>
      <c r="C253" s="41" t="s">
        <v>1470</v>
      </c>
      <c r="D253" s="41" t="s">
        <v>1699</v>
      </c>
      <c r="E253" s="41" t="s">
        <v>97</v>
      </c>
      <c r="F253" s="15" t="n">
        <v>32.55</v>
      </c>
      <c r="G253" s="30" t="s">
        <v>1966</v>
      </c>
      <c r="H253" s="30" t="s">
        <v>1967</v>
      </c>
    </row>
    <row r="254" customFormat="false" ht="32.8" hidden="false" customHeight="false" outlineLevel="0" collapsed="false">
      <c r="A254" s="42" t="n">
        <v>10881</v>
      </c>
      <c r="B254" s="42" t="s">
        <v>852</v>
      </c>
      <c r="C254" s="42" t="s">
        <v>1359</v>
      </c>
      <c r="D254" s="42" t="s">
        <v>1699</v>
      </c>
      <c r="E254" s="42" t="s">
        <v>97</v>
      </c>
      <c r="F254" s="11" t="n">
        <v>32.55</v>
      </c>
      <c r="G254" s="33" t="s">
        <v>1900</v>
      </c>
      <c r="H254" s="33" t="s">
        <v>1968</v>
      </c>
    </row>
    <row r="255" customFormat="false" ht="22.35" hidden="false" customHeight="false" outlineLevel="0" collapsed="false">
      <c r="A255" s="41" t="n">
        <v>10882</v>
      </c>
      <c r="B255" s="41" t="s">
        <v>852</v>
      </c>
      <c r="C255" s="41" t="s">
        <v>978</v>
      </c>
      <c r="D255" s="41" t="s">
        <v>1699</v>
      </c>
      <c r="E255" s="41" t="s">
        <v>97</v>
      </c>
      <c r="F255" s="15" t="n">
        <v>32.55</v>
      </c>
      <c r="G255" s="30" t="s">
        <v>1909</v>
      </c>
      <c r="H255" s="30" t="s">
        <v>1910</v>
      </c>
    </row>
    <row r="256" customFormat="false" ht="22.35" hidden="false" customHeight="false" outlineLevel="0" collapsed="false">
      <c r="A256" s="42" t="n">
        <v>10883</v>
      </c>
      <c r="B256" s="42" t="s">
        <v>852</v>
      </c>
      <c r="C256" s="42" t="s">
        <v>1555</v>
      </c>
      <c r="D256" s="42" t="s">
        <v>1699</v>
      </c>
      <c r="E256" s="42" t="s">
        <v>97</v>
      </c>
      <c r="F256" s="11" t="n">
        <v>32.55</v>
      </c>
      <c r="G256" s="33" t="s">
        <v>1969</v>
      </c>
      <c r="H256" s="33" t="s">
        <v>1970</v>
      </c>
    </row>
    <row r="257" customFormat="false" ht="22.35" hidden="false" customHeight="false" outlineLevel="0" collapsed="false">
      <c r="A257" s="41" t="n">
        <v>10884</v>
      </c>
      <c r="B257" s="41" t="s">
        <v>852</v>
      </c>
      <c r="C257" s="41" t="s">
        <v>1545</v>
      </c>
      <c r="D257" s="41" t="s">
        <v>1699</v>
      </c>
      <c r="E257" s="41" t="s">
        <v>97</v>
      </c>
      <c r="F257" s="15" t="n">
        <v>32.55</v>
      </c>
      <c r="G257" s="30" t="s">
        <v>1971</v>
      </c>
      <c r="H257" s="30" t="s">
        <v>1972</v>
      </c>
    </row>
    <row r="258" customFormat="false" ht="22.35" hidden="false" customHeight="false" outlineLevel="0" collapsed="false">
      <c r="A258" s="42" t="n">
        <v>10885</v>
      </c>
      <c r="B258" s="42" t="s">
        <v>852</v>
      </c>
      <c r="C258" s="42" t="s">
        <v>1271</v>
      </c>
      <c r="D258" s="42" t="s">
        <v>1699</v>
      </c>
      <c r="E258" s="42" t="s">
        <v>97</v>
      </c>
      <c r="F258" s="11" t="n">
        <v>32.55</v>
      </c>
      <c r="G258" s="33" t="s">
        <v>1973</v>
      </c>
      <c r="H258" s="33" t="s">
        <v>1974</v>
      </c>
    </row>
    <row r="259" customFormat="false" ht="22.35" hidden="false" customHeight="false" outlineLevel="0" collapsed="false">
      <c r="A259" s="41" t="n">
        <v>10886</v>
      </c>
      <c r="B259" s="41" t="s">
        <v>852</v>
      </c>
      <c r="C259" s="41" t="s">
        <v>1560</v>
      </c>
      <c r="D259" s="41" t="s">
        <v>1699</v>
      </c>
      <c r="E259" s="41" t="s">
        <v>97</v>
      </c>
      <c r="F259" s="15" t="n">
        <v>32.55</v>
      </c>
      <c r="G259" s="30" t="s">
        <v>1561</v>
      </c>
      <c r="H259" s="30" t="s">
        <v>1975</v>
      </c>
    </row>
    <row r="260" customFormat="false" ht="22.35" hidden="false" customHeight="false" outlineLevel="0" collapsed="false">
      <c r="A260" s="42" t="n">
        <v>10887</v>
      </c>
      <c r="B260" s="42" t="s">
        <v>852</v>
      </c>
      <c r="C260" s="42" t="s">
        <v>1441</v>
      </c>
      <c r="D260" s="42" t="s">
        <v>1699</v>
      </c>
      <c r="E260" s="42" t="s">
        <v>97</v>
      </c>
      <c r="F260" s="11" t="n">
        <v>32.55</v>
      </c>
      <c r="G260" s="33" t="s">
        <v>1976</v>
      </c>
      <c r="H260" s="33" t="s">
        <v>1977</v>
      </c>
    </row>
    <row r="261" customFormat="false" ht="22.35" hidden="false" customHeight="false" outlineLevel="0" collapsed="false">
      <c r="A261" s="41" t="n">
        <v>10888</v>
      </c>
      <c r="B261" s="41" t="s">
        <v>852</v>
      </c>
      <c r="C261" s="41" t="s">
        <v>867</v>
      </c>
      <c r="D261" s="41" t="s">
        <v>1699</v>
      </c>
      <c r="E261" s="41" t="s">
        <v>97</v>
      </c>
      <c r="F261" s="15" t="n">
        <v>32.55</v>
      </c>
      <c r="G261" s="30" t="s">
        <v>1716</v>
      </c>
      <c r="H261" s="30" t="s">
        <v>1719</v>
      </c>
    </row>
    <row r="262" customFormat="false" ht="22.35" hidden="false" customHeight="false" outlineLevel="0" collapsed="false">
      <c r="A262" s="42" t="n">
        <v>10889</v>
      </c>
      <c r="B262" s="42" t="s">
        <v>852</v>
      </c>
      <c r="C262" s="42" t="s">
        <v>1322</v>
      </c>
      <c r="D262" s="42" t="s">
        <v>1699</v>
      </c>
      <c r="E262" s="42" t="s">
        <v>97</v>
      </c>
      <c r="F262" s="11" t="n">
        <v>32.55</v>
      </c>
      <c r="G262" s="33" t="s">
        <v>1519</v>
      </c>
      <c r="H262" s="33" t="s">
        <v>1978</v>
      </c>
    </row>
    <row r="263" customFormat="false" ht="22.35" hidden="false" customHeight="false" outlineLevel="0" collapsed="false">
      <c r="A263" s="41" t="n">
        <v>10890</v>
      </c>
      <c r="B263" s="41" t="s">
        <v>852</v>
      </c>
      <c r="C263" s="41" t="s">
        <v>1565</v>
      </c>
      <c r="D263" s="41" t="s">
        <v>1699</v>
      </c>
      <c r="E263" s="41" t="s">
        <v>97</v>
      </c>
      <c r="F263" s="15" t="n">
        <v>32.55</v>
      </c>
      <c r="G263" s="30" t="s">
        <v>1566</v>
      </c>
      <c r="H263" s="30" t="s">
        <v>1979</v>
      </c>
    </row>
    <row r="264" customFormat="false" ht="22.35" hidden="false" customHeight="false" outlineLevel="0" collapsed="false">
      <c r="A264" s="42" t="n">
        <v>10891</v>
      </c>
      <c r="B264" s="42" t="s">
        <v>852</v>
      </c>
      <c r="C264" s="42" t="s">
        <v>1451</v>
      </c>
      <c r="D264" s="42" t="s">
        <v>1699</v>
      </c>
      <c r="E264" s="42" t="s">
        <v>97</v>
      </c>
      <c r="F264" s="11" t="n">
        <v>32.55</v>
      </c>
      <c r="G264" s="33" t="s">
        <v>1980</v>
      </c>
      <c r="H264" s="33" t="s">
        <v>1981</v>
      </c>
    </row>
    <row r="265" customFormat="false" ht="32.8" hidden="false" customHeight="false" outlineLevel="0" collapsed="false">
      <c r="A265" s="41" t="n">
        <v>10892</v>
      </c>
      <c r="B265" s="41" t="s">
        <v>852</v>
      </c>
      <c r="C265" s="41" t="s">
        <v>1570</v>
      </c>
      <c r="D265" s="41" t="s">
        <v>1699</v>
      </c>
      <c r="E265" s="41" t="s">
        <v>97</v>
      </c>
      <c r="F265" s="15" t="n">
        <v>32.55</v>
      </c>
      <c r="G265" s="30" t="s">
        <v>1982</v>
      </c>
      <c r="H265" s="30" t="s">
        <v>1983</v>
      </c>
    </row>
    <row r="266" customFormat="false" ht="22.35" hidden="false" customHeight="false" outlineLevel="0" collapsed="false">
      <c r="A266" s="42" t="n">
        <v>10893</v>
      </c>
      <c r="B266" s="42" t="s">
        <v>852</v>
      </c>
      <c r="C266" s="42" t="s">
        <v>1408</v>
      </c>
      <c r="D266" s="42" t="s">
        <v>1699</v>
      </c>
      <c r="E266" s="42" t="s">
        <v>97</v>
      </c>
      <c r="F266" s="11" t="n">
        <v>32.55</v>
      </c>
      <c r="G266" s="33" t="s">
        <v>1984</v>
      </c>
      <c r="H266" s="33" t="s">
        <v>1985</v>
      </c>
    </row>
    <row r="267" customFormat="false" ht="22.35" hidden="false" customHeight="false" outlineLevel="0" collapsed="false">
      <c r="A267" s="41" t="n">
        <v>10894</v>
      </c>
      <c r="B267" s="41" t="s">
        <v>852</v>
      </c>
      <c r="C267" s="41" t="s">
        <v>1403</v>
      </c>
      <c r="D267" s="41" t="s">
        <v>1699</v>
      </c>
      <c r="E267" s="41" t="s">
        <v>97</v>
      </c>
      <c r="F267" s="15" t="n">
        <v>32.55</v>
      </c>
      <c r="G267" s="30" t="s">
        <v>1986</v>
      </c>
      <c r="H267" s="30" t="s">
        <v>1987</v>
      </c>
    </row>
    <row r="268" customFormat="false" ht="22.35" hidden="false" customHeight="false" outlineLevel="0" collapsed="false">
      <c r="A268" s="42" t="n">
        <v>10895</v>
      </c>
      <c r="B268" s="42" t="s">
        <v>919</v>
      </c>
      <c r="C268" s="42" t="s">
        <v>1423</v>
      </c>
      <c r="D268" s="42" t="s">
        <v>1736</v>
      </c>
      <c r="E268" s="42" t="s">
        <v>97</v>
      </c>
      <c r="F268" s="11" t="n">
        <v>32.55</v>
      </c>
      <c r="G268" s="33" t="s">
        <v>1957</v>
      </c>
      <c r="H268" s="33" t="s">
        <v>1988</v>
      </c>
    </row>
    <row r="269" customFormat="false" ht="22.35" hidden="false" customHeight="false" outlineLevel="0" collapsed="false">
      <c r="A269" s="41" t="n">
        <v>10896</v>
      </c>
      <c r="B269" s="41" t="s">
        <v>829</v>
      </c>
      <c r="C269" s="41" t="s">
        <v>1418</v>
      </c>
      <c r="D269" s="41" t="s">
        <v>743</v>
      </c>
      <c r="E269" s="41" t="s">
        <v>97</v>
      </c>
      <c r="F269" s="15" t="n">
        <v>32.55</v>
      </c>
      <c r="G269" s="30" t="s">
        <v>1419</v>
      </c>
      <c r="H269" s="30" t="s">
        <v>1989</v>
      </c>
    </row>
    <row r="270" customFormat="false" ht="22.35" hidden="false" customHeight="false" outlineLevel="0" collapsed="false">
      <c r="A270" s="42" t="n">
        <v>11048</v>
      </c>
      <c r="B270" s="42" t="s">
        <v>852</v>
      </c>
      <c r="C270" s="42" t="s">
        <v>1446</v>
      </c>
      <c r="D270" s="42" t="s">
        <v>1699</v>
      </c>
      <c r="E270" s="42" t="s">
        <v>97</v>
      </c>
      <c r="F270" s="11" t="n">
        <v>31.5</v>
      </c>
      <c r="G270" s="33" t="s">
        <v>1955</v>
      </c>
      <c r="H270" s="33" t="s">
        <v>1990</v>
      </c>
    </row>
    <row r="271" customFormat="false" ht="22.35" hidden="false" customHeight="false" outlineLevel="0" collapsed="false">
      <c r="A271" s="41" t="n">
        <v>11049</v>
      </c>
      <c r="B271" s="41" t="s">
        <v>852</v>
      </c>
      <c r="C271" s="41" t="s">
        <v>885</v>
      </c>
      <c r="D271" s="41" t="s">
        <v>1699</v>
      </c>
      <c r="E271" s="41" t="s">
        <v>97</v>
      </c>
      <c r="F271" s="15" t="n">
        <v>31.5</v>
      </c>
      <c r="G271" s="30" t="s">
        <v>1722</v>
      </c>
      <c r="H271" s="30" t="s">
        <v>1765</v>
      </c>
    </row>
    <row r="272" customFormat="false" ht="22.35" hidden="false" customHeight="false" outlineLevel="0" collapsed="false">
      <c r="A272" s="42" t="n">
        <v>11148</v>
      </c>
      <c r="B272" s="42" t="s">
        <v>877</v>
      </c>
      <c r="C272" s="42" t="s">
        <v>1003</v>
      </c>
      <c r="D272" s="42" t="s">
        <v>748</v>
      </c>
      <c r="E272" s="42" t="s">
        <v>97</v>
      </c>
      <c r="F272" s="11" t="n">
        <v>30.63</v>
      </c>
      <c r="G272" s="33" t="s">
        <v>1004</v>
      </c>
      <c r="H272" s="33" t="s">
        <v>1769</v>
      </c>
    </row>
    <row r="273" customFormat="false" ht="32.8" hidden="false" customHeight="false" outlineLevel="0" collapsed="false">
      <c r="A273" s="41" t="n">
        <v>11154</v>
      </c>
      <c r="B273" s="41" t="s">
        <v>852</v>
      </c>
      <c r="C273" s="41" t="s">
        <v>1066</v>
      </c>
      <c r="D273" s="41" t="s">
        <v>1699</v>
      </c>
      <c r="E273" s="41" t="s">
        <v>97</v>
      </c>
      <c r="F273" s="15" t="n">
        <v>30.45</v>
      </c>
      <c r="G273" s="30" t="s">
        <v>1766</v>
      </c>
      <c r="H273" s="30" t="s">
        <v>1991</v>
      </c>
    </row>
    <row r="274" customFormat="false" ht="32.8" hidden="false" customHeight="false" outlineLevel="0" collapsed="false">
      <c r="A274" s="42" t="n">
        <v>11155</v>
      </c>
      <c r="B274" s="42" t="s">
        <v>829</v>
      </c>
      <c r="C274" s="42" t="s">
        <v>855</v>
      </c>
      <c r="D274" s="42" t="s">
        <v>743</v>
      </c>
      <c r="E274" s="42" t="s">
        <v>97</v>
      </c>
      <c r="F274" s="11" t="n">
        <v>30.45</v>
      </c>
      <c r="G274" s="33" t="s">
        <v>1705</v>
      </c>
      <c r="H274" s="33" t="s">
        <v>1905</v>
      </c>
    </row>
    <row r="275" customFormat="false" ht="22.35" hidden="false" customHeight="false" outlineLevel="0" collapsed="false">
      <c r="A275" s="41" t="n">
        <v>11156</v>
      </c>
      <c r="B275" s="41" t="s">
        <v>829</v>
      </c>
      <c r="C275" s="41" t="s">
        <v>1105</v>
      </c>
      <c r="D275" s="41" t="s">
        <v>743</v>
      </c>
      <c r="E275" s="41" t="s">
        <v>97</v>
      </c>
      <c r="F275" s="15" t="n">
        <v>30.45</v>
      </c>
      <c r="G275" s="30" t="s">
        <v>1106</v>
      </c>
      <c r="H275" s="30" t="s">
        <v>1992</v>
      </c>
    </row>
    <row r="276" customFormat="false" ht="32.8" hidden="false" customHeight="false" outlineLevel="0" collapsed="false">
      <c r="A276" s="42" t="n">
        <v>11167</v>
      </c>
      <c r="B276" s="42" t="s">
        <v>823</v>
      </c>
      <c r="C276" s="42" t="s">
        <v>855</v>
      </c>
      <c r="D276" s="42" t="s">
        <v>1689</v>
      </c>
      <c r="E276" s="42" t="s">
        <v>97</v>
      </c>
      <c r="F276" s="11" t="n">
        <v>30.45</v>
      </c>
      <c r="G276" s="33" t="s">
        <v>1705</v>
      </c>
      <c r="H276" s="33" t="s">
        <v>1720</v>
      </c>
    </row>
    <row r="277" customFormat="false" ht="22.35" hidden="false" customHeight="false" outlineLevel="0" collapsed="false">
      <c r="A277" s="41" t="n">
        <v>11168</v>
      </c>
      <c r="B277" s="41" t="s">
        <v>823</v>
      </c>
      <c r="C277" s="41" t="s">
        <v>1105</v>
      </c>
      <c r="D277" s="41" t="s">
        <v>1689</v>
      </c>
      <c r="E277" s="41" t="s">
        <v>97</v>
      </c>
      <c r="F277" s="15" t="n">
        <v>30.45</v>
      </c>
      <c r="G277" s="30" t="s">
        <v>1106</v>
      </c>
      <c r="H277" s="30" t="s">
        <v>1993</v>
      </c>
    </row>
    <row r="278" customFormat="false" ht="32.8" hidden="false" customHeight="false" outlineLevel="0" collapsed="false">
      <c r="A278" s="42" t="n">
        <v>11170</v>
      </c>
      <c r="B278" s="42" t="s">
        <v>852</v>
      </c>
      <c r="C278" s="42" t="s">
        <v>1359</v>
      </c>
      <c r="D278" s="42" t="s">
        <v>1699</v>
      </c>
      <c r="E278" s="42" t="s">
        <v>97</v>
      </c>
      <c r="F278" s="11" t="n">
        <v>30.35</v>
      </c>
      <c r="G278" s="33" t="s">
        <v>1900</v>
      </c>
      <c r="H278" s="33" t="s">
        <v>1968</v>
      </c>
    </row>
    <row r="279" customFormat="false" ht="22.35" hidden="false" customHeight="false" outlineLevel="0" collapsed="false">
      <c r="A279" s="41" t="n">
        <v>11176</v>
      </c>
      <c r="B279" s="41" t="s">
        <v>829</v>
      </c>
      <c r="C279" s="41" t="s">
        <v>1170</v>
      </c>
      <c r="D279" s="41" t="s">
        <v>743</v>
      </c>
      <c r="E279" s="41" t="s">
        <v>97</v>
      </c>
      <c r="F279" s="15" t="n">
        <v>30.15</v>
      </c>
      <c r="G279" s="30" t="s">
        <v>1912</v>
      </c>
      <c r="H279" s="30" t="s">
        <v>1994</v>
      </c>
    </row>
    <row r="280" customFormat="false" ht="43.25" hidden="false" customHeight="false" outlineLevel="0" collapsed="false">
      <c r="A280" s="42" t="n">
        <v>11179</v>
      </c>
      <c r="B280" s="42" t="s">
        <v>823</v>
      </c>
      <c r="C280" s="42" t="s">
        <v>1027</v>
      </c>
      <c r="D280" s="42" t="s">
        <v>1689</v>
      </c>
      <c r="E280" s="42" t="s">
        <v>97</v>
      </c>
      <c r="F280" s="11" t="n">
        <v>30.06</v>
      </c>
      <c r="G280" s="33" t="s">
        <v>1857</v>
      </c>
      <c r="H280" s="33" t="s">
        <v>1858</v>
      </c>
    </row>
    <row r="281" customFormat="false" ht="32.8" hidden="false" customHeight="false" outlineLevel="0" collapsed="false">
      <c r="A281" s="41" t="n">
        <v>11183</v>
      </c>
      <c r="B281" s="41" t="s">
        <v>823</v>
      </c>
      <c r="C281" s="41" t="s">
        <v>897</v>
      </c>
      <c r="D281" s="41" t="s">
        <v>1689</v>
      </c>
      <c r="E281" s="41" t="s">
        <v>97</v>
      </c>
      <c r="F281" s="15" t="n">
        <v>29.95</v>
      </c>
      <c r="G281" s="30" t="s">
        <v>1731</v>
      </c>
      <c r="H281" s="30" t="s">
        <v>1732</v>
      </c>
    </row>
    <row r="282" customFormat="false" ht="22.35" hidden="false" customHeight="false" outlineLevel="0" collapsed="false">
      <c r="A282" s="42" t="n">
        <v>11192</v>
      </c>
      <c r="B282" s="42" t="s">
        <v>877</v>
      </c>
      <c r="C282" s="42" t="s">
        <v>1403</v>
      </c>
      <c r="D282" s="42" t="s">
        <v>748</v>
      </c>
      <c r="E282" s="42" t="s">
        <v>97</v>
      </c>
      <c r="F282" s="11" t="n">
        <v>29.69</v>
      </c>
      <c r="G282" s="33" t="s">
        <v>1986</v>
      </c>
      <c r="H282" s="33" t="s">
        <v>1995</v>
      </c>
    </row>
    <row r="283" customFormat="false" ht="32.8" hidden="false" customHeight="false" outlineLevel="0" collapsed="false">
      <c r="A283" s="41" t="n">
        <v>11195</v>
      </c>
      <c r="B283" s="41" t="s">
        <v>919</v>
      </c>
      <c r="C283" s="41" t="s">
        <v>1398</v>
      </c>
      <c r="D283" s="41" t="s">
        <v>1736</v>
      </c>
      <c r="E283" s="41" t="s">
        <v>97</v>
      </c>
      <c r="F283" s="15" t="n">
        <v>29.55</v>
      </c>
      <c r="G283" s="30" t="s">
        <v>1937</v>
      </c>
      <c r="H283" s="30" t="s">
        <v>1996</v>
      </c>
    </row>
    <row r="284" customFormat="false" ht="32.8" hidden="false" customHeight="false" outlineLevel="0" collapsed="false">
      <c r="A284" s="42" t="n">
        <v>11200</v>
      </c>
      <c r="B284" s="42" t="s">
        <v>877</v>
      </c>
      <c r="C284" s="42" t="s">
        <v>1364</v>
      </c>
      <c r="D284" s="42" t="s">
        <v>748</v>
      </c>
      <c r="E284" s="42" t="s">
        <v>97</v>
      </c>
      <c r="F284" s="11" t="n">
        <v>29.4</v>
      </c>
      <c r="G284" s="33" t="s">
        <v>1902</v>
      </c>
      <c r="H284" s="33" t="s">
        <v>1997</v>
      </c>
    </row>
    <row r="285" customFormat="false" ht="22.35" hidden="false" customHeight="false" outlineLevel="0" collapsed="false">
      <c r="A285" s="41" t="n">
        <v>11201</v>
      </c>
      <c r="B285" s="41" t="s">
        <v>877</v>
      </c>
      <c r="C285" s="41" t="s">
        <v>1550</v>
      </c>
      <c r="D285" s="41" t="s">
        <v>748</v>
      </c>
      <c r="E285" s="41" t="s">
        <v>97</v>
      </c>
      <c r="F285" s="15" t="n">
        <v>29.4</v>
      </c>
      <c r="G285" s="30" t="s">
        <v>1963</v>
      </c>
      <c r="H285" s="30" t="s">
        <v>1998</v>
      </c>
    </row>
    <row r="286" customFormat="false" ht="22.35" hidden="false" customHeight="false" outlineLevel="0" collapsed="false">
      <c r="A286" s="42" t="n">
        <v>11202</v>
      </c>
      <c r="B286" s="42" t="s">
        <v>877</v>
      </c>
      <c r="C286" s="42" t="s">
        <v>1536</v>
      </c>
      <c r="D286" s="42" t="s">
        <v>748</v>
      </c>
      <c r="E286" s="42" t="s">
        <v>97</v>
      </c>
      <c r="F286" s="11" t="n">
        <v>29.4</v>
      </c>
      <c r="G286" s="33" t="s">
        <v>1537</v>
      </c>
      <c r="H286" s="33" t="s">
        <v>1999</v>
      </c>
    </row>
    <row r="287" customFormat="false" ht="32.8" hidden="false" customHeight="false" outlineLevel="0" collapsed="false">
      <c r="A287" s="41" t="n">
        <v>11203</v>
      </c>
      <c r="B287" s="41" t="s">
        <v>877</v>
      </c>
      <c r="C287" s="41" t="s">
        <v>1242</v>
      </c>
      <c r="D287" s="41" t="s">
        <v>748</v>
      </c>
      <c r="E287" s="41" t="s">
        <v>97</v>
      </c>
      <c r="F287" s="15" t="n">
        <v>29.4</v>
      </c>
      <c r="G287" s="30" t="s">
        <v>1845</v>
      </c>
      <c r="H287" s="30" t="s">
        <v>1882</v>
      </c>
    </row>
    <row r="288" customFormat="false" ht="32.8" hidden="false" customHeight="false" outlineLevel="0" collapsed="false">
      <c r="A288" s="42" t="n">
        <v>11204</v>
      </c>
      <c r="B288" s="42" t="s">
        <v>877</v>
      </c>
      <c r="C288" s="42" t="s">
        <v>1247</v>
      </c>
      <c r="D288" s="42" t="s">
        <v>748</v>
      </c>
      <c r="E288" s="42" t="s">
        <v>97</v>
      </c>
      <c r="F288" s="11" t="n">
        <v>29.4</v>
      </c>
      <c r="G288" s="33" t="s">
        <v>1848</v>
      </c>
      <c r="H288" s="33" t="s">
        <v>2000</v>
      </c>
    </row>
    <row r="289" customFormat="false" ht="32.8" hidden="false" customHeight="false" outlineLevel="0" collapsed="false">
      <c r="A289" s="41" t="n">
        <v>11205</v>
      </c>
      <c r="B289" s="41" t="s">
        <v>877</v>
      </c>
      <c r="C289" s="41" t="s">
        <v>1470</v>
      </c>
      <c r="D289" s="41" t="s">
        <v>748</v>
      </c>
      <c r="E289" s="41" t="s">
        <v>97</v>
      </c>
      <c r="F289" s="15" t="n">
        <v>29.4</v>
      </c>
      <c r="G289" s="30" t="s">
        <v>1966</v>
      </c>
      <c r="H289" s="30" t="s">
        <v>2001</v>
      </c>
    </row>
    <row r="290" customFormat="false" ht="32.8" hidden="false" customHeight="false" outlineLevel="0" collapsed="false">
      <c r="A290" s="42" t="n">
        <v>11206</v>
      </c>
      <c r="B290" s="42" t="s">
        <v>877</v>
      </c>
      <c r="C290" s="42" t="s">
        <v>1359</v>
      </c>
      <c r="D290" s="42" t="s">
        <v>748</v>
      </c>
      <c r="E290" s="42" t="s">
        <v>97</v>
      </c>
      <c r="F290" s="11" t="n">
        <v>29.4</v>
      </c>
      <c r="G290" s="33" t="s">
        <v>1900</v>
      </c>
      <c r="H290" s="33" t="s">
        <v>1961</v>
      </c>
    </row>
    <row r="291" customFormat="false" ht="22.35" hidden="false" customHeight="false" outlineLevel="0" collapsed="false">
      <c r="A291" s="41" t="n">
        <v>11207</v>
      </c>
      <c r="B291" s="41" t="s">
        <v>877</v>
      </c>
      <c r="C291" s="41" t="s">
        <v>978</v>
      </c>
      <c r="D291" s="41" t="s">
        <v>748</v>
      </c>
      <c r="E291" s="41" t="s">
        <v>97</v>
      </c>
      <c r="F291" s="15" t="n">
        <v>29.4</v>
      </c>
      <c r="G291" s="30" t="s">
        <v>1909</v>
      </c>
      <c r="H291" s="30" t="s">
        <v>1942</v>
      </c>
    </row>
    <row r="292" customFormat="false" ht="22.35" hidden="false" customHeight="false" outlineLevel="0" collapsed="false">
      <c r="A292" s="42" t="n">
        <v>11208</v>
      </c>
      <c r="B292" s="42" t="s">
        <v>877</v>
      </c>
      <c r="C292" s="42" t="s">
        <v>1555</v>
      </c>
      <c r="D292" s="42" t="s">
        <v>748</v>
      </c>
      <c r="E292" s="42" t="s">
        <v>97</v>
      </c>
      <c r="F292" s="11" t="n">
        <v>29.4</v>
      </c>
      <c r="G292" s="33" t="s">
        <v>1969</v>
      </c>
      <c r="H292" s="33" t="s">
        <v>2002</v>
      </c>
    </row>
    <row r="293" customFormat="false" ht="22.35" hidden="false" customHeight="false" outlineLevel="0" collapsed="false">
      <c r="A293" s="41" t="n">
        <v>11209</v>
      </c>
      <c r="B293" s="41" t="s">
        <v>877</v>
      </c>
      <c r="C293" s="41" t="s">
        <v>1545</v>
      </c>
      <c r="D293" s="41" t="s">
        <v>748</v>
      </c>
      <c r="E293" s="41" t="s">
        <v>97</v>
      </c>
      <c r="F293" s="15" t="n">
        <v>29.4</v>
      </c>
      <c r="G293" s="30" t="s">
        <v>1971</v>
      </c>
      <c r="H293" s="30" t="s">
        <v>2003</v>
      </c>
    </row>
    <row r="294" customFormat="false" ht="22.35" hidden="false" customHeight="false" outlineLevel="0" collapsed="false">
      <c r="A294" s="42" t="n">
        <v>11210</v>
      </c>
      <c r="B294" s="42" t="s">
        <v>877</v>
      </c>
      <c r="C294" s="42" t="s">
        <v>1271</v>
      </c>
      <c r="D294" s="42" t="s">
        <v>748</v>
      </c>
      <c r="E294" s="42" t="s">
        <v>97</v>
      </c>
      <c r="F294" s="11" t="n">
        <v>29.4</v>
      </c>
      <c r="G294" s="33" t="s">
        <v>1973</v>
      </c>
      <c r="H294" s="33" t="s">
        <v>2004</v>
      </c>
    </row>
    <row r="295" customFormat="false" ht="22.35" hidden="false" customHeight="false" outlineLevel="0" collapsed="false">
      <c r="A295" s="41" t="n">
        <v>11211</v>
      </c>
      <c r="B295" s="41" t="s">
        <v>877</v>
      </c>
      <c r="C295" s="41" t="s">
        <v>1560</v>
      </c>
      <c r="D295" s="41" t="s">
        <v>748</v>
      </c>
      <c r="E295" s="41" t="s">
        <v>97</v>
      </c>
      <c r="F295" s="15" t="n">
        <v>29.4</v>
      </c>
      <c r="G295" s="30" t="s">
        <v>1561</v>
      </c>
      <c r="H295" s="30" t="s">
        <v>2005</v>
      </c>
    </row>
    <row r="296" customFormat="false" ht="22.35" hidden="false" customHeight="false" outlineLevel="0" collapsed="false">
      <c r="A296" s="42" t="n">
        <v>11212</v>
      </c>
      <c r="B296" s="42" t="s">
        <v>877</v>
      </c>
      <c r="C296" s="42" t="s">
        <v>1418</v>
      </c>
      <c r="D296" s="42" t="s">
        <v>748</v>
      </c>
      <c r="E296" s="42" t="s">
        <v>97</v>
      </c>
      <c r="F296" s="11" t="n">
        <v>29.4</v>
      </c>
      <c r="G296" s="33" t="s">
        <v>1419</v>
      </c>
      <c r="H296" s="33" t="s">
        <v>2006</v>
      </c>
    </row>
    <row r="297" customFormat="false" ht="22.35" hidden="false" customHeight="false" outlineLevel="0" collapsed="false">
      <c r="A297" s="41" t="n">
        <v>11213</v>
      </c>
      <c r="B297" s="41" t="s">
        <v>877</v>
      </c>
      <c r="C297" s="41" t="s">
        <v>1441</v>
      </c>
      <c r="D297" s="41" t="s">
        <v>748</v>
      </c>
      <c r="E297" s="41" t="s">
        <v>97</v>
      </c>
      <c r="F297" s="15" t="n">
        <v>29.4</v>
      </c>
      <c r="G297" s="30" t="s">
        <v>1976</v>
      </c>
      <c r="H297" s="30" t="s">
        <v>2007</v>
      </c>
    </row>
    <row r="298" customFormat="false" ht="22.35" hidden="false" customHeight="false" outlineLevel="0" collapsed="false">
      <c r="A298" s="42" t="n">
        <v>11214</v>
      </c>
      <c r="B298" s="42" t="s">
        <v>877</v>
      </c>
      <c r="C298" s="42" t="s">
        <v>867</v>
      </c>
      <c r="D298" s="42" t="s">
        <v>748</v>
      </c>
      <c r="E298" s="42" t="s">
        <v>97</v>
      </c>
      <c r="F298" s="11" t="n">
        <v>29.4</v>
      </c>
      <c r="G298" s="33" t="s">
        <v>1716</v>
      </c>
      <c r="H298" s="33" t="s">
        <v>1721</v>
      </c>
    </row>
    <row r="299" customFormat="false" ht="22.35" hidden="false" customHeight="false" outlineLevel="0" collapsed="false">
      <c r="A299" s="41" t="n">
        <v>11215</v>
      </c>
      <c r="B299" s="41" t="s">
        <v>877</v>
      </c>
      <c r="C299" s="41" t="s">
        <v>1322</v>
      </c>
      <c r="D299" s="41" t="s">
        <v>748</v>
      </c>
      <c r="E299" s="41" t="s">
        <v>97</v>
      </c>
      <c r="F299" s="15" t="n">
        <v>29.4</v>
      </c>
      <c r="G299" s="30" t="s">
        <v>1519</v>
      </c>
      <c r="H299" s="30" t="s">
        <v>2008</v>
      </c>
    </row>
    <row r="300" customFormat="false" ht="22.35" hidden="false" customHeight="false" outlineLevel="0" collapsed="false">
      <c r="A300" s="42" t="n">
        <v>11216</v>
      </c>
      <c r="B300" s="42" t="s">
        <v>877</v>
      </c>
      <c r="C300" s="42" t="s">
        <v>1565</v>
      </c>
      <c r="D300" s="42" t="s">
        <v>748</v>
      </c>
      <c r="E300" s="42" t="s">
        <v>97</v>
      </c>
      <c r="F300" s="11" t="n">
        <v>29.4</v>
      </c>
      <c r="G300" s="33" t="s">
        <v>1566</v>
      </c>
      <c r="H300" s="33" t="s">
        <v>2009</v>
      </c>
    </row>
    <row r="301" customFormat="false" ht="22.35" hidden="false" customHeight="false" outlineLevel="0" collapsed="false">
      <c r="A301" s="41" t="n">
        <v>11217</v>
      </c>
      <c r="B301" s="41" t="s">
        <v>877</v>
      </c>
      <c r="C301" s="41" t="s">
        <v>1451</v>
      </c>
      <c r="D301" s="41" t="s">
        <v>748</v>
      </c>
      <c r="E301" s="41" t="s">
        <v>97</v>
      </c>
      <c r="F301" s="15" t="n">
        <v>29.4</v>
      </c>
      <c r="G301" s="30" t="s">
        <v>1980</v>
      </c>
      <c r="H301" s="30" t="s">
        <v>2010</v>
      </c>
    </row>
    <row r="302" customFormat="false" ht="32.8" hidden="false" customHeight="false" outlineLevel="0" collapsed="false">
      <c r="A302" s="42" t="n">
        <v>11218</v>
      </c>
      <c r="B302" s="42" t="s">
        <v>877</v>
      </c>
      <c r="C302" s="42" t="s">
        <v>1570</v>
      </c>
      <c r="D302" s="42" t="s">
        <v>748</v>
      </c>
      <c r="E302" s="42" t="s">
        <v>97</v>
      </c>
      <c r="F302" s="11" t="n">
        <v>29.4</v>
      </c>
      <c r="G302" s="33" t="s">
        <v>1982</v>
      </c>
      <c r="H302" s="33" t="s">
        <v>2011</v>
      </c>
    </row>
    <row r="303" customFormat="false" ht="22.35" hidden="false" customHeight="false" outlineLevel="0" collapsed="false">
      <c r="A303" s="41" t="n">
        <v>11219</v>
      </c>
      <c r="B303" s="41" t="s">
        <v>877</v>
      </c>
      <c r="C303" s="41" t="s">
        <v>1408</v>
      </c>
      <c r="D303" s="41" t="s">
        <v>748</v>
      </c>
      <c r="E303" s="41" t="s">
        <v>97</v>
      </c>
      <c r="F303" s="15" t="n">
        <v>29.4</v>
      </c>
      <c r="G303" s="30" t="s">
        <v>1984</v>
      </c>
      <c r="H303" s="30" t="s">
        <v>2012</v>
      </c>
    </row>
    <row r="304" customFormat="false" ht="22.35" hidden="false" customHeight="false" outlineLevel="0" collapsed="false">
      <c r="A304" s="42" t="n">
        <v>11220</v>
      </c>
      <c r="B304" s="42" t="s">
        <v>877</v>
      </c>
      <c r="C304" s="42" t="s">
        <v>1403</v>
      </c>
      <c r="D304" s="42" t="s">
        <v>748</v>
      </c>
      <c r="E304" s="42" t="s">
        <v>97</v>
      </c>
      <c r="F304" s="11" t="n">
        <v>29.4</v>
      </c>
      <c r="G304" s="33" t="s">
        <v>1986</v>
      </c>
      <c r="H304" s="33" t="s">
        <v>1995</v>
      </c>
    </row>
    <row r="305" customFormat="false" ht="22.35" hidden="false" customHeight="false" outlineLevel="0" collapsed="false">
      <c r="A305" s="41" t="n">
        <v>11221</v>
      </c>
      <c r="B305" s="41" t="s">
        <v>877</v>
      </c>
      <c r="C305" s="41" t="s">
        <v>912</v>
      </c>
      <c r="D305" s="41" t="s">
        <v>748</v>
      </c>
      <c r="E305" s="41" t="s">
        <v>97</v>
      </c>
      <c r="F305" s="15" t="n">
        <v>29.4</v>
      </c>
      <c r="G305" s="30" t="s">
        <v>913</v>
      </c>
      <c r="H305" s="30" t="s">
        <v>1718</v>
      </c>
    </row>
    <row r="306" customFormat="false" ht="22.35" hidden="false" customHeight="false" outlineLevel="0" collapsed="false">
      <c r="A306" s="42" t="n">
        <v>11222</v>
      </c>
      <c r="B306" s="42" t="s">
        <v>829</v>
      </c>
      <c r="C306" s="42" t="s">
        <v>1140</v>
      </c>
      <c r="D306" s="42" t="s">
        <v>743</v>
      </c>
      <c r="E306" s="42" t="s">
        <v>97</v>
      </c>
      <c r="F306" s="11" t="n">
        <v>29.4</v>
      </c>
      <c r="G306" s="33" t="s">
        <v>1141</v>
      </c>
      <c r="H306" s="33" t="s">
        <v>2013</v>
      </c>
    </row>
    <row r="307" customFormat="false" ht="22.35" hidden="false" customHeight="false" outlineLevel="0" collapsed="false">
      <c r="A307" s="41" t="n">
        <v>11223</v>
      </c>
      <c r="B307" s="41" t="s">
        <v>829</v>
      </c>
      <c r="C307" s="41" t="s">
        <v>872</v>
      </c>
      <c r="D307" s="41" t="s">
        <v>743</v>
      </c>
      <c r="E307" s="41" t="s">
        <v>97</v>
      </c>
      <c r="F307" s="15" t="n">
        <v>29.4</v>
      </c>
      <c r="G307" s="30" t="s">
        <v>1710</v>
      </c>
      <c r="H307" s="30" t="s">
        <v>1801</v>
      </c>
    </row>
    <row r="308" customFormat="false" ht="22.35" hidden="false" customHeight="false" outlineLevel="0" collapsed="false">
      <c r="A308" s="42" t="n">
        <v>11224</v>
      </c>
      <c r="B308" s="42" t="s">
        <v>829</v>
      </c>
      <c r="C308" s="42" t="s">
        <v>1446</v>
      </c>
      <c r="D308" s="42" t="s">
        <v>743</v>
      </c>
      <c r="E308" s="42" t="s">
        <v>97</v>
      </c>
      <c r="F308" s="11" t="n">
        <v>29.4</v>
      </c>
      <c r="G308" s="33" t="s">
        <v>1955</v>
      </c>
      <c r="H308" s="33" t="s">
        <v>2014</v>
      </c>
    </row>
    <row r="309" customFormat="false" ht="22.35" hidden="false" customHeight="false" outlineLevel="0" collapsed="false">
      <c r="A309" s="41" t="n">
        <v>11229</v>
      </c>
      <c r="B309" s="41" t="s">
        <v>823</v>
      </c>
      <c r="C309" s="41" t="s">
        <v>1140</v>
      </c>
      <c r="D309" s="41" t="s">
        <v>1689</v>
      </c>
      <c r="E309" s="41" t="s">
        <v>97</v>
      </c>
      <c r="F309" s="15" t="n">
        <v>29.4</v>
      </c>
      <c r="G309" s="30" t="s">
        <v>1141</v>
      </c>
      <c r="H309" s="30" t="s">
        <v>2015</v>
      </c>
    </row>
    <row r="310" customFormat="false" ht="32.8" hidden="false" customHeight="false" outlineLevel="0" collapsed="false">
      <c r="A310" s="42" t="n">
        <v>11230</v>
      </c>
      <c r="B310" s="42" t="s">
        <v>823</v>
      </c>
      <c r="C310" s="42" t="s">
        <v>1076</v>
      </c>
      <c r="D310" s="42" t="s">
        <v>1689</v>
      </c>
      <c r="E310" s="42" t="s">
        <v>97</v>
      </c>
      <c r="F310" s="11" t="n">
        <v>29.4</v>
      </c>
      <c r="G310" s="33" t="s">
        <v>1871</v>
      </c>
      <c r="H310" s="33" t="s">
        <v>2016</v>
      </c>
    </row>
    <row r="311" customFormat="false" ht="22.35" hidden="false" customHeight="false" outlineLevel="0" collapsed="false">
      <c r="A311" s="41" t="n">
        <v>11242</v>
      </c>
      <c r="B311" s="41" t="s">
        <v>823</v>
      </c>
      <c r="C311" s="41" t="s">
        <v>1456</v>
      </c>
      <c r="D311" s="41" t="s">
        <v>1689</v>
      </c>
      <c r="E311" s="41" t="s">
        <v>97</v>
      </c>
      <c r="F311" s="15" t="n">
        <v>29.16</v>
      </c>
      <c r="G311" s="30" t="s">
        <v>1457</v>
      </c>
      <c r="H311" s="30" t="s">
        <v>2017</v>
      </c>
    </row>
    <row r="312" customFormat="false" ht="22.35" hidden="false" customHeight="false" outlineLevel="0" collapsed="false">
      <c r="A312" s="42" t="n">
        <v>11319</v>
      </c>
      <c r="B312" s="42" t="s">
        <v>823</v>
      </c>
      <c r="C312" s="42" t="s">
        <v>872</v>
      </c>
      <c r="D312" s="42" t="s">
        <v>1689</v>
      </c>
      <c r="E312" s="42" t="s">
        <v>97</v>
      </c>
      <c r="F312" s="11" t="n">
        <v>28.35</v>
      </c>
      <c r="G312" s="33" t="s">
        <v>1710</v>
      </c>
      <c r="H312" s="33" t="s">
        <v>1743</v>
      </c>
    </row>
    <row r="313" customFormat="false" ht="22.35" hidden="false" customHeight="false" outlineLevel="0" collapsed="false">
      <c r="A313" s="41" t="n">
        <v>11320</v>
      </c>
      <c r="B313" s="41" t="s">
        <v>823</v>
      </c>
      <c r="C313" s="41" t="s">
        <v>824</v>
      </c>
      <c r="D313" s="41" t="s">
        <v>1689</v>
      </c>
      <c r="E313" s="41" t="s">
        <v>97</v>
      </c>
      <c r="F313" s="15" t="n">
        <v>28.35</v>
      </c>
      <c r="G313" s="30" t="s">
        <v>1690</v>
      </c>
      <c r="H313" s="30" t="s">
        <v>1704</v>
      </c>
    </row>
    <row r="314" customFormat="false" ht="22.35" hidden="false" customHeight="false" outlineLevel="0" collapsed="false">
      <c r="A314" s="42" t="n">
        <v>11325</v>
      </c>
      <c r="B314" s="42" t="s">
        <v>829</v>
      </c>
      <c r="C314" s="42" t="s">
        <v>912</v>
      </c>
      <c r="D314" s="42" t="s">
        <v>743</v>
      </c>
      <c r="E314" s="42" t="s">
        <v>97</v>
      </c>
      <c r="F314" s="11" t="n">
        <v>28.25</v>
      </c>
      <c r="G314" s="33" t="s">
        <v>913</v>
      </c>
      <c r="H314" s="33" t="s">
        <v>1730</v>
      </c>
    </row>
    <row r="315" customFormat="false" ht="32.8" hidden="false" customHeight="false" outlineLevel="0" collapsed="false">
      <c r="A315" s="41" t="n">
        <v>11337</v>
      </c>
      <c r="B315" s="41" t="s">
        <v>919</v>
      </c>
      <c r="C315" s="41" t="s">
        <v>1032</v>
      </c>
      <c r="D315" s="41" t="s">
        <v>1736</v>
      </c>
      <c r="E315" s="41" t="s">
        <v>97</v>
      </c>
      <c r="F315" s="15" t="n">
        <v>28.16</v>
      </c>
      <c r="G315" s="30" t="s">
        <v>1750</v>
      </c>
      <c r="H315" s="30" t="s">
        <v>1751</v>
      </c>
    </row>
    <row r="316" customFormat="false" ht="22.35" hidden="false" customHeight="false" outlineLevel="0" collapsed="false">
      <c r="A316" s="42" t="n">
        <v>11556</v>
      </c>
      <c r="B316" s="42" t="s">
        <v>823</v>
      </c>
      <c r="C316" s="42" t="s">
        <v>978</v>
      </c>
      <c r="D316" s="42" t="s">
        <v>1689</v>
      </c>
      <c r="E316" s="42" t="s">
        <v>97</v>
      </c>
      <c r="F316" s="11" t="n">
        <v>27.28</v>
      </c>
      <c r="G316" s="33" t="s">
        <v>1909</v>
      </c>
      <c r="H316" s="33" t="s">
        <v>1930</v>
      </c>
    </row>
    <row r="317" customFormat="false" ht="22.35" hidden="false" customHeight="false" outlineLevel="0" collapsed="false">
      <c r="A317" s="41" t="n">
        <v>11557</v>
      </c>
      <c r="B317" s="41" t="s">
        <v>823</v>
      </c>
      <c r="C317" s="41" t="s">
        <v>1271</v>
      </c>
      <c r="D317" s="41" t="s">
        <v>1689</v>
      </c>
      <c r="E317" s="41" t="s">
        <v>97</v>
      </c>
      <c r="F317" s="15" t="n">
        <v>27.28</v>
      </c>
      <c r="G317" s="30" t="s">
        <v>1973</v>
      </c>
      <c r="H317" s="30" t="s">
        <v>2018</v>
      </c>
    </row>
    <row r="318" customFormat="false" ht="22.35" hidden="false" customHeight="false" outlineLevel="0" collapsed="false">
      <c r="A318" s="42" t="n">
        <v>11558</v>
      </c>
      <c r="B318" s="42" t="s">
        <v>823</v>
      </c>
      <c r="C318" s="42" t="s">
        <v>1418</v>
      </c>
      <c r="D318" s="42" t="s">
        <v>1689</v>
      </c>
      <c r="E318" s="42" t="s">
        <v>97</v>
      </c>
      <c r="F318" s="11" t="n">
        <v>27.28</v>
      </c>
      <c r="G318" s="33" t="s">
        <v>1419</v>
      </c>
      <c r="H318" s="33" t="s">
        <v>2019</v>
      </c>
    </row>
    <row r="319" customFormat="false" ht="22.35" hidden="false" customHeight="false" outlineLevel="0" collapsed="false">
      <c r="A319" s="41" t="n">
        <v>11559</v>
      </c>
      <c r="B319" s="41" t="s">
        <v>823</v>
      </c>
      <c r="C319" s="41" t="s">
        <v>867</v>
      </c>
      <c r="D319" s="41" t="s">
        <v>1689</v>
      </c>
      <c r="E319" s="41" t="s">
        <v>97</v>
      </c>
      <c r="F319" s="15" t="n">
        <v>27.28</v>
      </c>
      <c r="G319" s="30" t="s">
        <v>1716</v>
      </c>
      <c r="H319" s="30" t="s">
        <v>1717</v>
      </c>
    </row>
    <row r="320" customFormat="false" ht="22.35" hidden="false" customHeight="false" outlineLevel="0" collapsed="false">
      <c r="A320" s="42" t="n">
        <v>11560</v>
      </c>
      <c r="B320" s="42" t="s">
        <v>823</v>
      </c>
      <c r="C320" s="42" t="s">
        <v>1322</v>
      </c>
      <c r="D320" s="42" t="s">
        <v>1689</v>
      </c>
      <c r="E320" s="42" t="s">
        <v>97</v>
      </c>
      <c r="F320" s="11" t="n">
        <v>27.28</v>
      </c>
      <c r="G320" s="33" t="s">
        <v>1519</v>
      </c>
      <c r="H320" s="33" t="s">
        <v>2020</v>
      </c>
    </row>
    <row r="321" customFormat="false" ht="22.35" hidden="false" customHeight="false" outlineLevel="0" collapsed="false">
      <c r="A321" s="41" t="n">
        <v>11583</v>
      </c>
      <c r="B321" s="41" t="s">
        <v>823</v>
      </c>
      <c r="C321" s="41" t="s">
        <v>1408</v>
      </c>
      <c r="D321" s="41" t="s">
        <v>1689</v>
      </c>
      <c r="E321" s="41" t="s">
        <v>97</v>
      </c>
      <c r="F321" s="15" t="n">
        <v>26.79</v>
      </c>
      <c r="G321" s="30" t="s">
        <v>1984</v>
      </c>
      <c r="H321" s="30" t="s">
        <v>2021</v>
      </c>
    </row>
    <row r="322" customFormat="false" ht="32.8" hidden="false" customHeight="false" outlineLevel="0" collapsed="false">
      <c r="A322" s="42" t="n">
        <v>11595</v>
      </c>
      <c r="B322" s="42" t="s">
        <v>829</v>
      </c>
      <c r="C322" s="42" t="s">
        <v>954</v>
      </c>
      <c r="D322" s="42" t="s">
        <v>743</v>
      </c>
      <c r="E322" s="42" t="s">
        <v>97</v>
      </c>
      <c r="F322" s="11" t="n">
        <v>26.49</v>
      </c>
      <c r="G322" s="33" t="s">
        <v>1853</v>
      </c>
      <c r="H322" s="33" t="s">
        <v>1947</v>
      </c>
    </row>
    <row r="323" customFormat="false" ht="32.8" hidden="false" customHeight="false" outlineLevel="0" collapsed="false">
      <c r="A323" s="41" t="n">
        <v>11673</v>
      </c>
      <c r="B323" s="41" t="s">
        <v>823</v>
      </c>
      <c r="C323" s="41" t="s">
        <v>1364</v>
      </c>
      <c r="D323" s="41" t="s">
        <v>1689</v>
      </c>
      <c r="E323" s="41" t="s">
        <v>97</v>
      </c>
      <c r="F323" s="15" t="n">
        <v>26.41</v>
      </c>
      <c r="G323" s="30" t="s">
        <v>1902</v>
      </c>
      <c r="H323" s="30" t="s">
        <v>1903</v>
      </c>
    </row>
    <row r="324" customFormat="false" ht="22.35" hidden="false" customHeight="false" outlineLevel="0" collapsed="false">
      <c r="A324" s="42" t="n">
        <v>11674</v>
      </c>
      <c r="B324" s="42" t="s">
        <v>823</v>
      </c>
      <c r="C324" s="42" t="s">
        <v>1550</v>
      </c>
      <c r="D324" s="42" t="s">
        <v>1689</v>
      </c>
      <c r="E324" s="42" t="s">
        <v>97</v>
      </c>
      <c r="F324" s="11" t="n">
        <v>26.41</v>
      </c>
      <c r="G324" s="33" t="s">
        <v>1963</v>
      </c>
      <c r="H324" s="33" t="s">
        <v>2022</v>
      </c>
    </row>
    <row r="325" customFormat="false" ht="22.35" hidden="false" customHeight="false" outlineLevel="0" collapsed="false">
      <c r="A325" s="41" t="n">
        <v>11675</v>
      </c>
      <c r="B325" s="41" t="s">
        <v>823</v>
      </c>
      <c r="C325" s="41" t="s">
        <v>1536</v>
      </c>
      <c r="D325" s="41" t="s">
        <v>1689</v>
      </c>
      <c r="E325" s="41" t="s">
        <v>97</v>
      </c>
      <c r="F325" s="15" t="n">
        <v>26.41</v>
      </c>
      <c r="G325" s="30" t="s">
        <v>1537</v>
      </c>
      <c r="H325" s="30" t="s">
        <v>2023</v>
      </c>
    </row>
    <row r="326" customFormat="false" ht="32.8" hidden="false" customHeight="false" outlineLevel="0" collapsed="false">
      <c r="A326" s="42" t="n">
        <v>11676</v>
      </c>
      <c r="B326" s="42" t="s">
        <v>823</v>
      </c>
      <c r="C326" s="42" t="s">
        <v>1242</v>
      </c>
      <c r="D326" s="42" t="s">
        <v>1689</v>
      </c>
      <c r="E326" s="42" t="s">
        <v>97</v>
      </c>
      <c r="F326" s="11" t="n">
        <v>26.41</v>
      </c>
      <c r="G326" s="33" t="s">
        <v>1845</v>
      </c>
      <c r="H326" s="33" t="s">
        <v>1846</v>
      </c>
    </row>
    <row r="327" customFormat="false" ht="32.8" hidden="false" customHeight="false" outlineLevel="0" collapsed="false">
      <c r="A327" s="41" t="n">
        <v>11677</v>
      </c>
      <c r="B327" s="41" t="s">
        <v>823</v>
      </c>
      <c r="C327" s="41" t="s">
        <v>1247</v>
      </c>
      <c r="D327" s="41" t="s">
        <v>1689</v>
      </c>
      <c r="E327" s="41" t="s">
        <v>97</v>
      </c>
      <c r="F327" s="15" t="n">
        <v>26.41</v>
      </c>
      <c r="G327" s="30" t="s">
        <v>1848</v>
      </c>
      <c r="H327" s="30" t="s">
        <v>2024</v>
      </c>
    </row>
    <row r="328" customFormat="false" ht="32.8" hidden="false" customHeight="false" outlineLevel="0" collapsed="false">
      <c r="A328" s="42" t="n">
        <v>11678</v>
      </c>
      <c r="B328" s="42" t="s">
        <v>823</v>
      </c>
      <c r="C328" s="42" t="s">
        <v>1470</v>
      </c>
      <c r="D328" s="42" t="s">
        <v>1689</v>
      </c>
      <c r="E328" s="42" t="s">
        <v>97</v>
      </c>
      <c r="F328" s="11" t="n">
        <v>26.41</v>
      </c>
      <c r="G328" s="33" t="s">
        <v>1966</v>
      </c>
      <c r="H328" s="33" t="s">
        <v>2025</v>
      </c>
    </row>
    <row r="329" customFormat="false" ht="32.8" hidden="false" customHeight="false" outlineLevel="0" collapsed="false">
      <c r="A329" s="41" t="n">
        <v>11679</v>
      </c>
      <c r="B329" s="41" t="s">
        <v>823</v>
      </c>
      <c r="C329" s="41" t="s">
        <v>1359</v>
      </c>
      <c r="D329" s="41" t="s">
        <v>1689</v>
      </c>
      <c r="E329" s="41" t="s">
        <v>97</v>
      </c>
      <c r="F329" s="15" t="n">
        <v>26.41</v>
      </c>
      <c r="G329" s="30" t="s">
        <v>1900</v>
      </c>
      <c r="H329" s="30" t="s">
        <v>1901</v>
      </c>
    </row>
    <row r="330" customFormat="false" ht="22.35" hidden="false" customHeight="false" outlineLevel="0" collapsed="false">
      <c r="A330" s="42" t="n">
        <v>11680</v>
      </c>
      <c r="B330" s="42" t="s">
        <v>823</v>
      </c>
      <c r="C330" s="42" t="s">
        <v>1555</v>
      </c>
      <c r="D330" s="42" t="s">
        <v>1689</v>
      </c>
      <c r="E330" s="42" t="s">
        <v>97</v>
      </c>
      <c r="F330" s="11" t="n">
        <v>26.41</v>
      </c>
      <c r="G330" s="33" t="s">
        <v>1969</v>
      </c>
      <c r="H330" s="33" t="s">
        <v>2026</v>
      </c>
    </row>
    <row r="331" customFormat="false" ht="22.35" hidden="false" customHeight="false" outlineLevel="0" collapsed="false">
      <c r="A331" s="41" t="n">
        <v>11681</v>
      </c>
      <c r="B331" s="41" t="s">
        <v>823</v>
      </c>
      <c r="C331" s="41" t="s">
        <v>1545</v>
      </c>
      <c r="D331" s="41" t="s">
        <v>1689</v>
      </c>
      <c r="E331" s="41" t="s">
        <v>97</v>
      </c>
      <c r="F331" s="15" t="n">
        <v>26.41</v>
      </c>
      <c r="G331" s="30" t="s">
        <v>1971</v>
      </c>
      <c r="H331" s="30" t="s">
        <v>2027</v>
      </c>
    </row>
    <row r="332" customFormat="false" ht="22.35" hidden="false" customHeight="false" outlineLevel="0" collapsed="false">
      <c r="A332" s="42" t="n">
        <v>11682</v>
      </c>
      <c r="B332" s="42" t="s">
        <v>823</v>
      </c>
      <c r="C332" s="42" t="s">
        <v>1560</v>
      </c>
      <c r="D332" s="42" t="s">
        <v>1689</v>
      </c>
      <c r="E332" s="42" t="s">
        <v>97</v>
      </c>
      <c r="F332" s="11" t="n">
        <v>26.41</v>
      </c>
      <c r="G332" s="33" t="s">
        <v>1561</v>
      </c>
      <c r="H332" s="33" t="s">
        <v>2028</v>
      </c>
    </row>
    <row r="333" customFormat="false" ht="22.35" hidden="false" customHeight="false" outlineLevel="0" collapsed="false">
      <c r="A333" s="41" t="n">
        <v>11683</v>
      </c>
      <c r="B333" s="41" t="s">
        <v>823</v>
      </c>
      <c r="C333" s="41" t="s">
        <v>1565</v>
      </c>
      <c r="D333" s="41" t="s">
        <v>1689</v>
      </c>
      <c r="E333" s="41" t="s">
        <v>97</v>
      </c>
      <c r="F333" s="15" t="n">
        <v>26.41</v>
      </c>
      <c r="G333" s="30" t="s">
        <v>1566</v>
      </c>
      <c r="H333" s="30" t="s">
        <v>2029</v>
      </c>
    </row>
    <row r="334" customFormat="false" ht="22.35" hidden="false" customHeight="false" outlineLevel="0" collapsed="false">
      <c r="A334" s="42" t="n">
        <v>11684</v>
      </c>
      <c r="B334" s="42" t="s">
        <v>823</v>
      </c>
      <c r="C334" s="42" t="s">
        <v>1451</v>
      </c>
      <c r="D334" s="42" t="s">
        <v>1689</v>
      </c>
      <c r="E334" s="42" t="s">
        <v>97</v>
      </c>
      <c r="F334" s="11" t="n">
        <v>26.41</v>
      </c>
      <c r="G334" s="33" t="s">
        <v>1980</v>
      </c>
      <c r="H334" s="33" t="s">
        <v>2030</v>
      </c>
    </row>
    <row r="335" customFormat="false" ht="32.8" hidden="false" customHeight="false" outlineLevel="0" collapsed="false">
      <c r="A335" s="41" t="n">
        <v>11685</v>
      </c>
      <c r="B335" s="41" t="s">
        <v>823</v>
      </c>
      <c r="C335" s="41" t="s">
        <v>1570</v>
      </c>
      <c r="D335" s="41" t="s">
        <v>1689</v>
      </c>
      <c r="E335" s="41" t="s">
        <v>97</v>
      </c>
      <c r="F335" s="15" t="n">
        <v>26.41</v>
      </c>
      <c r="G335" s="30" t="s">
        <v>1982</v>
      </c>
      <c r="H335" s="30" t="s">
        <v>2031</v>
      </c>
    </row>
    <row r="336" customFormat="false" ht="22.35" hidden="false" customHeight="false" outlineLevel="0" collapsed="false">
      <c r="A336" s="42" t="n">
        <v>11686</v>
      </c>
      <c r="B336" s="42" t="s">
        <v>823</v>
      </c>
      <c r="C336" s="42" t="s">
        <v>1403</v>
      </c>
      <c r="D336" s="42" t="s">
        <v>1689</v>
      </c>
      <c r="E336" s="42" t="s">
        <v>97</v>
      </c>
      <c r="F336" s="11" t="n">
        <v>26.41</v>
      </c>
      <c r="G336" s="33" t="s">
        <v>1986</v>
      </c>
      <c r="H336" s="33" t="s">
        <v>2032</v>
      </c>
    </row>
    <row r="337" customFormat="false" ht="22.35" hidden="false" customHeight="false" outlineLevel="0" collapsed="false">
      <c r="A337" s="41" t="n">
        <v>11687</v>
      </c>
      <c r="B337" s="41" t="s">
        <v>823</v>
      </c>
      <c r="C337" s="41" t="s">
        <v>1408</v>
      </c>
      <c r="D337" s="41" t="s">
        <v>1689</v>
      </c>
      <c r="E337" s="41" t="s">
        <v>97</v>
      </c>
      <c r="F337" s="15" t="n">
        <v>26.41</v>
      </c>
      <c r="G337" s="30" t="s">
        <v>1984</v>
      </c>
      <c r="H337" s="30" t="s">
        <v>2021</v>
      </c>
    </row>
    <row r="338" customFormat="false" ht="22.35" hidden="false" customHeight="false" outlineLevel="0" collapsed="false">
      <c r="A338" s="42" t="n">
        <v>11695</v>
      </c>
      <c r="B338" s="42" t="s">
        <v>852</v>
      </c>
      <c r="C338" s="42" t="s">
        <v>1408</v>
      </c>
      <c r="D338" s="42" t="s">
        <v>1699</v>
      </c>
      <c r="E338" s="42" t="s">
        <v>97</v>
      </c>
      <c r="F338" s="11" t="n">
        <v>26.28</v>
      </c>
      <c r="G338" s="33" t="s">
        <v>1984</v>
      </c>
      <c r="H338" s="33" t="s">
        <v>1985</v>
      </c>
    </row>
    <row r="339" customFormat="false" ht="22.35" hidden="false" customHeight="false" outlineLevel="0" collapsed="false">
      <c r="A339" s="41" t="n">
        <v>11697</v>
      </c>
      <c r="B339" s="41" t="s">
        <v>829</v>
      </c>
      <c r="C339" s="41" t="s">
        <v>1423</v>
      </c>
      <c r="D339" s="41" t="s">
        <v>743</v>
      </c>
      <c r="E339" s="41" t="s">
        <v>97</v>
      </c>
      <c r="F339" s="15" t="n">
        <v>26.25</v>
      </c>
      <c r="G339" s="30" t="s">
        <v>1957</v>
      </c>
      <c r="H339" s="30" t="s">
        <v>2033</v>
      </c>
    </row>
    <row r="340" customFormat="false" ht="32.8" hidden="false" customHeight="false" outlineLevel="0" collapsed="false">
      <c r="A340" s="42" t="n">
        <v>11779</v>
      </c>
      <c r="B340" s="42" t="s">
        <v>852</v>
      </c>
      <c r="C340" s="42" t="s">
        <v>1398</v>
      </c>
      <c r="D340" s="42" t="s">
        <v>1699</v>
      </c>
      <c r="E340" s="42" t="s">
        <v>97</v>
      </c>
      <c r="F340" s="11" t="n">
        <v>26.01</v>
      </c>
      <c r="G340" s="33" t="s">
        <v>1937</v>
      </c>
      <c r="H340" s="33" t="s">
        <v>2034</v>
      </c>
    </row>
    <row r="341" customFormat="false" ht="22.35" hidden="false" customHeight="false" outlineLevel="0" collapsed="false">
      <c r="A341" s="41" t="n">
        <v>11931</v>
      </c>
      <c r="B341" s="41" t="s">
        <v>852</v>
      </c>
      <c r="C341" s="41" t="s">
        <v>1012</v>
      </c>
      <c r="D341" s="41" t="s">
        <v>1699</v>
      </c>
      <c r="E341" s="41" t="s">
        <v>97</v>
      </c>
      <c r="F341" s="15" t="n">
        <v>25.26</v>
      </c>
      <c r="G341" s="30" t="s">
        <v>1931</v>
      </c>
      <c r="H341" s="30" t="s">
        <v>2035</v>
      </c>
    </row>
    <row r="342" customFormat="false" ht="22.35" hidden="false" customHeight="false" outlineLevel="0" collapsed="false">
      <c r="A342" s="42" t="n">
        <v>11954</v>
      </c>
      <c r="B342" s="42" t="s">
        <v>852</v>
      </c>
      <c r="C342" s="42" t="s">
        <v>1524</v>
      </c>
      <c r="D342" s="42" t="s">
        <v>1699</v>
      </c>
      <c r="E342" s="42" t="s">
        <v>97</v>
      </c>
      <c r="F342" s="11" t="n">
        <v>25.26</v>
      </c>
      <c r="G342" s="33" t="s">
        <v>2036</v>
      </c>
      <c r="H342" s="33" t="s">
        <v>2037</v>
      </c>
    </row>
    <row r="343" customFormat="false" ht="22.35" hidden="false" customHeight="false" outlineLevel="0" collapsed="false">
      <c r="A343" s="41" t="n">
        <v>11955</v>
      </c>
      <c r="B343" s="41" t="s">
        <v>852</v>
      </c>
      <c r="C343" s="41" t="s">
        <v>1640</v>
      </c>
      <c r="D343" s="41" t="s">
        <v>1699</v>
      </c>
      <c r="E343" s="41" t="s">
        <v>97</v>
      </c>
      <c r="F343" s="15" t="n">
        <v>25.26</v>
      </c>
      <c r="G343" s="30" t="s">
        <v>2038</v>
      </c>
      <c r="H343" s="30" t="s">
        <v>2039</v>
      </c>
    </row>
    <row r="344" customFormat="false" ht="32.8" hidden="false" customHeight="false" outlineLevel="0" collapsed="false">
      <c r="A344" s="42" t="n">
        <v>11956</v>
      </c>
      <c r="B344" s="42" t="s">
        <v>852</v>
      </c>
      <c r="C344" s="42" t="s">
        <v>1398</v>
      </c>
      <c r="D344" s="42" t="s">
        <v>1699</v>
      </c>
      <c r="E344" s="42" t="s">
        <v>97</v>
      </c>
      <c r="F344" s="11" t="n">
        <v>25.26</v>
      </c>
      <c r="G344" s="33" t="s">
        <v>1937</v>
      </c>
      <c r="H344" s="33" t="s">
        <v>2034</v>
      </c>
    </row>
    <row r="345" customFormat="false" ht="22.35" hidden="false" customHeight="false" outlineLevel="0" collapsed="false">
      <c r="A345" s="41" t="n">
        <v>11957</v>
      </c>
      <c r="B345" s="41" t="s">
        <v>852</v>
      </c>
      <c r="C345" s="41" t="s">
        <v>1456</v>
      </c>
      <c r="D345" s="41" t="s">
        <v>1699</v>
      </c>
      <c r="E345" s="41" t="s">
        <v>97</v>
      </c>
      <c r="F345" s="15" t="n">
        <v>25.26</v>
      </c>
      <c r="G345" s="30" t="s">
        <v>1457</v>
      </c>
      <c r="H345" s="30" t="s">
        <v>2040</v>
      </c>
    </row>
    <row r="346" customFormat="false" ht="22.35" hidden="false" customHeight="false" outlineLevel="0" collapsed="false">
      <c r="A346" s="42" t="n">
        <v>11958</v>
      </c>
      <c r="B346" s="42" t="s">
        <v>852</v>
      </c>
      <c r="C346" s="42" t="s">
        <v>1619</v>
      </c>
      <c r="D346" s="42" t="s">
        <v>1699</v>
      </c>
      <c r="E346" s="42" t="s">
        <v>97</v>
      </c>
      <c r="F346" s="11" t="n">
        <v>25.26</v>
      </c>
      <c r="G346" s="33" t="s">
        <v>2041</v>
      </c>
      <c r="H346" s="33" t="s">
        <v>2042</v>
      </c>
    </row>
    <row r="347" customFormat="false" ht="22.35" hidden="false" customHeight="false" outlineLevel="0" collapsed="false">
      <c r="A347" s="41" t="n">
        <v>11959</v>
      </c>
      <c r="B347" s="41" t="s">
        <v>852</v>
      </c>
      <c r="C347" s="41" t="s">
        <v>1463</v>
      </c>
      <c r="D347" s="41" t="s">
        <v>1699</v>
      </c>
      <c r="E347" s="41" t="s">
        <v>97</v>
      </c>
      <c r="F347" s="15" t="n">
        <v>25.26</v>
      </c>
      <c r="G347" s="30" t="s">
        <v>2043</v>
      </c>
      <c r="H347" s="30" t="s">
        <v>2044</v>
      </c>
    </row>
    <row r="348" customFormat="false" ht="22.35" hidden="false" customHeight="false" outlineLevel="0" collapsed="false">
      <c r="A348" s="42" t="n">
        <v>11960</v>
      </c>
      <c r="B348" s="42" t="s">
        <v>852</v>
      </c>
      <c r="C348" s="42" t="s">
        <v>1647</v>
      </c>
      <c r="D348" s="42" t="s">
        <v>1699</v>
      </c>
      <c r="E348" s="42" t="s">
        <v>97</v>
      </c>
      <c r="F348" s="11" t="n">
        <v>25.26</v>
      </c>
      <c r="G348" s="33" t="s">
        <v>1648</v>
      </c>
      <c r="H348" s="33" t="s">
        <v>2045</v>
      </c>
    </row>
    <row r="349" customFormat="false" ht="32.8" hidden="false" customHeight="false" outlineLevel="0" collapsed="false">
      <c r="A349" s="41" t="n">
        <v>11961</v>
      </c>
      <c r="B349" s="41" t="s">
        <v>852</v>
      </c>
      <c r="C349" s="41" t="s">
        <v>1488</v>
      </c>
      <c r="D349" s="41" t="s">
        <v>1699</v>
      </c>
      <c r="E349" s="41" t="s">
        <v>97</v>
      </c>
      <c r="F349" s="15" t="n">
        <v>25.26</v>
      </c>
      <c r="G349" s="30" t="s">
        <v>2046</v>
      </c>
      <c r="H349" s="30" t="s">
        <v>2047</v>
      </c>
    </row>
    <row r="350" customFormat="false" ht="43.25" hidden="false" customHeight="false" outlineLevel="0" collapsed="false">
      <c r="A350" s="42" t="n">
        <v>11962</v>
      </c>
      <c r="B350" s="42" t="s">
        <v>852</v>
      </c>
      <c r="C350" s="42" t="s">
        <v>1369</v>
      </c>
      <c r="D350" s="42" t="s">
        <v>1699</v>
      </c>
      <c r="E350" s="42" t="s">
        <v>97</v>
      </c>
      <c r="F350" s="11" t="n">
        <v>25.26</v>
      </c>
      <c r="G350" s="33" t="s">
        <v>1916</v>
      </c>
      <c r="H350" s="33" t="s">
        <v>1917</v>
      </c>
    </row>
    <row r="351" customFormat="false" ht="32.8" hidden="false" customHeight="false" outlineLevel="0" collapsed="false">
      <c r="A351" s="41" t="n">
        <v>11963</v>
      </c>
      <c r="B351" s="41" t="s">
        <v>829</v>
      </c>
      <c r="C351" s="41" t="s">
        <v>1497</v>
      </c>
      <c r="D351" s="41" t="s">
        <v>743</v>
      </c>
      <c r="E351" s="41" t="s">
        <v>97</v>
      </c>
      <c r="F351" s="15" t="n">
        <v>25.26</v>
      </c>
      <c r="G351" s="30" t="s">
        <v>2048</v>
      </c>
      <c r="H351" s="30" t="s">
        <v>2049</v>
      </c>
    </row>
    <row r="352" customFormat="false" ht="22.35" hidden="false" customHeight="false" outlineLevel="0" collapsed="false">
      <c r="A352" s="42" t="n">
        <v>11964</v>
      </c>
      <c r="B352" s="42" t="s">
        <v>829</v>
      </c>
      <c r="C352" s="42" t="s">
        <v>1531</v>
      </c>
      <c r="D352" s="42" t="s">
        <v>743</v>
      </c>
      <c r="E352" s="42" t="s">
        <v>97</v>
      </c>
      <c r="F352" s="11" t="n">
        <v>25.26</v>
      </c>
      <c r="G352" s="33" t="s">
        <v>1532</v>
      </c>
      <c r="H352" s="33" t="s">
        <v>2050</v>
      </c>
    </row>
    <row r="353" customFormat="false" ht="32.8" hidden="false" customHeight="false" outlineLevel="0" collapsed="false">
      <c r="A353" s="41" t="n">
        <v>11965</v>
      </c>
      <c r="B353" s="41" t="s">
        <v>829</v>
      </c>
      <c r="C353" s="41" t="s">
        <v>1590</v>
      </c>
      <c r="D353" s="41" t="s">
        <v>743</v>
      </c>
      <c r="E353" s="41" t="s">
        <v>97</v>
      </c>
      <c r="F353" s="15" t="n">
        <v>25.26</v>
      </c>
      <c r="G353" s="30" t="s">
        <v>2051</v>
      </c>
      <c r="H353" s="30" t="s">
        <v>2052</v>
      </c>
    </row>
    <row r="354" customFormat="false" ht="22.35" hidden="false" customHeight="false" outlineLevel="0" collapsed="false">
      <c r="A354" s="42" t="n">
        <v>12017</v>
      </c>
      <c r="B354" s="42" t="s">
        <v>877</v>
      </c>
      <c r="C354" s="42" t="s">
        <v>1506</v>
      </c>
      <c r="D354" s="42" t="s">
        <v>748</v>
      </c>
      <c r="E354" s="42" t="s">
        <v>97</v>
      </c>
      <c r="F354" s="11" t="n">
        <v>25.21</v>
      </c>
      <c r="G354" s="33" t="s">
        <v>2053</v>
      </c>
      <c r="H354" s="33" t="s">
        <v>2054</v>
      </c>
    </row>
    <row r="355" customFormat="false" ht="22.35" hidden="false" customHeight="false" outlineLevel="0" collapsed="false">
      <c r="A355" s="41" t="n">
        <v>12020</v>
      </c>
      <c r="B355" s="41" t="s">
        <v>852</v>
      </c>
      <c r="C355" s="41" t="s">
        <v>1120</v>
      </c>
      <c r="D355" s="41" t="s">
        <v>1699</v>
      </c>
      <c r="E355" s="41" t="s">
        <v>97</v>
      </c>
      <c r="F355" s="15" t="n">
        <v>25.2</v>
      </c>
      <c r="G355" s="30" t="s">
        <v>1792</v>
      </c>
      <c r="H355" s="30" t="s">
        <v>2055</v>
      </c>
    </row>
    <row r="356" customFormat="false" ht="22.35" hidden="false" customHeight="false" outlineLevel="0" collapsed="false">
      <c r="A356" s="42" t="n">
        <v>12021</v>
      </c>
      <c r="B356" s="42" t="s">
        <v>852</v>
      </c>
      <c r="C356" s="42" t="s">
        <v>860</v>
      </c>
      <c r="D356" s="42" t="s">
        <v>1699</v>
      </c>
      <c r="E356" s="42" t="s">
        <v>97</v>
      </c>
      <c r="F356" s="11" t="n">
        <v>25.2</v>
      </c>
      <c r="G356" s="33" t="s">
        <v>1702</v>
      </c>
      <c r="H356" s="33" t="s">
        <v>1738</v>
      </c>
    </row>
    <row r="357" customFormat="false" ht="43.25" hidden="false" customHeight="false" outlineLevel="0" collapsed="false">
      <c r="A357" s="41" t="n">
        <v>12024</v>
      </c>
      <c r="B357" s="41" t="s">
        <v>823</v>
      </c>
      <c r="C357" s="41" t="s">
        <v>1027</v>
      </c>
      <c r="D357" s="41" t="s">
        <v>1689</v>
      </c>
      <c r="E357" s="41" t="s">
        <v>97</v>
      </c>
      <c r="F357" s="15" t="n">
        <v>25.2</v>
      </c>
      <c r="G357" s="30" t="s">
        <v>1857</v>
      </c>
      <c r="H357" s="30" t="s">
        <v>2056</v>
      </c>
    </row>
    <row r="358" customFormat="false" ht="22.35" hidden="false" customHeight="false" outlineLevel="0" collapsed="false">
      <c r="A358" s="42" t="n">
        <v>12025</v>
      </c>
      <c r="B358" s="42" t="s">
        <v>823</v>
      </c>
      <c r="C358" s="42" t="s">
        <v>890</v>
      </c>
      <c r="D358" s="42" t="s">
        <v>1689</v>
      </c>
      <c r="E358" s="42" t="s">
        <v>97</v>
      </c>
      <c r="F358" s="11" t="n">
        <v>25.17</v>
      </c>
      <c r="G358" s="33" t="s">
        <v>1714</v>
      </c>
      <c r="H358" s="33" t="s">
        <v>2057</v>
      </c>
    </row>
    <row r="359" customFormat="false" ht="22.35" hidden="false" customHeight="false" outlineLevel="0" collapsed="false">
      <c r="A359" s="41" t="n">
        <v>12082</v>
      </c>
      <c r="B359" s="41" t="s">
        <v>823</v>
      </c>
      <c r="C359" s="41" t="s">
        <v>1423</v>
      </c>
      <c r="D359" s="41" t="s">
        <v>1689</v>
      </c>
      <c r="E359" s="41" t="s">
        <v>97</v>
      </c>
      <c r="F359" s="15" t="n">
        <v>24.65</v>
      </c>
      <c r="G359" s="30" t="s">
        <v>1957</v>
      </c>
      <c r="H359" s="30" t="s">
        <v>2058</v>
      </c>
    </row>
    <row r="360" customFormat="false" ht="22.35" hidden="false" customHeight="false" outlineLevel="0" collapsed="false">
      <c r="A360" s="42" t="n">
        <v>12085</v>
      </c>
      <c r="B360" s="42" t="s">
        <v>823</v>
      </c>
      <c r="C360" s="42" t="s">
        <v>993</v>
      </c>
      <c r="D360" s="42" t="s">
        <v>1689</v>
      </c>
      <c r="E360" s="42" t="s">
        <v>97</v>
      </c>
      <c r="F360" s="11" t="n">
        <v>24.6</v>
      </c>
      <c r="G360" s="33" t="s">
        <v>994</v>
      </c>
      <c r="H360" s="33" t="s">
        <v>2059</v>
      </c>
    </row>
    <row r="361" customFormat="false" ht="22.35" hidden="false" customHeight="false" outlineLevel="0" collapsed="false">
      <c r="A361" s="41" t="n">
        <v>12137</v>
      </c>
      <c r="B361" s="41" t="s">
        <v>823</v>
      </c>
      <c r="C361" s="41" t="s">
        <v>1012</v>
      </c>
      <c r="D361" s="41" t="s">
        <v>1689</v>
      </c>
      <c r="E361" s="41" t="s">
        <v>97</v>
      </c>
      <c r="F361" s="15" t="n">
        <v>24.45</v>
      </c>
      <c r="G361" s="30" t="s">
        <v>1931</v>
      </c>
      <c r="H361" s="30" t="s">
        <v>1936</v>
      </c>
    </row>
    <row r="362" customFormat="false" ht="32.8" hidden="false" customHeight="false" outlineLevel="0" collapsed="false">
      <c r="A362" s="42" t="n">
        <v>12139</v>
      </c>
      <c r="B362" s="42" t="s">
        <v>823</v>
      </c>
      <c r="C362" s="42" t="s">
        <v>1071</v>
      </c>
      <c r="D362" s="42" t="s">
        <v>1689</v>
      </c>
      <c r="E362" s="42" t="s">
        <v>97</v>
      </c>
      <c r="F362" s="11" t="n">
        <v>24.42</v>
      </c>
      <c r="G362" s="33" t="s">
        <v>1780</v>
      </c>
      <c r="H362" s="33" t="s">
        <v>1781</v>
      </c>
    </row>
    <row r="363" customFormat="false" ht="22.35" hidden="false" customHeight="false" outlineLevel="0" collapsed="false">
      <c r="A363" s="41" t="n">
        <v>12142</v>
      </c>
      <c r="B363" s="41" t="s">
        <v>877</v>
      </c>
      <c r="C363" s="41" t="s">
        <v>1408</v>
      </c>
      <c r="D363" s="41" t="s">
        <v>748</v>
      </c>
      <c r="E363" s="41" t="s">
        <v>97</v>
      </c>
      <c r="F363" s="15" t="n">
        <v>24.34</v>
      </c>
      <c r="G363" s="30" t="s">
        <v>1984</v>
      </c>
      <c r="H363" s="30" t="s">
        <v>2012</v>
      </c>
    </row>
    <row r="364" customFormat="false" ht="32.8" hidden="false" customHeight="false" outlineLevel="0" collapsed="false">
      <c r="A364" s="42" t="n">
        <v>12143</v>
      </c>
      <c r="B364" s="42" t="s">
        <v>877</v>
      </c>
      <c r="C364" s="42" t="s">
        <v>1364</v>
      </c>
      <c r="D364" s="42" t="s">
        <v>748</v>
      </c>
      <c r="E364" s="42" t="s">
        <v>97</v>
      </c>
      <c r="F364" s="11" t="n">
        <v>24.33</v>
      </c>
      <c r="G364" s="33" t="s">
        <v>1902</v>
      </c>
      <c r="H364" s="33" t="s">
        <v>1997</v>
      </c>
    </row>
    <row r="365" customFormat="false" ht="32.8" hidden="false" customHeight="false" outlineLevel="0" collapsed="false">
      <c r="A365" s="41" t="n">
        <v>12153</v>
      </c>
      <c r="B365" s="41" t="s">
        <v>852</v>
      </c>
      <c r="C365" s="41" t="s">
        <v>1071</v>
      </c>
      <c r="D365" s="41" t="s">
        <v>1699</v>
      </c>
      <c r="E365" s="41" t="s">
        <v>97</v>
      </c>
      <c r="F365" s="15" t="n">
        <v>24.15</v>
      </c>
      <c r="G365" s="30" t="s">
        <v>1780</v>
      </c>
      <c r="H365" s="30" t="s">
        <v>2060</v>
      </c>
    </row>
    <row r="366" customFormat="false" ht="43.25" hidden="false" customHeight="false" outlineLevel="0" collapsed="false">
      <c r="A366" s="42" t="n">
        <v>12154</v>
      </c>
      <c r="B366" s="42" t="s">
        <v>852</v>
      </c>
      <c r="C366" s="42" t="s">
        <v>959</v>
      </c>
      <c r="D366" s="42" t="s">
        <v>1699</v>
      </c>
      <c r="E366" s="42" t="s">
        <v>97</v>
      </c>
      <c r="F366" s="11" t="n">
        <v>24.15</v>
      </c>
      <c r="G366" s="33" t="s">
        <v>1785</v>
      </c>
      <c r="H366" s="33" t="s">
        <v>2061</v>
      </c>
    </row>
    <row r="367" customFormat="false" ht="22.35" hidden="false" customHeight="false" outlineLevel="0" collapsed="false">
      <c r="A367" s="41" t="n">
        <v>12173</v>
      </c>
      <c r="B367" s="41" t="s">
        <v>823</v>
      </c>
      <c r="C367" s="41" t="s">
        <v>978</v>
      </c>
      <c r="D367" s="41" t="s">
        <v>1689</v>
      </c>
      <c r="E367" s="41" t="s">
        <v>97</v>
      </c>
      <c r="F367" s="15" t="n">
        <v>23.82</v>
      </c>
      <c r="G367" s="30" t="s">
        <v>1909</v>
      </c>
      <c r="H367" s="30" t="s">
        <v>2062</v>
      </c>
    </row>
    <row r="368" customFormat="false" ht="22.35" hidden="false" customHeight="false" outlineLevel="0" collapsed="false">
      <c r="A368" s="42" t="n">
        <v>12213</v>
      </c>
      <c r="B368" s="42" t="s">
        <v>877</v>
      </c>
      <c r="C368" s="42" t="s">
        <v>1012</v>
      </c>
      <c r="D368" s="42" t="s">
        <v>748</v>
      </c>
      <c r="E368" s="42" t="s">
        <v>97</v>
      </c>
      <c r="F368" s="11" t="n">
        <v>23.12</v>
      </c>
      <c r="G368" s="33" t="s">
        <v>1931</v>
      </c>
      <c r="H368" s="33" t="s">
        <v>2063</v>
      </c>
    </row>
    <row r="369" customFormat="false" ht="22.35" hidden="false" customHeight="false" outlineLevel="0" collapsed="false">
      <c r="A369" s="41" t="n">
        <v>12223</v>
      </c>
      <c r="B369" s="41" t="s">
        <v>852</v>
      </c>
      <c r="C369" s="41" t="s">
        <v>978</v>
      </c>
      <c r="D369" s="41" t="s">
        <v>1699</v>
      </c>
      <c r="E369" s="41" t="s">
        <v>97</v>
      </c>
      <c r="F369" s="15" t="n">
        <v>23.09</v>
      </c>
      <c r="G369" s="30" t="s">
        <v>1909</v>
      </c>
      <c r="H369" s="30" t="s">
        <v>1910</v>
      </c>
    </row>
    <row r="370" customFormat="false" ht="22.35" hidden="false" customHeight="false" outlineLevel="0" collapsed="false">
      <c r="A370" s="42" t="n">
        <v>12237</v>
      </c>
      <c r="B370" s="42" t="s">
        <v>852</v>
      </c>
      <c r="C370" s="42" t="s">
        <v>1403</v>
      </c>
      <c r="D370" s="42" t="s">
        <v>1699</v>
      </c>
      <c r="E370" s="42" t="s">
        <v>97</v>
      </c>
      <c r="F370" s="11" t="n">
        <v>22.84</v>
      </c>
      <c r="G370" s="33" t="s">
        <v>1986</v>
      </c>
      <c r="H370" s="33" t="s">
        <v>1987</v>
      </c>
    </row>
    <row r="371" customFormat="false" ht="22.35" hidden="false" customHeight="false" outlineLevel="0" collapsed="false">
      <c r="A371" s="41" t="n">
        <v>12238</v>
      </c>
      <c r="B371" s="41" t="s">
        <v>877</v>
      </c>
      <c r="C371" s="41" t="s">
        <v>1012</v>
      </c>
      <c r="D371" s="41" t="s">
        <v>748</v>
      </c>
      <c r="E371" s="41" t="s">
        <v>97</v>
      </c>
      <c r="F371" s="15" t="n">
        <v>22.82</v>
      </c>
      <c r="G371" s="30" t="s">
        <v>1931</v>
      </c>
      <c r="H371" s="30" t="s">
        <v>2063</v>
      </c>
    </row>
    <row r="372" customFormat="false" ht="32.8" hidden="false" customHeight="false" outlineLevel="0" collapsed="false">
      <c r="A372" s="42" t="n">
        <v>12239</v>
      </c>
      <c r="B372" s="42" t="s">
        <v>877</v>
      </c>
      <c r="C372" s="42" t="s">
        <v>1497</v>
      </c>
      <c r="D372" s="42" t="s">
        <v>748</v>
      </c>
      <c r="E372" s="42" t="s">
        <v>97</v>
      </c>
      <c r="F372" s="11" t="n">
        <v>22.82</v>
      </c>
      <c r="G372" s="33" t="s">
        <v>2048</v>
      </c>
      <c r="H372" s="33" t="s">
        <v>2064</v>
      </c>
    </row>
    <row r="373" customFormat="false" ht="22.35" hidden="false" customHeight="false" outlineLevel="0" collapsed="false">
      <c r="A373" s="41" t="n">
        <v>12240</v>
      </c>
      <c r="B373" s="41" t="s">
        <v>877</v>
      </c>
      <c r="C373" s="41" t="s">
        <v>1640</v>
      </c>
      <c r="D373" s="41" t="s">
        <v>748</v>
      </c>
      <c r="E373" s="41" t="s">
        <v>97</v>
      </c>
      <c r="F373" s="15" t="n">
        <v>22.82</v>
      </c>
      <c r="G373" s="30" t="s">
        <v>2038</v>
      </c>
      <c r="H373" s="30" t="s">
        <v>2065</v>
      </c>
    </row>
    <row r="374" customFormat="false" ht="22.35" hidden="false" customHeight="false" outlineLevel="0" collapsed="false">
      <c r="A374" s="42" t="n">
        <v>12241</v>
      </c>
      <c r="B374" s="42" t="s">
        <v>877</v>
      </c>
      <c r="C374" s="42" t="s">
        <v>1456</v>
      </c>
      <c r="D374" s="42" t="s">
        <v>748</v>
      </c>
      <c r="E374" s="42" t="s">
        <v>97</v>
      </c>
      <c r="F374" s="11" t="n">
        <v>22.82</v>
      </c>
      <c r="G374" s="33" t="s">
        <v>1457</v>
      </c>
      <c r="H374" s="33" t="s">
        <v>2066</v>
      </c>
    </row>
    <row r="375" customFormat="false" ht="22.35" hidden="false" customHeight="false" outlineLevel="0" collapsed="false">
      <c r="A375" s="41" t="n">
        <v>12242</v>
      </c>
      <c r="B375" s="41" t="s">
        <v>877</v>
      </c>
      <c r="C375" s="41" t="s">
        <v>1619</v>
      </c>
      <c r="D375" s="41" t="s">
        <v>748</v>
      </c>
      <c r="E375" s="41" t="s">
        <v>97</v>
      </c>
      <c r="F375" s="15" t="n">
        <v>22.82</v>
      </c>
      <c r="G375" s="30" t="s">
        <v>2041</v>
      </c>
      <c r="H375" s="30" t="s">
        <v>2067</v>
      </c>
    </row>
    <row r="376" customFormat="false" ht="22.35" hidden="false" customHeight="false" outlineLevel="0" collapsed="false">
      <c r="A376" s="42" t="n">
        <v>12243</v>
      </c>
      <c r="B376" s="42" t="s">
        <v>877</v>
      </c>
      <c r="C376" s="42" t="s">
        <v>1531</v>
      </c>
      <c r="D376" s="42" t="s">
        <v>748</v>
      </c>
      <c r="E376" s="42" t="s">
        <v>97</v>
      </c>
      <c r="F376" s="11" t="n">
        <v>22.82</v>
      </c>
      <c r="G376" s="33" t="s">
        <v>1532</v>
      </c>
      <c r="H376" s="33" t="s">
        <v>2068</v>
      </c>
    </row>
    <row r="377" customFormat="false" ht="32.8" hidden="false" customHeight="false" outlineLevel="0" collapsed="false">
      <c r="A377" s="41" t="n">
        <v>12244</v>
      </c>
      <c r="B377" s="41" t="s">
        <v>877</v>
      </c>
      <c r="C377" s="41" t="s">
        <v>1590</v>
      </c>
      <c r="D377" s="41" t="s">
        <v>748</v>
      </c>
      <c r="E377" s="41" t="s">
        <v>97</v>
      </c>
      <c r="F377" s="15" t="n">
        <v>22.82</v>
      </c>
      <c r="G377" s="30" t="s">
        <v>2051</v>
      </c>
      <c r="H377" s="30" t="s">
        <v>2069</v>
      </c>
    </row>
    <row r="378" customFormat="false" ht="32.8" hidden="false" customHeight="false" outlineLevel="0" collapsed="false">
      <c r="A378" s="42" t="n">
        <v>12245</v>
      </c>
      <c r="B378" s="42" t="s">
        <v>877</v>
      </c>
      <c r="C378" s="42" t="s">
        <v>1488</v>
      </c>
      <c r="D378" s="42" t="s">
        <v>748</v>
      </c>
      <c r="E378" s="42" t="s">
        <v>97</v>
      </c>
      <c r="F378" s="11" t="n">
        <v>22.82</v>
      </c>
      <c r="G378" s="33" t="s">
        <v>2046</v>
      </c>
      <c r="H378" s="33" t="s">
        <v>2070</v>
      </c>
    </row>
    <row r="379" customFormat="false" ht="43.25" hidden="false" customHeight="false" outlineLevel="0" collapsed="false">
      <c r="A379" s="41" t="n">
        <v>12246</v>
      </c>
      <c r="B379" s="41" t="s">
        <v>877</v>
      </c>
      <c r="C379" s="41" t="s">
        <v>1369</v>
      </c>
      <c r="D379" s="41" t="s">
        <v>748</v>
      </c>
      <c r="E379" s="41" t="s">
        <v>97</v>
      </c>
      <c r="F379" s="15" t="n">
        <v>22.82</v>
      </c>
      <c r="G379" s="30" t="s">
        <v>1916</v>
      </c>
      <c r="H379" s="30" t="s">
        <v>1941</v>
      </c>
    </row>
    <row r="380" customFormat="false" ht="22.35" hidden="false" customHeight="false" outlineLevel="0" collapsed="false">
      <c r="A380" s="42" t="n">
        <v>12247</v>
      </c>
      <c r="B380" s="42" t="s">
        <v>919</v>
      </c>
      <c r="C380" s="42" t="s">
        <v>1524</v>
      </c>
      <c r="D380" s="42" t="s">
        <v>1736</v>
      </c>
      <c r="E380" s="42" t="s">
        <v>97</v>
      </c>
      <c r="F380" s="11" t="n">
        <v>22.82</v>
      </c>
      <c r="G380" s="33" t="s">
        <v>2036</v>
      </c>
      <c r="H380" s="33" t="s">
        <v>2071</v>
      </c>
    </row>
    <row r="381" customFormat="false" ht="32.8" hidden="false" customHeight="false" outlineLevel="0" collapsed="false">
      <c r="A381" s="41" t="n">
        <v>12248</v>
      </c>
      <c r="B381" s="41" t="s">
        <v>919</v>
      </c>
      <c r="C381" s="41" t="s">
        <v>1398</v>
      </c>
      <c r="D381" s="41" t="s">
        <v>1736</v>
      </c>
      <c r="E381" s="41" t="s">
        <v>97</v>
      </c>
      <c r="F381" s="15" t="n">
        <v>22.82</v>
      </c>
      <c r="G381" s="30" t="s">
        <v>1937</v>
      </c>
      <c r="H381" s="30" t="s">
        <v>1996</v>
      </c>
    </row>
    <row r="382" customFormat="false" ht="22.35" hidden="false" customHeight="false" outlineLevel="0" collapsed="false">
      <c r="A382" s="42" t="n">
        <v>12249</v>
      </c>
      <c r="B382" s="42" t="s">
        <v>919</v>
      </c>
      <c r="C382" s="42" t="s">
        <v>1463</v>
      </c>
      <c r="D382" s="42" t="s">
        <v>1736</v>
      </c>
      <c r="E382" s="42" t="s">
        <v>97</v>
      </c>
      <c r="F382" s="11" t="n">
        <v>22.82</v>
      </c>
      <c r="G382" s="33" t="s">
        <v>2043</v>
      </c>
      <c r="H382" s="33" t="s">
        <v>2072</v>
      </c>
    </row>
    <row r="383" customFormat="false" ht="22.35" hidden="false" customHeight="false" outlineLevel="0" collapsed="false">
      <c r="A383" s="41" t="n">
        <v>12250</v>
      </c>
      <c r="B383" s="41" t="s">
        <v>919</v>
      </c>
      <c r="C383" s="41" t="s">
        <v>1647</v>
      </c>
      <c r="D383" s="41" t="s">
        <v>1736</v>
      </c>
      <c r="E383" s="41" t="s">
        <v>97</v>
      </c>
      <c r="F383" s="15" t="n">
        <v>22.82</v>
      </c>
      <c r="G383" s="30" t="s">
        <v>1648</v>
      </c>
      <c r="H383" s="30" t="s">
        <v>2073</v>
      </c>
    </row>
    <row r="384" customFormat="false" ht="32.8" hidden="false" customHeight="false" outlineLevel="0" collapsed="false">
      <c r="A384" s="42" t="n">
        <v>12265</v>
      </c>
      <c r="B384" s="42" t="s">
        <v>823</v>
      </c>
      <c r="C384" s="42" t="s">
        <v>966</v>
      </c>
      <c r="D384" s="42" t="s">
        <v>1689</v>
      </c>
      <c r="E384" s="42" t="s">
        <v>97</v>
      </c>
      <c r="F384" s="11" t="n">
        <v>22.71</v>
      </c>
      <c r="G384" s="33" t="s">
        <v>1758</v>
      </c>
      <c r="H384" s="33" t="s">
        <v>1775</v>
      </c>
    </row>
    <row r="385" customFormat="false" ht="22.35" hidden="false" customHeight="false" outlineLevel="0" collapsed="false">
      <c r="A385" s="41" t="n">
        <v>12277</v>
      </c>
      <c r="B385" s="41" t="s">
        <v>852</v>
      </c>
      <c r="C385" s="41" t="s">
        <v>1456</v>
      </c>
      <c r="D385" s="41" t="s">
        <v>1699</v>
      </c>
      <c r="E385" s="41" t="s">
        <v>97</v>
      </c>
      <c r="F385" s="15" t="n">
        <v>22.5</v>
      </c>
      <c r="G385" s="30" t="s">
        <v>1457</v>
      </c>
      <c r="H385" s="30" t="s">
        <v>2040</v>
      </c>
    </row>
    <row r="386" customFormat="false" ht="32.8" hidden="false" customHeight="false" outlineLevel="0" collapsed="false">
      <c r="A386" s="42" t="n">
        <v>12289</v>
      </c>
      <c r="B386" s="42" t="s">
        <v>823</v>
      </c>
      <c r="C386" s="42" t="s">
        <v>1066</v>
      </c>
      <c r="D386" s="42" t="s">
        <v>1689</v>
      </c>
      <c r="E386" s="42" t="s">
        <v>97</v>
      </c>
      <c r="F386" s="11" t="n">
        <v>22.27</v>
      </c>
      <c r="G386" s="33" t="s">
        <v>1766</v>
      </c>
      <c r="H386" s="33" t="s">
        <v>1767</v>
      </c>
    </row>
    <row r="387" customFormat="false" ht="32.8" hidden="false" customHeight="false" outlineLevel="0" collapsed="false">
      <c r="A387" s="41" t="n">
        <v>12295</v>
      </c>
      <c r="B387" s="41" t="s">
        <v>852</v>
      </c>
      <c r="C387" s="41" t="s">
        <v>902</v>
      </c>
      <c r="D387" s="41" t="s">
        <v>1699</v>
      </c>
      <c r="E387" s="41" t="s">
        <v>97</v>
      </c>
      <c r="F387" s="15" t="n">
        <v>22.05</v>
      </c>
      <c r="G387" s="30" t="s">
        <v>1728</v>
      </c>
      <c r="H387" s="30" t="s">
        <v>1944</v>
      </c>
    </row>
    <row r="388" customFormat="false" ht="22.35" hidden="false" customHeight="false" outlineLevel="0" collapsed="false">
      <c r="A388" s="42" t="n">
        <v>12302</v>
      </c>
      <c r="B388" s="42" t="s">
        <v>823</v>
      </c>
      <c r="C388" s="42" t="s">
        <v>1446</v>
      </c>
      <c r="D388" s="42" t="s">
        <v>1689</v>
      </c>
      <c r="E388" s="42" t="s">
        <v>97</v>
      </c>
      <c r="F388" s="11" t="n">
        <v>22.05</v>
      </c>
      <c r="G388" s="33" t="s">
        <v>1955</v>
      </c>
      <c r="H388" s="33" t="s">
        <v>2074</v>
      </c>
    </row>
    <row r="389" customFormat="false" ht="22.35" hidden="false" customHeight="false" outlineLevel="0" collapsed="false">
      <c r="A389" s="41" t="n">
        <v>12319</v>
      </c>
      <c r="B389" s="41" t="s">
        <v>823</v>
      </c>
      <c r="C389" s="41" t="s">
        <v>1322</v>
      </c>
      <c r="D389" s="41" t="s">
        <v>1689</v>
      </c>
      <c r="E389" s="41" t="s">
        <v>97</v>
      </c>
      <c r="F389" s="15" t="n">
        <v>22.01</v>
      </c>
      <c r="G389" s="30" t="s">
        <v>1519</v>
      </c>
      <c r="H389" s="30" t="s">
        <v>2075</v>
      </c>
    </row>
    <row r="390" customFormat="false" ht="22.35" hidden="false" customHeight="false" outlineLevel="0" collapsed="false">
      <c r="A390" s="42" t="n">
        <v>12320</v>
      </c>
      <c r="B390" s="42" t="s">
        <v>823</v>
      </c>
      <c r="C390" s="42" t="s">
        <v>1423</v>
      </c>
      <c r="D390" s="42" t="s">
        <v>1689</v>
      </c>
      <c r="E390" s="42" t="s">
        <v>97</v>
      </c>
      <c r="F390" s="11" t="n">
        <v>22.01</v>
      </c>
      <c r="G390" s="33" t="s">
        <v>1957</v>
      </c>
      <c r="H390" s="33" t="s">
        <v>2076</v>
      </c>
    </row>
    <row r="391" customFormat="false" ht="32.8" hidden="false" customHeight="false" outlineLevel="0" collapsed="false">
      <c r="A391" s="41" t="n">
        <v>12427</v>
      </c>
      <c r="B391" s="41" t="s">
        <v>823</v>
      </c>
      <c r="C391" s="41" t="s">
        <v>1497</v>
      </c>
      <c r="D391" s="41" t="s">
        <v>1689</v>
      </c>
      <c r="E391" s="41" t="s">
        <v>97</v>
      </c>
      <c r="F391" s="15" t="n">
        <v>21.58</v>
      </c>
      <c r="G391" s="30" t="s">
        <v>2048</v>
      </c>
      <c r="H391" s="30" t="s">
        <v>2077</v>
      </c>
    </row>
    <row r="392" customFormat="false" ht="22.35" hidden="false" customHeight="false" outlineLevel="0" collapsed="false">
      <c r="A392" s="42" t="n">
        <v>12428</v>
      </c>
      <c r="B392" s="42" t="s">
        <v>823</v>
      </c>
      <c r="C392" s="42" t="s">
        <v>1463</v>
      </c>
      <c r="D392" s="42" t="s">
        <v>1689</v>
      </c>
      <c r="E392" s="42" t="s">
        <v>97</v>
      </c>
      <c r="F392" s="11" t="n">
        <v>21.58</v>
      </c>
      <c r="G392" s="33" t="s">
        <v>2043</v>
      </c>
      <c r="H392" s="33" t="s">
        <v>2078</v>
      </c>
    </row>
    <row r="393" customFormat="false" ht="32.8" hidden="false" customHeight="false" outlineLevel="0" collapsed="false">
      <c r="A393" s="41" t="n">
        <v>12429</v>
      </c>
      <c r="B393" s="41" t="s">
        <v>823</v>
      </c>
      <c r="C393" s="41" t="s">
        <v>1488</v>
      </c>
      <c r="D393" s="41" t="s">
        <v>1689</v>
      </c>
      <c r="E393" s="41" t="s">
        <v>97</v>
      </c>
      <c r="F393" s="15" t="n">
        <v>21.58</v>
      </c>
      <c r="G393" s="30" t="s">
        <v>2046</v>
      </c>
      <c r="H393" s="30" t="s">
        <v>2079</v>
      </c>
    </row>
    <row r="394" customFormat="false" ht="22.35" hidden="false" customHeight="false" outlineLevel="0" collapsed="false">
      <c r="A394" s="42" t="n">
        <v>12438</v>
      </c>
      <c r="B394" s="42" t="s">
        <v>877</v>
      </c>
      <c r="C394" s="42" t="s">
        <v>1456</v>
      </c>
      <c r="D394" s="42" t="s">
        <v>748</v>
      </c>
      <c r="E394" s="42" t="s">
        <v>97</v>
      </c>
      <c r="F394" s="11" t="n">
        <v>21.39</v>
      </c>
      <c r="G394" s="33" t="s">
        <v>1457</v>
      </c>
      <c r="H394" s="33" t="s">
        <v>2066</v>
      </c>
    </row>
    <row r="395" customFormat="false" ht="22.35" hidden="false" customHeight="false" outlineLevel="0" collapsed="false">
      <c r="A395" s="41" t="n">
        <v>12440</v>
      </c>
      <c r="B395" s="41" t="s">
        <v>852</v>
      </c>
      <c r="C395" s="41" t="s">
        <v>1012</v>
      </c>
      <c r="D395" s="41" t="s">
        <v>1699</v>
      </c>
      <c r="E395" s="41" t="s">
        <v>97</v>
      </c>
      <c r="F395" s="15" t="n">
        <v>21.25</v>
      </c>
      <c r="G395" s="30" t="s">
        <v>1931</v>
      </c>
      <c r="H395" s="30" t="s">
        <v>2035</v>
      </c>
    </row>
    <row r="396" customFormat="false" ht="32.8" hidden="false" customHeight="false" outlineLevel="0" collapsed="false">
      <c r="A396" s="42" t="n">
        <v>12442</v>
      </c>
      <c r="B396" s="42" t="s">
        <v>823</v>
      </c>
      <c r="C396" s="42" t="s">
        <v>1032</v>
      </c>
      <c r="D396" s="42" t="s">
        <v>1689</v>
      </c>
      <c r="E396" s="42" t="s">
        <v>97</v>
      </c>
      <c r="F396" s="11" t="n">
        <v>21.21</v>
      </c>
      <c r="G396" s="33" t="s">
        <v>1750</v>
      </c>
      <c r="H396" s="33" t="s">
        <v>1782</v>
      </c>
    </row>
    <row r="397" customFormat="false" ht="22.35" hidden="false" customHeight="false" outlineLevel="0" collapsed="false">
      <c r="A397" s="41" t="n">
        <v>12454</v>
      </c>
      <c r="B397" s="41" t="s">
        <v>823</v>
      </c>
      <c r="C397" s="41" t="s">
        <v>878</v>
      </c>
      <c r="D397" s="41" t="s">
        <v>1689</v>
      </c>
      <c r="E397" s="41" t="s">
        <v>97</v>
      </c>
      <c r="F397" s="15" t="n">
        <v>21.13</v>
      </c>
      <c r="G397" s="30" t="s">
        <v>1708</v>
      </c>
      <c r="H397" s="30" t="s">
        <v>1844</v>
      </c>
    </row>
    <row r="398" customFormat="false" ht="22.35" hidden="false" customHeight="false" outlineLevel="0" collapsed="false">
      <c r="A398" s="42" t="n">
        <v>12460</v>
      </c>
      <c r="B398" s="42" t="s">
        <v>852</v>
      </c>
      <c r="C398" s="42" t="s">
        <v>842</v>
      </c>
      <c r="D398" s="42" t="s">
        <v>1699</v>
      </c>
      <c r="E398" s="42" t="s">
        <v>97</v>
      </c>
      <c r="F398" s="11" t="n">
        <v>21</v>
      </c>
      <c r="G398" s="33" t="s">
        <v>1693</v>
      </c>
      <c r="H398" s="33" t="s">
        <v>1735</v>
      </c>
    </row>
    <row r="399" customFormat="false" ht="32.8" hidden="false" customHeight="false" outlineLevel="0" collapsed="false">
      <c r="A399" s="41" t="n">
        <v>12465</v>
      </c>
      <c r="B399" s="41" t="s">
        <v>823</v>
      </c>
      <c r="C399" s="41" t="s">
        <v>1303</v>
      </c>
      <c r="D399" s="41" t="s">
        <v>1689</v>
      </c>
      <c r="E399" s="41" t="s">
        <v>97</v>
      </c>
      <c r="F399" s="15" t="n">
        <v>21</v>
      </c>
      <c r="G399" s="30" t="s">
        <v>1838</v>
      </c>
      <c r="H399" s="30" t="s">
        <v>2080</v>
      </c>
    </row>
    <row r="400" customFormat="false" ht="22.35" hidden="false" customHeight="false" outlineLevel="0" collapsed="false">
      <c r="A400" s="42" t="n">
        <v>12466</v>
      </c>
      <c r="B400" s="42" t="s">
        <v>823</v>
      </c>
      <c r="C400" s="42" t="s">
        <v>1276</v>
      </c>
      <c r="D400" s="42" t="s">
        <v>1689</v>
      </c>
      <c r="E400" s="42" t="s">
        <v>97</v>
      </c>
      <c r="F400" s="11" t="n">
        <v>21</v>
      </c>
      <c r="G400" s="33" t="s">
        <v>1842</v>
      </c>
      <c r="H400" s="33" t="s">
        <v>2081</v>
      </c>
    </row>
    <row r="401" customFormat="false" ht="22.35" hidden="false" customHeight="false" outlineLevel="0" collapsed="false">
      <c r="A401" s="41" t="n">
        <v>12467</v>
      </c>
      <c r="B401" s="41" t="s">
        <v>823</v>
      </c>
      <c r="C401" s="41" t="s">
        <v>949</v>
      </c>
      <c r="D401" s="41" t="s">
        <v>1689</v>
      </c>
      <c r="E401" s="41" t="s">
        <v>97</v>
      </c>
      <c r="F401" s="15" t="n">
        <v>21</v>
      </c>
      <c r="G401" s="30" t="s">
        <v>950</v>
      </c>
      <c r="H401" s="30" t="s">
        <v>2082</v>
      </c>
    </row>
    <row r="402" customFormat="false" ht="22.35" hidden="false" customHeight="false" outlineLevel="0" collapsed="false">
      <c r="A402" s="42" t="n">
        <v>12565</v>
      </c>
      <c r="B402" s="42" t="s">
        <v>823</v>
      </c>
      <c r="C402" s="42" t="s">
        <v>1012</v>
      </c>
      <c r="D402" s="42" t="s">
        <v>1689</v>
      </c>
      <c r="E402" s="42" t="s">
        <v>97</v>
      </c>
      <c r="F402" s="11" t="n">
        <v>20.88</v>
      </c>
      <c r="G402" s="33" t="s">
        <v>1931</v>
      </c>
      <c r="H402" s="33" t="s">
        <v>1932</v>
      </c>
    </row>
    <row r="403" customFormat="false" ht="22.35" hidden="false" customHeight="false" outlineLevel="0" collapsed="false">
      <c r="A403" s="41" t="n">
        <v>12566</v>
      </c>
      <c r="B403" s="41" t="s">
        <v>823</v>
      </c>
      <c r="C403" s="41" t="s">
        <v>1524</v>
      </c>
      <c r="D403" s="41" t="s">
        <v>1689</v>
      </c>
      <c r="E403" s="41" t="s">
        <v>97</v>
      </c>
      <c r="F403" s="15" t="n">
        <v>20.88</v>
      </c>
      <c r="G403" s="30" t="s">
        <v>2036</v>
      </c>
      <c r="H403" s="30" t="s">
        <v>2083</v>
      </c>
    </row>
    <row r="404" customFormat="false" ht="22.35" hidden="false" customHeight="false" outlineLevel="0" collapsed="false">
      <c r="A404" s="42" t="n">
        <v>12567</v>
      </c>
      <c r="B404" s="42" t="s">
        <v>823</v>
      </c>
      <c r="C404" s="42" t="s">
        <v>1640</v>
      </c>
      <c r="D404" s="42" t="s">
        <v>1689</v>
      </c>
      <c r="E404" s="42" t="s">
        <v>97</v>
      </c>
      <c r="F404" s="11" t="n">
        <v>20.88</v>
      </c>
      <c r="G404" s="33" t="s">
        <v>2038</v>
      </c>
      <c r="H404" s="33" t="s">
        <v>2084</v>
      </c>
    </row>
    <row r="405" customFormat="false" ht="32.8" hidden="false" customHeight="false" outlineLevel="0" collapsed="false">
      <c r="A405" s="41" t="n">
        <v>12568</v>
      </c>
      <c r="B405" s="41" t="s">
        <v>823</v>
      </c>
      <c r="C405" s="41" t="s">
        <v>1398</v>
      </c>
      <c r="D405" s="41" t="s">
        <v>1689</v>
      </c>
      <c r="E405" s="41" t="s">
        <v>97</v>
      </c>
      <c r="F405" s="15" t="n">
        <v>20.88</v>
      </c>
      <c r="G405" s="30" t="s">
        <v>1937</v>
      </c>
      <c r="H405" s="30" t="s">
        <v>1938</v>
      </c>
    </row>
    <row r="406" customFormat="false" ht="22.35" hidden="false" customHeight="false" outlineLevel="0" collapsed="false">
      <c r="A406" s="42" t="n">
        <v>12569</v>
      </c>
      <c r="B406" s="42" t="s">
        <v>823</v>
      </c>
      <c r="C406" s="42" t="s">
        <v>1456</v>
      </c>
      <c r="D406" s="42" t="s">
        <v>1689</v>
      </c>
      <c r="E406" s="42" t="s">
        <v>97</v>
      </c>
      <c r="F406" s="11" t="n">
        <v>20.88</v>
      </c>
      <c r="G406" s="33" t="s">
        <v>1457</v>
      </c>
      <c r="H406" s="33" t="s">
        <v>2017</v>
      </c>
    </row>
    <row r="407" customFormat="false" ht="22.35" hidden="false" customHeight="false" outlineLevel="0" collapsed="false">
      <c r="A407" s="41" t="n">
        <v>12570</v>
      </c>
      <c r="B407" s="41" t="s">
        <v>823</v>
      </c>
      <c r="C407" s="41" t="s">
        <v>1619</v>
      </c>
      <c r="D407" s="41" t="s">
        <v>1689</v>
      </c>
      <c r="E407" s="41" t="s">
        <v>97</v>
      </c>
      <c r="F407" s="15" t="n">
        <v>20.88</v>
      </c>
      <c r="G407" s="30" t="s">
        <v>2041</v>
      </c>
      <c r="H407" s="30" t="s">
        <v>2085</v>
      </c>
    </row>
    <row r="408" customFormat="false" ht="22.35" hidden="false" customHeight="false" outlineLevel="0" collapsed="false">
      <c r="A408" s="42" t="n">
        <v>12571</v>
      </c>
      <c r="B408" s="42" t="s">
        <v>823</v>
      </c>
      <c r="C408" s="42" t="s">
        <v>1647</v>
      </c>
      <c r="D408" s="42" t="s">
        <v>1689</v>
      </c>
      <c r="E408" s="42" t="s">
        <v>97</v>
      </c>
      <c r="F408" s="11" t="n">
        <v>20.88</v>
      </c>
      <c r="G408" s="33" t="s">
        <v>1648</v>
      </c>
      <c r="H408" s="33" t="s">
        <v>2086</v>
      </c>
    </row>
    <row r="409" customFormat="false" ht="43.25" hidden="false" customHeight="false" outlineLevel="0" collapsed="false">
      <c r="A409" s="41" t="n">
        <v>12572</v>
      </c>
      <c r="B409" s="41" t="s">
        <v>823</v>
      </c>
      <c r="C409" s="41" t="s">
        <v>1369</v>
      </c>
      <c r="D409" s="41" t="s">
        <v>1689</v>
      </c>
      <c r="E409" s="41" t="s">
        <v>97</v>
      </c>
      <c r="F409" s="15" t="n">
        <v>20.88</v>
      </c>
      <c r="G409" s="30" t="s">
        <v>1916</v>
      </c>
      <c r="H409" s="30" t="s">
        <v>1951</v>
      </c>
    </row>
    <row r="410" customFormat="false" ht="22.35" hidden="false" customHeight="false" outlineLevel="0" collapsed="false">
      <c r="A410" s="42" t="n">
        <v>12575</v>
      </c>
      <c r="B410" s="42" t="s">
        <v>823</v>
      </c>
      <c r="C410" s="42" t="s">
        <v>1125</v>
      </c>
      <c r="D410" s="42" t="s">
        <v>1689</v>
      </c>
      <c r="E410" s="42" t="s">
        <v>97</v>
      </c>
      <c r="F410" s="11" t="n">
        <v>20.78</v>
      </c>
      <c r="G410" s="33" t="s">
        <v>1137</v>
      </c>
      <c r="H410" s="33" t="s">
        <v>1774</v>
      </c>
    </row>
    <row r="411" customFormat="false" ht="32.8" hidden="false" customHeight="false" outlineLevel="0" collapsed="false">
      <c r="A411" s="41" t="n">
        <v>12578</v>
      </c>
      <c r="B411" s="41" t="s">
        <v>852</v>
      </c>
      <c r="C411" s="41" t="s">
        <v>1364</v>
      </c>
      <c r="D411" s="41" t="s">
        <v>1699</v>
      </c>
      <c r="E411" s="41" t="s">
        <v>97</v>
      </c>
      <c r="F411" s="15" t="n">
        <v>20.66</v>
      </c>
      <c r="G411" s="30" t="s">
        <v>1902</v>
      </c>
      <c r="H411" s="30" t="s">
        <v>1962</v>
      </c>
    </row>
    <row r="412" customFormat="false" ht="32.8" hidden="false" customHeight="false" outlineLevel="0" collapsed="false">
      <c r="A412" s="42" t="n">
        <v>12579</v>
      </c>
      <c r="B412" s="42" t="s">
        <v>823</v>
      </c>
      <c r="C412" s="42" t="s">
        <v>1266</v>
      </c>
      <c r="D412" s="42" t="s">
        <v>1689</v>
      </c>
      <c r="E412" s="42" t="s">
        <v>97</v>
      </c>
      <c r="F412" s="11" t="n">
        <v>20.66</v>
      </c>
      <c r="G412" s="33" t="s">
        <v>1804</v>
      </c>
      <c r="H412" s="33" t="s">
        <v>1830</v>
      </c>
    </row>
    <row r="413" customFormat="false" ht="32.8" hidden="false" customHeight="false" outlineLevel="0" collapsed="false">
      <c r="A413" s="41" t="n">
        <v>12620</v>
      </c>
      <c r="B413" s="41" t="s">
        <v>823</v>
      </c>
      <c r="C413" s="41" t="s">
        <v>1076</v>
      </c>
      <c r="D413" s="41" t="s">
        <v>1689</v>
      </c>
      <c r="E413" s="41" t="s">
        <v>97</v>
      </c>
      <c r="F413" s="15" t="n">
        <v>20.45</v>
      </c>
      <c r="G413" s="30" t="s">
        <v>1871</v>
      </c>
      <c r="H413" s="30" t="s">
        <v>1872</v>
      </c>
    </row>
    <row r="414" customFormat="false" ht="22.35" hidden="false" customHeight="false" outlineLevel="0" collapsed="false">
      <c r="A414" s="42" t="n">
        <v>12636</v>
      </c>
      <c r="B414" s="42" t="s">
        <v>823</v>
      </c>
      <c r="C414" s="42" t="s">
        <v>1212</v>
      </c>
      <c r="D414" s="42" t="s">
        <v>1689</v>
      </c>
      <c r="E414" s="42" t="s">
        <v>97</v>
      </c>
      <c r="F414" s="11" t="n">
        <v>20.25</v>
      </c>
      <c r="G414" s="33" t="s">
        <v>1794</v>
      </c>
      <c r="H414" s="33" t="s">
        <v>2087</v>
      </c>
    </row>
    <row r="415" customFormat="false" ht="22.35" hidden="false" customHeight="false" outlineLevel="0" collapsed="false">
      <c r="A415" s="41" t="n">
        <v>12641</v>
      </c>
      <c r="B415" s="41" t="s">
        <v>823</v>
      </c>
      <c r="C415" s="41" t="s">
        <v>1451</v>
      </c>
      <c r="D415" s="41" t="s">
        <v>1689</v>
      </c>
      <c r="E415" s="41" t="s">
        <v>97</v>
      </c>
      <c r="F415" s="15" t="n">
        <v>20.09</v>
      </c>
      <c r="G415" s="30" t="s">
        <v>1980</v>
      </c>
      <c r="H415" s="30" t="s">
        <v>2030</v>
      </c>
    </row>
    <row r="416" customFormat="false" ht="22.35" hidden="false" customHeight="false" outlineLevel="0" collapsed="false">
      <c r="A416" s="42" t="n">
        <v>12749</v>
      </c>
      <c r="B416" s="42" t="s">
        <v>852</v>
      </c>
      <c r="C416" s="42" t="s">
        <v>1418</v>
      </c>
      <c r="D416" s="42" t="s">
        <v>1699</v>
      </c>
      <c r="E416" s="42" t="s">
        <v>97</v>
      </c>
      <c r="F416" s="11" t="n">
        <v>18.9</v>
      </c>
      <c r="G416" s="33" t="s">
        <v>1419</v>
      </c>
      <c r="H416" s="33" t="s">
        <v>2088</v>
      </c>
    </row>
    <row r="417" customFormat="false" ht="32.8" hidden="false" customHeight="false" outlineLevel="0" collapsed="false">
      <c r="A417" s="41" t="n">
        <v>12758</v>
      </c>
      <c r="B417" s="41" t="s">
        <v>829</v>
      </c>
      <c r="C417" s="41" t="s">
        <v>988</v>
      </c>
      <c r="D417" s="41" t="s">
        <v>743</v>
      </c>
      <c r="E417" s="41" t="s">
        <v>97</v>
      </c>
      <c r="F417" s="15" t="n">
        <v>18.79</v>
      </c>
      <c r="G417" s="30" t="s">
        <v>1906</v>
      </c>
      <c r="H417" s="30" t="s">
        <v>1907</v>
      </c>
    </row>
    <row r="418" customFormat="false" ht="32.8" hidden="false" customHeight="false" outlineLevel="0" collapsed="false">
      <c r="A418" s="42" t="n">
        <v>12762</v>
      </c>
      <c r="B418" s="42" t="s">
        <v>823</v>
      </c>
      <c r="C418" s="42" t="s">
        <v>897</v>
      </c>
      <c r="D418" s="42" t="s">
        <v>1689</v>
      </c>
      <c r="E418" s="42" t="s">
        <v>97</v>
      </c>
      <c r="F418" s="11" t="n">
        <v>18.72</v>
      </c>
      <c r="G418" s="33" t="s">
        <v>1731</v>
      </c>
      <c r="H418" s="33" t="s">
        <v>2089</v>
      </c>
    </row>
    <row r="419" customFormat="false" ht="22.35" hidden="false" customHeight="false" outlineLevel="0" collapsed="false">
      <c r="A419" s="41" t="n">
        <v>12765</v>
      </c>
      <c r="B419" s="41" t="s">
        <v>823</v>
      </c>
      <c r="C419" s="41" t="s">
        <v>993</v>
      </c>
      <c r="D419" s="41" t="s">
        <v>1689</v>
      </c>
      <c r="E419" s="41" t="s">
        <v>97</v>
      </c>
      <c r="F419" s="15" t="n">
        <v>18.65</v>
      </c>
      <c r="G419" s="30" t="s">
        <v>994</v>
      </c>
      <c r="H419" s="30" t="s">
        <v>1859</v>
      </c>
    </row>
    <row r="420" customFormat="false" ht="22.35" hidden="false" customHeight="false" outlineLevel="0" collapsed="false">
      <c r="A420" s="42" t="n">
        <v>12771</v>
      </c>
      <c r="B420" s="42" t="s">
        <v>852</v>
      </c>
      <c r="C420" s="42" t="s">
        <v>1441</v>
      </c>
      <c r="D420" s="42" t="s">
        <v>1699</v>
      </c>
      <c r="E420" s="42" t="s">
        <v>97</v>
      </c>
      <c r="F420" s="11" t="n">
        <v>18.62</v>
      </c>
      <c r="G420" s="33" t="s">
        <v>1976</v>
      </c>
      <c r="H420" s="33" t="s">
        <v>1977</v>
      </c>
    </row>
    <row r="421" customFormat="false" ht="22.35" hidden="false" customHeight="false" outlineLevel="0" collapsed="false">
      <c r="A421" s="41" t="n">
        <v>12773</v>
      </c>
      <c r="B421" s="41" t="s">
        <v>823</v>
      </c>
      <c r="C421" s="41" t="s">
        <v>993</v>
      </c>
      <c r="D421" s="41" t="s">
        <v>1689</v>
      </c>
      <c r="E421" s="41" t="s">
        <v>97</v>
      </c>
      <c r="F421" s="15" t="n">
        <v>18.55</v>
      </c>
      <c r="G421" s="30" t="s">
        <v>994</v>
      </c>
      <c r="H421" s="30" t="s">
        <v>1859</v>
      </c>
    </row>
    <row r="422" customFormat="false" ht="22.35" hidden="false" customHeight="false" outlineLevel="0" collapsed="false">
      <c r="A422" s="42" t="n">
        <v>12786</v>
      </c>
      <c r="B422" s="42" t="s">
        <v>823</v>
      </c>
      <c r="C422" s="42" t="s">
        <v>1418</v>
      </c>
      <c r="D422" s="42" t="s">
        <v>1689</v>
      </c>
      <c r="E422" s="42" t="s">
        <v>97</v>
      </c>
      <c r="F422" s="11" t="n">
        <v>18.48</v>
      </c>
      <c r="G422" s="33" t="s">
        <v>1419</v>
      </c>
      <c r="H422" s="33" t="s">
        <v>2090</v>
      </c>
    </row>
    <row r="423" customFormat="false" ht="43.25" hidden="false" customHeight="false" outlineLevel="0" collapsed="false">
      <c r="A423" s="41" t="n">
        <v>12816</v>
      </c>
      <c r="B423" s="41" t="s">
        <v>823</v>
      </c>
      <c r="C423" s="41" t="s">
        <v>1381</v>
      </c>
      <c r="D423" s="41" t="s">
        <v>1689</v>
      </c>
      <c r="E423" s="41" t="s">
        <v>97</v>
      </c>
      <c r="F423" s="15" t="n">
        <v>17.93</v>
      </c>
      <c r="G423" s="30" t="s">
        <v>1886</v>
      </c>
      <c r="H423" s="30" t="s">
        <v>2091</v>
      </c>
    </row>
    <row r="424" customFormat="false" ht="22.35" hidden="false" customHeight="false" outlineLevel="0" collapsed="false">
      <c r="A424" s="42" t="n">
        <v>12819</v>
      </c>
      <c r="B424" s="42" t="s">
        <v>877</v>
      </c>
      <c r="C424" s="42" t="s">
        <v>1044</v>
      </c>
      <c r="D424" s="42" t="s">
        <v>748</v>
      </c>
      <c r="E424" s="42" t="s">
        <v>97</v>
      </c>
      <c r="F424" s="11" t="n">
        <v>17.85</v>
      </c>
      <c r="G424" s="33" t="s">
        <v>1788</v>
      </c>
      <c r="H424" s="33" t="s">
        <v>2092</v>
      </c>
    </row>
    <row r="425" customFormat="false" ht="22.35" hidden="false" customHeight="false" outlineLevel="0" collapsed="false">
      <c r="A425" s="41" t="n">
        <v>12820</v>
      </c>
      <c r="B425" s="41" t="s">
        <v>852</v>
      </c>
      <c r="C425" s="41" t="s">
        <v>1212</v>
      </c>
      <c r="D425" s="41" t="s">
        <v>1699</v>
      </c>
      <c r="E425" s="41" t="s">
        <v>97</v>
      </c>
      <c r="F425" s="15" t="n">
        <v>17.85</v>
      </c>
      <c r="G425" s="30" t="s">
        <v>1794</v>
      </c>
      <c r="H425" s="30" t="s">
        <v>2093</v>
      </c>
    </row>
    <row r="426" customFormat="false" ht="22.35" hidden="false" customHeight="false" outlineLevel="0" collapsed="false">
      <c r="A426" s="42" t="n">
        <v>12821</v>
      </c>
      <c r="B426" s="42" t="s">
        <v>852</v>
      </c>
      <c r="C426" s="42" t="s">
        <v>912</v>
      </c>
      <c r="D426" s="42" t="s">
        <v>1699</v>
      </c>
      <c r="E426" s="42" t="s">
        <v>97</v>
      </c>
      <c r="F426" s="11" t="n">
        <v>17.85</v>
      </c>
      <c r="G426" s="33" t="s">
        <v>913</v>
      </c>
      <c r="H426" s="33" t="s">
        <v>1733</v>
      </c>
    </row>
    <row r="427" customFormat="false" ht="32.8" hidden="false" customHeight="false" outlineLevel="0" collapsed="false">
      <c r="A427" s="41" t="n">
        <v>12822</v>
      </c>
      <c r="B427" s="41" t="s">
        <v>823</v>
      </c>
      <c r="C427" s="41" t="s">
        <v>1298</v>
      </c>
      <c r="D427" s="41" t="s">
        <v>1689</v>
      </c>
      <c r="E427" s="41" t="s">
        <v>97</v>
      </c>
      <c r="F427" s="15" t="n">
        <v>17.85</v>
      </c>
      <c r="G427" s="30" t="s">
        <v>1825</v>
      </c>
      <c r="H427" s="30" t="s">
        <v>2094</v>
      </c>
    </row>
    <row r="428" customFormat="false" ht="22.35" hidden="false" customHeight="false" outlineLevel="0" collapsed="false">
      <c r="A428" s="42" t="n">
        <v>12823</v>
      </c>
      <c r="B428" s="42" t="s">
        <v>823</v>
      </c>
      <c r="C428" s="42" t="s">
        <v>1088</v>
      </c>
      <c r="D428" s="42" t="s">
        <v>1689</v>
      </c>
      <c r="E428" s="42" t="s">
        <v>97</v>
      </c>
      <c r="F428" s="11" t="n">
        <v>17.85</v>
      </c>
      <c r="G428" s="33" t="s">
        <v>1089</v>
      </c>
      <c r="H428" s="33" t="s">
        <v>2095</v>
      </c>
    </row>
    <row r="429" customFormat="false" ht="22.35" hidden="false" customHeight="false" outlineLevel="0" collapsed="false">
      <c r="A429" s="41" t="n">
        <v>12850</v>
      </c>
      <c r="B429" s="41" t="s">
        <v>852</v>
      </c>
      <c r="C429" s="41" t="s">
        <v>1451</v>
      </c>
      <c r="D429" s="41" t="s">
        <v>1699</v>
      </c>
      <c r="E429" s="41" t="s">
        <v>97</v>
      </c>
      <c r="F429" s="15" t="n">
        <v>17.61</v>
      </c>
      <c r="G429" s="30" t="s">
        <v>1980</v>
      </c>
      <c r="H429" s="30" t="s">
        <v>1981</v>
      </c>
    </row>
    <row r="430" customFormat="false" ht="32.8" hidden="false" customHeight="false" outlineLevel="0" collapsed="false">
      <c r="A430" s="42" t="n">
        <v>12862</v>
      </c>
      <c r="B430" s="42" t="s">
        <v>829</v>
      </c>
      <c r="C430" s="42" t="s">
        <v>988</v>
      </c>
      <c r="D430" s="42" t="s">
        <v>743</v>
      </c>
      <c r="E430" s="42" t="s">
        <v>97</v>
      </c>
      <c r="F430" s="11" t="n">
        <v>17.44</v>
      </c>
      <c r="G430" s="33" t="s">
        <v>1906</v>
      </c>
      <c r="H430" s="33" t="s">
        <v>1918</v>
      </c>
    </row>
    <row r="431" customFormat="false" ht="22.35" hidden="false" customHeight="false" outlineLevel="0" collapsed="false">
      <c r="A431" s="41" t="n">
        <v>12863</v>
      </c>
      <c r="B431" s="41" t="s">
        <v>823</v>
      </c>
      <c r="C431" s="41" t="s">
        <v>949</v>
      </c>
      <c r="D431" s="41" t="s">
        <v>1689</v>
      </c>
      <c r="E431" s="41" t="s">
        <v>97</v>
      </c>
      <c r="F431" s="15" t="n">
        <v>17.42</v>
      </c>
      <c r="G431" s="30" t="s">
        <v>950</v>
      </c>
      <c r="H431" s="30" t="s">
        <v>2082</v>
      </c>
    </row>
    <row r="432" customFormat="false" ht="32.8" hidden="false" customHeight="false" outlineLevel="0" collapsed="false">
      <c r="A432" s="42" t="n">
        <v>12865</v>
      </c>
      <c r="B432" s="42" t="s">
        <v>823</v>
      </c>
      <c r="C432" s="42" t="s">
        <v>1247</v>
      </c>
      <c r="D432" s="42" t="s">
        <v>1689</v>
      </c>
      <c r="E432" s="42" t="s">
        <v>97</v>
      </c>
      <c r="F432" s="11" t="n">
        <v>17.37</v>
      </c>
      <c r="G432" s="33" t="s">
        <v>1848</v>
      </c>
      <c r="H432" s="33" t="s">
        <v>2024</v>
      </c>
    </row>
    <row r="433" customFormat="false" ht="22.35" hidden="false" customHeight="false" outlineLevel="0" collapsed="false">
      <c r="A433" s="41" t="n">
        <v>13083</v>
      </c>
      <c r="B433" s="41" t="s">
        <v>877</v>
      </c>
      <c r="C433" s="41" t="s">
        <v>1441</v>
      </c>
      <c r="D433" s="41" t="s">
        <v>748</v>
      </c>
      <c r="E433" s="41" t="s">
        <v>97</v>
      </c>
      <c r="F433" s="15" t="n">
        <v>16.89</v>
      </c>
      <c r="G433" s="30" t="s">
        <v>1976</v>
      </c>
      <c r="H433" s="30" t="s">
        <v>2007</v>
      </c>
    </row>
    <row r="434" customFormat="false" ht="22.35" hidden="false" customHeight="false" outlineLevel="0" collapsed="false">
      <c r="A434" s="42" t="n">
        <v>13088</v>
      </c>
      <c r="B434" s="42" t="s">
        <v>877</v>
      </c>
      <c r="C434" s="42" t="s">
        <v>1044</v>
      </c>
      <c r="D434" s="42" t="s">
        <v>748</v>
      </c>
      <c r="E434" s="42" t="s">
        <v>97</v>
      </c>
      <c r="F434" s="11" t="n">
        <v>16.85</v>
      </c>
      <c r="G434" s="33" t="s">
        <v>1788</v>
      </c>
      <c r="H434" s="33" t="s">
        <v>1789</v>
      </c>
    </row>
    <row r="435" customFormat="false" ht="22.35" hidden="false" customHeight="false" outlineLevel="0" collapsed="false">
      <c r="A435" s="41" t="n">
        <v>13109</v>
      </c>
      <c r="B435" s="41" t="s">
        <v>823</v>
      </c>
      <c r="C435" s="41" t="s">
        <v>1145</v>
      </c>
      <c r="D435" s="41" t="s">
        <v>1689</v>
      </c>
      <c r="E435" s="41" t="s">
        <v>97</v>
      </c>
      <c r="F435" s="15" t="n">
        <v>16.61</v>
      </c>
      <c r="G435" s="30" t="s">
        <v>1822</v>
      </c>
      <c r="H435" s="30" t="s">
        <v>1823</v>
      </c>
    </row>
    <row r="436" customFormat="false" ht="32.8" hidden="false" customHeight="false" outlineLevel="0" collapsed="false">
      <c r="A436" s="42" t="n">
        <v>13121</v>
      </c>
      <c r="B436" s="42" t="s">
        <v>877</v>
      </c>
      <c r="C436" s="42" t="s">
        <v>1470</v>
      </c>
      <c r="D436" s="42" t="s">
        <v>748</v>
      </c>
      <c r="E436" s="42" t="s">
        <v>97</v>
      </c>
      <c r="F436" s="11" t="n">
        <v>16.41</v>
      </c>
      <c r="G436" s="33" t="s">
        <v>1966</v>
      </c>
      <c r="H436" s="33" t="s">
        <v>2001</v>
      </c>
    </row>
    <row r="437" customFormat="false" ht="22.35" hidden="false" customHeight="false" outlineLevel="0" collapsed="false">
      <c r="A437" s="41" t="n">
        <v>13157</v>
      </c>
      <c r="B437" s="41" t="s">
        <v>823</v>
      </c>
      <c r="C437" s="41" t="s">
        <v>978</v>
      </c>
      <c r="D437" s="41" t="s">
        <v>1689</v>
      </c>
      <c r="E437" s="41" t="s">
        <v>97</v>
      </c>
      <c r="F437" s="15" t="n">
        <v>15.85</v>
      </c>
      <c r="G437" s="30" t="s">
        <v>1909</v>
      </c>
      <c r="H437" s="30" t="s">
        <v>2062</v>
      </c>
    </row>
    <row r="438" customFormat="false" ht="22.35" hidden="false" customHeight="false" outlineLevel="0" collapsed="false">
      <c r="A438" s="42" t="n">
        <v>13158</v>
      </c>
      <c r="B438" s="42" t="s">
        <v>823</v>
      </c>
      <c r="C438" s="42" t="s">
        <v>1271</v>
      </c>
      <c r="D438" s="42" t="s">
        <v>1689</v>
      </c>
      <c r="E438" s="42" t="s">
        <v>97</v>
      </c>
      <c r="F438" s="11" t="n">
        <v>15.85</v>
      </c>
      <c r="G438" s="33" t="s">
        <v>1973</v>
      </c>
      <c r="H438" s="33" t="s">
        <v>2096</v>
      </c>
    </row>
    <row r="439" customFormat="false" ht="22.35" hidden="false" customHeight="false" outlineLevel="0" collapsed="false">
      <c r="A439" s="41" t="n">
        <v>13159</v>
      </c>
      <c r="B439" s="41" t="s">
        <v>823</v>
      </c>
      <c r="C439" s="41" t="s">
        <v>867</v>
      </c>
      <c r="D439" s="41" t="s">
        <v>1689</v>
      </c>
      <c r="E439" s="41" t="s">
        <v>97</v>
      </c>
      <c r="F439" s="15" t="n">
        <v>15.85</v>
      </c>
      <c r="G439" s="30" t="s">
        <v>1716</v>
      </c>
      <c r="H439" s="30" t="s">
        <v>1734</v>
      </c>
    </row>
    <row r="440" customFormat="false" ht="22.35" hidden="false" customHeight="false" outlineLevel="0" collapsed="false">
      <c r="A440" s="42" t="n">
        <v>13163</v>
      </c>
      <c r="B440" s="42" t="s">
        <v>823</v>
      </c>
      <c r="C440" s="42" t="s">
        <v>978</v>
      </c>
      <c r="D440" s="42" t="s">
        <v>1689</v>
      </c>
      <c r="E440" s="42" t="s">
        <v>97</v>
      </c>
      <c r="F440" s="11" t="n">
        <v>15.76</v>
      </c>
      <c r="G440" s="33" t="s">
        <v>1909</v>
      </c>
      <c r="H440" s="33" t="s">
        <v>2097</v>
      </c>
    </row>
    <row r="441" customFormat="false" ht="22.35" hidden="false" customHeight="false" outlineLevel="0" collapsed="false">
      <c r="A441" s="41" t="n">
        <v>13165</v>
      </c>
      <c r="B441" s="41" t="s">
        <v>877</v>
      </c>
      <c r="C441" s="41" t="s">
        <v>1232</v>
      </c>
      <c r="D441" s="41" t="s">
        <v>748</v>
      </c>
      <c r="E441" s="41" t="s">
        <v>97</v>
      </c>
      <c r="F441" s="15" t="n">
        <v>15.75</v>
      </c>
      <c r="G441" s="30" t="s">
        <v>1770</v>
      </c>
      <c r="H441" s="30" t="s">
        <v>2098</v>
      </c>
    </row>
    <row r="442" customFormat="false" ht="22.35" hidden="false" customHeight="false" outlineLevel="0" collapsed="false">
      <c r="A442" s="42" t="n">
        <v>13166</v>
      </c>
      <c r="B442" s="42" t="s">
        <v>852</v>
      </c>
      <c r="C442" s="42" t="s">
        <v>978</v>
      </c>
      <c r="D442" s="42" t="s">
        <v>1699</v>
      </c>
      <c r="E442" s="42" t="s">
        <v>97</v>
      </c>
      <c r="F442" s="11" t="n">
        <v>15.75</v>
      </c>
      <c r="G442" s="33" t="s">
        <v>1909</v>
      </c>
      <c r="H442" s="33" t="s">
        <v>1910</v>
      </c>
    </row>
    <row r="443" customFormat="false" ht="22.35" hidden="false" customHeight="false" outlineLevel="0" collapsed="false">
      <c r="A443" s="41" t="n">
        <v>13167</v>
      </c>
      <c r="B443" s="41" t="s">
        <v>852</v>
      </c>
      <c r="C443" s="41" t="s">
        <v>1271</v>
      </c>
      <c r="D443" s="41" t="s">
        <v>1699</v>
      </c>
      <c r="E443" s="41" t="s">
        <v>97</v>
      </c>
      <c r="F443" s="15" t="n">
        <v>15.75</v>
      </c>
      <c r="G443" s="30" t="s">
        <v>1973</v>
      </c>
      <c r="H443" s="30" t="s">
        <v>1974</v>
      </c>
    </row>
    <row r="444" customFormat="false" ht="22.35" hidden="false" customHeight="false" outlineLevel="0" collapsed="false">
      <c r="A444" s="42" t="n">
        <v>13168</v>
      </c>
      <c r="B444" s="42" t="s">
        <v>852</v>
      </c>
      <c r="C444" s="42" t="s">
        <v>867</v>
      </c>
      <c r="D444" s="42" t="s">
        <v>1699</v>
      </c>
      <c r="E444" s="42" t="s">
        <v>97</v>
      </c>
      <c r="F444" s="11" t="n">
        <v>15.75</v>
      </c>
      <c r="G444" s="33" t="s">
        <v>1716</v>
      </c>
      <c r="H444" s="33" t="s">
        <v>1719</v>
      </c>
    </row>
    <row r="445" customFormat="false" ht="22.35" hidden="false" customHeight="false" outlineLevel="0" collapsed="false">
      <c r="A445" s="41" t="n">
        <v>13176</v>
      </c>
      <c r="B445" s="41" t="s">
        <v>823</v>
      </c>
      <c r="C445" s="41" t="s">
        <v>1315</v>
      </c>
      <c r="D445" s="41" t="s">
        <v>1689</v>
      </c>
      <c r="E445" s="41" t="s">
        <v>97</v>
      </c>
      <c r="F445" s="15" t="n">
        <v>15.75</v>
      </c>
      <c r="G445" s="30" t="s">
        <v>1316</v>
      </c>
      <c r="H445" s="30" t="s">
        <v>2099</v>
      </c>
    </row>
    <row r="446" customFormat="false" ht="32.8" hidden="false" customHeight="false" outlineLevel="0" collapsed="false">
      <c r="A446" s="42" t="n">
        <v>13177</v>
      </c>
      <c r="B446" s="42" t="s">
        <v>823</v>
      </c>
      <c r="C446" s="42" t="s">
        <v>1330</v>
      </c>
      <c r="D446" s="42" t="s">
        <v>1689</v>
      </c>
      <c r="E446" s="42" t="s">
        <v>97</v>
      </c>
      <c r="F446" s="11" t="n">
        <v>15.75</v>
      </c>
      <c r="G446" s="33" t="s">
        <v>1833</v>
      </c>
      <c r="H446" s="33" t="s">
        <v>2100</v>
      </c>
    </row>
    <row r="447" customFormat="false" ht="43.25" hidden="false" customHeight="false" outlineLevel="0" collapsed="false">
      <c r="A447" s="41" t="n">
        <v>13199</v>
      </c>
      <c r="B447" s="41" t="s">
        <v>852</v>
      </c>
      <c r="C447" s="41" t="s">
        <v>959</v>
      </c>
      <c r="D447" s="41" t="s">
        <v>1699</v>
      </c>
      <c r="E447" s="41" t="s">
        <v>97</v>
      </c>
      <c r="F447" s="15" t="n">
        <v>15.35</v>
      </c>
      <c r="G447" s="30" t="s">
        <v>1785</v>
      </c>
      <c r="H447" s="30" t="s">
        <v>1809</v>
      </c>
    </row>
    <row r="448" customFormat="false" ht="22.35" hidden="false" customHeight="false" outlineLevel="0" collapsed="false">
      <c r="A448" s="42" t="n">
        <v>13233</v>
      </c>
      <c r="B448" s="42" t="s">
        <v>823</v>
      </c>
      <c r="C448" s="42" t="s">
        <v>1352</v>
      </c>
      <c r="D448" s="42" t="s">
        <v>1689</v>
      </c>
      <c r="E448" s="42" t="s">
        <v>97</v>
      </c>
      <c r="F448" s="11" t="n">
        <v>15.03</v>
      </c>
      <c r="G448" s="33" t="s">
        <v>1353</v>
      </c>
      <c r="H448" s="33" t="s">
        <v>1829</v>
      </c>
    </row>
    <row r="449" customFormat="false" ht="32.8" hidden="false" customHeight="false" outlineLevel="0" collapsed="false">
      <c r="A449" s="41" t="n">
        <v>13235</v>
      </c>
      <c r="B449" s="41" t="s">
        <v>852</v>
      </c>
      <c r="C449" s="41" t="s">
        <v>1470</v>
      </c>
      <c r="D449" s="41" t="s">
        <v>1699</v>
      </c>
      <c r="E449" s="41" t="s">
        <v>97</v>
      </c>
      <c r="F449" s="15" t="n">
        <v>14.98</v>
      </c>
      <c r="G449" s="30" t="s">
        <v>1966</v>
      </c>
      <c r="H449" s="30" t="s">
        <v>1967</v>
      </c>
    </row>
    <row r="450" customFormat="false" ht="32.8" hidden="false" customHeight="false" outlineLevel="0" collapsed="false">
      <c r="A450" s="42" t="n">
        <v>13249</v>
      </c>
      <c r="B450" s="42" t="s">
        <v>823</v>
      </c>
      <c r="C450" s="42" t="s">
        <v>1175</v>
      </c>
      <c r="D450" s="42" t="s">
        <v>1689</v>
      </c>
      <c r="E450" s="42" t="s">
        <v>97</v>
      </c>
      <c r="F450" s="11" t="n">
        <v>14.81</v>
      </c>
      <c r="G450" s="33" t="s">
        <v>1812</v>
      </c>
      <c r="H450" s="33" t="s">
        <v>1813</v>
      </c>
    </row>
    <row r="451" customFormat="false" ht="22.35" hidden="false" customHeight="false" outlineLevel="0" collapsed="false">
      <c r="A451" s="41" t="n">
        <v>13253</v>
      </c>
      <c r="B451" s="41" t="s">
        <v>877</v>
      </c>
      <c r="C451" s="41" t="s">
        <v>1003</v>
      </c>
      <c r="D451" s="41" t="s">
        <v>748</v>
      </c>
      <c r="E451" s="41" t="s">
        <v>97</v>
      </c>
      <c r="F451" s="15" t="n">
        <v>14.7</v>
      </c>
      <c r="G451" s="30" t="s">
        <v>1004</v>
      </c>
      <c r="H451" s="30" t="s">
        <v>2101</v>
      </c>
    </row>
    <row r="452" customFormat="false" ht="22.35" hidden="false" customHeight="false" outlineLevel="0" collapsed="false">
      <c r="A452" s="42" t="n">
        <v>13265</v>
      </c>
      <c r="B452" s="42" t="s">
        <v>823</v>
      </c>
      <c r="C452" s="42" t="s">
        <v>1145</v>
      </c>
      <c r="D452" s="42" t="s">
        <v>1689</v>
      </c>
      <c r="E452" s="42" t="s">
        <v>97</v>
      </c>
      <c r="F452" s="11" t="n">
        <v>14.7</v>
      </c>
      <c r="G452" s="33" t="s">
        <v>1822</v>
      </c>
      <c r="H452" s="33" t="s">
        <v>2102</v>
      </c>
    </row>
    <row r="453" customFormat="false" ht="32.8" hidden="false" customHeight="false" outlineLevel="0" collapsed="false">
      <c r="A453" s="41" t="n">
        <v>13301</v>
      </c>
      <c r="B453" s="41" t="s">
        <v>877</v>
      </c>
      <c r="C453" s="41" t="s">
        <v>1266</v>
      </c>
      <c r="D453" s="41" t="s">
        <v>748</v>
      </c>
      <c r="E453" s="41" t="s">
        <v>97</v>
      </c>
      <c r="F453" s="15" t="n">
        <v>14.25</v>
      </c>
      <c r="G453" s="30" t="s">
        <v>1804</v>
      </c>
      <c r="H453" s="30" t="s">
        <v>1805</v>
      </c>
    </row>
    <row r="454" customFormat="false" ht="22.35" hidden="false" customHeight="false" outlineLevel="0" collapsed="false">
      <c r="A454" s="42" t="n">
        <v>13308</v>
      </c>
      <c r="B454" s="42" t="s">
        <v>829</v>
      </c>
      <c r="C454" s="42" t="s">
        <v>1054</v>
      </c>
      <c r="D454" s="42" t="s">
        <v>743</v>
      </c>
      <c r="E454" s="42" t="s">
        <v>97</v>
      </c>
      <c r="F454" s="11" t="n">
        <v>14.09</v>
      </c>
      <c r="G454" s="33" t="s">
        <v>1851</v>
      </c>
      <c r="H454" s="33" t="s">
        <v>1852</v>
      </c>
    </row>
    <row r="455" customFormat="false" ht="22.35" hidden="false" customHeight="false" outlineLevel="0" collapsed="false">
      <c r="A455" s="41" t="n">
        <v>13328</v>
      </c>
      <c r="B455" s="41" t="s">
        <v>823</v>
      </c>
      <c r="C455" s="41" t="s">
        <v>1322</v>
      </c>
      <c r="D455" s="41" t="s">
        <v>1689</v>
      </c>
      <c r="E455" s="41" t="s">
        <v>97</v>
      </c>
      <c r="F455" s="15" t="n">
        <v>13.93</v>
      </c>
      <c r="G455" s="30" t="s">
        <v>1519</v>
      </c>
      <c r="H455" s="30" t="s">
        <v>2020</v>
      </c>
    </row>
    <row r="456" customFormat="false" ht="32.8" hidden="false" customHeight="false" outlineLevel="0" collapsed="false">
      <c r="A456" s="42" t="n">
        <v>13334</v>
      </c>
      <c r="B456" s="42" t="s">
        <v>823</v>
      </c>
      <c r="C456" s="42" t="s">
        <v>1488</v>
      </c>
      <c r="D456" s="42" t="s">
        <v>1689</v>
      </c>
      <c r="E456" s="42" t="s">
        <v>97</v>
      </c>
      <c r="F456" s="11" t="n">
        <v>13.85</v>
      </c>
      <c r="G456" s="33" t="s">
        <v>2046</v>
      </c>
      <c r="H456" s="33" t="s">
        <v>2103</v>
      </c>
    </row>
    <row r="457" customFormat="false" ht="32.8" hidden="false" customHeight="false" outlineLevel="0" collapsed="false">
      <c r="A457" s="41" t="n">
        <v>13336</v>
      </c>
      <c r="B457" s="41" t="s">
        <v>829</v>
      </c>
      <c r="C457" s="41" t="s">
        <v>939</v>
      </c>
      <c r="D457" s="41" t="s">
        <v>743</v>
      </c>
      <c r="E457" s="41" t="s">
        <v>97</v>
      </c>
      <c r="F457" s="15" t="n">
        <v>13.75</v>
      </c>
      <c r="G457" s="30" t="s">
        <v>1892</v>
      </c>
      <c r="H457" s="30" t="s">
        <v>2104</v>
      </c>
    </row>
    <row r="458" customFormat="false" ht="22.35" hidden="false" customHeight="false" outlineLevel="0" collapsed="false">
      <c r="A458" s="42" t="n">
        <v>13350</v>
      </c>
      <c r="B458" s="42" t="s">
        <v>852</v>
      </c>
      <c r="C458" s="42" t="s">
        <v>878</v>
      </c>
      <c r="D458" s="42" t="s">
        <v>1699</v>
      </c>
      <c r="E458" s="42" t="s">
        <v>97</v>
      </c>
      <c r="F458" s="11" t="n">
        <v>13.65</v>
      </c>
      <c r="G458" s="33" t="s">
        <v>1708</v>
      </c>
      <c r="H458" s="33" t="s">
        <v>1904</v>
      </c>
    </row>
    <row r="459" customFormat="false" ht="32.8" hidden="false" customHeight="false" outlineLevel="0" collapsed="false">
      <c r="A459" s="41" t="n">
        <v>13357</v>
      </c>
      <c r="B459" s="41" t="s">
        <v>823</v>
      </c>
      <c r="C459" s="41" t="s">
        <v>837</v>
      </c>
      <c r="D459" s="41" t="s">
        <v>1689</v>
      </c>
      <c r="E459" s="41" t="s">
        <v>97</v>
      </c>
      <c r="F459" s="15" t="n">
        <v>13.65</v>
      </c>
      <c r="G459" s="30" t="s">
        <v>1695</v>
      </c>
      <c r="H459" s="30" t="s">
        <v>1746</v>
      </c>
    </row>
    <row r="460" customFormat="false" ht="22.35" hidden="false" customHeight="false" outlineLevel="0" collapsed="false">
      <c r="A460" s="42" t="n">
        <v>13360</v>
      </c>
      <c r="B460" s="42" t="s">
        <v>823</v>
      </c>
      <c r="C460" s="42" t="s">
        <v>1271</v>
      </c>
      <c r="D460" s="42" t="s">
        <v>1689</v>
      </c>
      <c r="E460" s="42" t="s">
        <v>97</v>
      </c>
      <c r="F460" s="11" t="n">
        <v>13.65</v>
      </c>
      <c r="G460" s="33" t="s">
        <v>1973</v>
      </c>
      <c r="H460" s="33" t="s">
        <v>2018</v>
      </c>
    </row>
    <row r="461" customFormat="false" ht="32.8" hidden="false" customHeight="false" outlineLevel="0" collapsed="false">
      <c r="A461" s="41" t="n">
        <v>13361</v>
      </c>
      <c r="B461" s="41" t="s">
        <v>823</v>
      </c>
      <c r="C461" s="41" t="s">
        <v>897</v>
      </c>
      <c r="D461" s="41" t="s">
        <v>1689</v>
      </c>
      <c r="E461" s="41" t="s">
        <v>97</v>
      </c>
      <c r="F461" s="15" t="n">
        <v>13.65</v>
      </c>
      <c r="G461" s="30" t="s">
        <v>1731</v>
      </c>
      <c r="H461" s="30" t="s">
        <v>2089</v>
      </c>
    </row>
    <row r="462" customFormat="false" ht="22.35" hidden="false" customHeight="false" outlineLevel="0" collapsed="false">
      <c r="A462" s="42" t="n">
        <v>13370</v>
      </c>
      <c r="B462" s="42" t="s">
        <v>823</v>
      </c>
      <c r="C462" s="42" t="s">
        <v>1403</v>
      </c>
      <c r="D462" s="42" t="s">
        <v>1689</v>
      </c>
      <c r="E462" s="42" t="s">
        <v>97</v>
      </c>
      <c r="F462" s="11" t="n">
        <v>13.63</v>
      </c>
      <c r="G462" s="33" t="s">
        <v>1986</v>
      </c>
      <c r="H462" s="33" t="s">
        <v>2032</v>
      </c>
    </row>
    <row r="463" customFormat="false" ht="22.35" hidden="false" customHeight="false" outlineLevel="0" collapsed="false">
      <c r="A463" s="41" t="n">
        <v>13374</v>
      </c>
      <c r="B463" s="41" t="s">
        <v>823</v>
      </c>
      <c r="C463" s="41" t="s">
        <v>1446</v>
      </c>
      <c r="D463" s="41" t="s">
        <v>1689</v>
      </c>
      <c r="E463" s="41" t="s">
        <v>97</v>
      </c>
      <c r="F463" s="15" t="n">
        <v>13.55</v>
      </c>
      <c r="G463" s="30" t="s">
        <v>1955</v>
      </c>
      <c r="H463" s="30" t="s">
        <v>2074</v>
      </c>
    </row>
    <row r="464" customFormat="false" ht="22.35" hidden="false" customHeight="false" outlineLevel="0" collapsed="false">
      <c r="A464" s="42" t="n">
        <v>13382</v>
      </c>
      <c r="B464" s="42" t="s">
        <v>877</v>
      </c>
      <c r="C464" s="42" t="s">
        <v>878</v>
      </c>
      <c r="D464" s="42" t="s">
        <v>748</v>
      </c>
      <c r="E464" s="42" t="s">
        <v>97</v>
      </c>
      <c r="F464" s="11" t="n">
        <v>13.54</v>
      </c>
      <c r="G464" s="33" t="s">
        <v>1708</v>
      </c>
      <c r="H464" s="33" t="s">
        <v>2105</v>
      </c>
    </row>
    <row r="465" customFormat="false" ht="22.35" hidden="false" customHeight="false" outlineLevel="0" collapsed="false">
      <c r="A465" s="41" t="n">
        <v>13417</v>
      </c>
      <c r="B465" s="41" t="s">
        <v>829</v>
      </c>
      <c r="C465" s="41" t="s">
        <v>872</v>
      </c>
      <c r="D465" s="41" t="s">
        <v>743</v>
      </c>
      <c r="E465" s="41" t="s">
        <v>97</v>
      </c>
      <c r="F465" s="15" t="n">
        <v>13.26</v>
      </c>
      <c r="G465" s="30" t="s">
        <v>1710</v>
      </c>
      <c r="H465" s="30" t="s">
        <v>2106</v>
      </c>
    </row>
    <row r="466" customFormat="false" ht="32.8" hidden="false" customHeight="false" outlineLevel="0" collapsed="false">
      <c r="A466" s="42" t="n">
        <v>13420</v>
      </c>
      <c r="B466" s="42" t="s">
        <v>823</v>
      </c>
      <c r="C466" s="42" t="s">
        <v>1497</v>
      </c>
      <c r="D466" s="42" t="s">
        <v>1689</v>
      </c>
      <c r="E466" s="42" t="s">
        <v>97</v>
      </c>
      <c r="F466" s="11" t="n">
        <v>13.23</v>
      </c>
      <c r="G466" s="33" t="s">
        <v>2048</v>
      </c>
      <c r="H466" s="33" t="s">
        <v>2107</v>
      </c>
    </row>
    <row r="467" customFormat="false" ht="22.35" hidden="false" customHeight="false" outlineLevel="0" collapsed="false">
      <c r="A467" s="41" t="n">
        <v>13439</v>
      </c>
      <c r="B467" s="41" t="s">
        <v>829</v>
      </c>
      <c r="C467" s="41" t="s">
        <v>1037</v>
      </c>
      <c r="D467" s="41" t="s">
        <v>743</v>
      </c>
      <c r="E467" s="41" t="s">
        <v>97</v>
      </c>
      <c r="F467" s="15" t="n">
        <v>13.08</v>
      </c>
      <c r="G467" s="30" t="s">
        <v>1883</v>
      </c>
      <c r="H467" s="30" t="s">
        <v>1884</v>
      </c>
    </row>
    <row r="468" customFormat="false" ht="32.8" hidden="false" customHeight="false" outlineLevel="0" collapsed="false">
      <c r="A468" s="42" t="n">
        <v>13443</v>
      </c>
      <c r="B468" s="42" t="s">
        <v>852</v>
      </c>
      <c r="C468" s="42" t="s">
        <v>1071</v>
      </c>
      <c r="D468" s="42" t="s">
        <v>1699</v>
      </c>
      <c r="E468" s="42" t="s">
        <v>97</v>
      </c>
      <c r="F468" s="11" t="n">
        <v>13.06</v>
      </c>
      <c r="G468" s="33" t="s">
        <v>1780</v>
      </c>
      <c r="H468" s="33" t="s">
        <v>1808</v>
      </c>
    </row>
    <row r="469" customFormat="false" ht="32.8" hidden="false" customHeight="false" outlineLevel="0" collapsed="false">
      <c r="A469" s="41" t="n">
        <v>13462</v>
      </c>
      <c r="B469" s="41" t="s">
        <v>852</v>
      </c>
      <c r="C469" s="41" t="s">
        <v>1497</v>
      </c>
      <c r="D469" s="41" t="s">
        <v>1699</v>
      </c>
      <c r="E469" s="41" t="s">
        <v>97</v>
      </c>
      <c r="F469" s="15" t="n">
        <v>13.04</v>
      </c>
      <c r="G469" s="30" t="s">
        <v>2048</v>
      </c>
      <c r="H469" s="30" t="s">
        <v>2108</v>
      </c>
    </row>
    <row r="470" customFormat="false" ht="22.35" hidden="false" customHeight="false" outlineLevel="0" collapsed="false">
      <c r="A470" s="42" t="n">
        <v>13463</v>
      </c>
      <c r="B470" s="42" t="s">
        <v>852</v>
      </c>
      <c r="C470" s="42" t="s">
        <v>1531</v>
      </c>
      <c r="D470" s="42" t="s">
        <v>1699</v>
      </c>
      <c r="E470" s="42" t="s">
        <v>97</v>
      </c>
      <c r="F470" s="11" t="n">
        <v>13.04</v>
      </c>
      <c r="G470" s="33" t="s">
        <v>1532</v>
      </c>
      <c r="H470" s="33" t="s">
        <v>2109</v>
      </c>
    </row>
    <row r="471" customFormat="false" ht="32.8" hidden="false" customHeight="false" outlineLevel="0" collapsed="false">
      <c r="A471" s="41" t="n">
        <v>13464</v>
      </c>
      <c r="B471" s="41" t="s">
        <v>852</v>
      </c>
      <c r="C471" s="41" t="s">
        <v>1590</v>
      </c>
      <c r="D471" s="41" t="s">
        <v>1699</v>
      </c>
      <c r="E471" s="41" t="s">
        <v>97</v>
      </c>
      <c r="F471" s="15" t="n">
        <v>13.04</v>
      </c>
      <c r="G471" s="30" t="s">
        <v>2051</v>
      </c>
      <c r="H471" s="30" t="s">
        <v>2110</v>
      </c>
    </row>
    <row r="472" customFormat="false" ht="22.35" hidden="false" customHeight="false" outlineLevel="0" collapsed="false">
      <c r="A472" s="42" t="n">
        <v>13477</v>
      </c>
      <c r="B472" s="42" t="s">
        <v>877</v>
      </c>
      <c r="C472" s="42" t="s">
        <v>1451</v>
      </c>
      <c r="D472" s="42" t="s">
        <v>748</v>
      </c>
      <c r="E472" s="42" t="s">
        <v>97</v>
      </c>
      <c r="F472" s="11" t="n">
        <v>12.85</v>
      </c>
      <c r="G472" s="33" t="s">
        <v>1980</v>
      </c>
      <c r="H472" s="33" t="s">
        <v>2010</v>
      </c>
    </row>
    <row r="473" customFormat="false" ht="22.35" hidden="false" customHeight="false" outlineLevel="0" collapsed="false">
      <c r="A473" s="41" t="n">
        <v>13513</v>
      </c>
      <c r="B473" s="41" t="s">
        <v>823</v>
      </c>
      <c r="C473" s="41" t="s">
        <v>978</v>
      </c>
      <c r="D473" s="41" t="s">
        <v>1689</v>
      </c>
      <c r="E473" s="41" t="s">
        <v>97</v>
      </c>
      <c r="F473" s="15" t="n">
        <v>12.6</v>
      </c>
      <c r="G473" s="30" t="s">
        <v>1909</v>
      </c>
      <c r="H473" s="30" t="s">
        <v>2097</v>
      </c>
    </row>
    <row r="474" customFormat="false" ht="22.35" hidden="false" customHeight="false" outlineLevel="0" collapsed="false">
      <c r="A474" s="42" t="n">
        <v>13514</v>
      </c>
      <c r="B474" s="42" t="s">
        <v>823</v>
      </c>
      <c r="C474" s="42" t="s">
        <v>1271</v>
      </c>
      <c r="D474" s="42" t="s">
        <v>1689</v>
      </c>
      <c r="E474" s="42" t="s">
        <v>97</v>
      </c>
      <c r="F474" s="11" t="n">
        <v>12.6</v>
      </c>
      <c r="G474" s="33" t="s">
        <v>1973</v>
      </c>
      <c r="H474" s="33" t="s">
        <v>2111</v>
      </c>
    </row>
    <row r="475" customFormat="false" ht="22.35" hidden="false" customHeight="false" outlineLevel="0" collapsed="false">
      <c r="A475" s="41" t="n">
        <v>13515</v>
      </c>
      <c r="B475" s="41" t="s">
        <v>823</v>
      </c>
      <c r="C475" s="41" t="s">
        <v>867</v>
      </c>
      <c r="D475" s="41" t="s">
        <v>1689</v>
      </c>
      <c r="E475" s="41" t="s">
        <v>97</v>
      </c>
      <c r="F475" s="15" t="n">
        <v>12.6</v>
      </c>
      <c r="G475" s="30" t="s">
        <v>1716</v>
      </c>
      <c r="H475" s="30" t="s">
        <v>1802</v>
      </c>
    </row>
    <row r="476" customFormat="false" ht="22.35" hidden="false" customHeight="false" outlineLevel="0" collapsed="false">
      <c r="A476" s="42" t="n">
        <v>13522</v>
      </c>
      <c r="B476" s="42" t="s">
        <v>823</v>
      </c>
      <c r="C476" s="42" t="s">
        <v>1463</v>
      </c>
      <c r="D476" s="42" t="s">
        <v>1689</v>
      </c>
      <c r="E476" s="42" t="s">
        <v>97</v>
      </c>
      <c r="F476" s="11" t="n">
        <v>12.53</v>
      </c>
      <c r="G476" s="33" t="s">
        <v>2043</v>
      </c>
      <c r="H476" s="33" t="s">
        <v>2112</v>
      </c>
    </row>
    <row r="477" customFormat="false" ht="22.35" hidden="false" customHeight="false" outlineLevel="0" collapsed="false">
      <c r="A477" s="41" t="n">
        <v>13553</v>
      </c>
      <c r="B477" s="41" t="s">
        <v>829</v>
      </c>
      <c r="C477" s="41" t="s">
        <v>1170</v>
      </c>
      <c r="D477" s="41" t="s">
        <v>743</v>
      </c>
      <c r="E477" s="41" t="s">
        <v>97</v>
      </c>
      <c r="F477" s="15" t="n">
        <v>12.31</v>
      </c>
      <c r="G477" s="30" t="s">
        <v>1912</v>
      </c>
      <c r="H477" s="30" t="s">
        <v>1913</v>
      </c>
    </row>
    <row r="478" customFormat="false" ht="22.35" hidden="false" customHeight="false" outlineLevel="0" collapsed="false">
      <c r="A478" s="42" t="n">
        <v>13558</v>
      </c>
      <c r="B478" s="42" t="s">
        <v>852</v>
      </c>
      <c r="C478" s="42" t="s">
        <v>1463</v>
      </c>
      <c r="D478" s="42" t="s">
        <v>1699</v>
      </c>
      <c r="E478" s="42" t="s">
        <v>97</v>
      </c>
      <c r="F478" s="11" t="n">
        <v>12.23</v>
      </c>
      <c r="G478" s="33" t="s">
        <v>2043</v>
      </c>
      <c r="H478" s="33" t="s">
        <v>2044</v>
      </c>
    </row>
    <row r="479" customFormat="false" ht="22.35" hidden="false" customHeight="false" outlineLevel="0" collapsed="false">
      <c r="A479" s="41" t="n">
        <v>13563</v>
      </c>
      <c r="B479" s="41" t="s">
        <v>829</v>
      </c>
      <c r="C479" s="41" t="s">
        <v>1059</v>
      </c>
      <c r="D479" s="41" t="s">
        <v>743</v>
      </c>
      <c r="E479" s="41" t="s">
        <v>97</v>
      </c>
      <c r="F479" s="15" t="n">
        <v>12.19</v>
      </c>
      <c r="G479" s="30" t="s">
        <v>1060</v>
      </c>
      <c r="H479" s="30" t="s">
        <v>1862</v>
      </c>
    </row>
    <row r="480" customFormat="false" ht="22.35" hidden="false" customHeight="false" outlineLevel="0" collapsed="false">
      <c r="A480" s="42" t="n">
        <v>13570</v>
      </c>
      <c r="B480" s="42" t="s">
        <v>829</v>
      </c>
      <c r="C480" s="42" t="s">
        <v>1049</v>
      </c>
      <c r="D480" s="42" t="s">
        <v>743</v>
      </c>
      <c r="E480" s="42" t="s">
        <v>97</v>
      </c>
      <c r="F480" s="11" t="n">
        <v>12.05</v>
      </c>
      <c r="G480" s="33" t="s">
        <v>1050</v>
      </c>
      <c r="H480" s="33" t="s">
        <v>1885</v>
      </c>
    </row>
    <row r="481" customFormat="false" ht="22.35" hidden="false" customHeight="false" outlineLevel="0" collapsed="false">
      <c r="A481" s="41" t="n">
        <v>13574</v>
      </c>
      <c r="B481" s="41" t="s">
        <v>823</v>
      </c>
      <c r="C481" s="41" t="s">
        <v>1120</v>
      </c>
      <c r="D481" s="41" t="s">
        <v>1689</v>
      </c>
      <c r="E481" s="41" t="s">
        <v>97</v>
      </c>
      <c r="F481" s="15" t="n">
        <v>11.99</v>
      </c>
      <c r="G481" s="30" t="s">
        <v>1792</v>
      </c>
      <c r="H481" s="30" t="s">
        <v>1793</v>
      </c>
    </row>
    <row r="482" customFormat="false" ht="22.35" hidden="false" customHeight="false" outlineLevel="0" collapsed="false">
      <c r="A482" s="42" t="n">
        <v>13587</v>
      </c>
      <c r="B482" s="42" t="s">
        <v>823</v>
      </c>
      <c r="C482" s="42" t="s">
        <v>878</v>
      </c>
      <c r="D482" s="42" t="s">
        <v>1689</v>
      </c>
      <c r="E482" s="42" t="s">
        <v>97</v>
      </c>
      <c r="F482" s="11" t="n">
        <v>11.94</v>
      </c>
      <c r="G482" s="33" t="s">
        <v>1708</v>
      </c>
      <c r="H482" s="33" t="s">
        <v>2113</v>
      </c>
    </row>
    <row r="483" customFormat="false" ht="32.8" hidden="false" customHeight="false" outlineLevel="0" collapsed="false">
      <c r="A483" s="41" t="n">
        <v>13627</v>
      </c>
      <c r="B483" s="41" t="s">
        <v>852</v>
      </c>
      <c r="C483" s="41" t="s">
        <v>1066</v>
      </c>
      <c r="D483" s="41" t="s">
        <v>1699</v>
      </c>
      <c r="E483" s="41" t="s">
        <v>97</v>
      </c>
      <c r="F483" s="15" t="n">
        <v>11.68</v>
      </c>
      <c r="G483" s="30" t="s">
        <v>1766</v>
      </c>
      <c r="H483" s="30" t="s">
        <v>1827</v>
      </c>
    </row>
    <row r="484" customFormat="false" ht="22.35" hidden="false" customHeight="false" outlineLevel="0" collapsed="false">
      <c r="A484" s="42" t="n">
        <v>13629</v>
      </c>
      <c r="B484" s="42" t="s">
        <v>823</v>
      </c>
      <c r="C484" s="42" t="s">
        <v>1446</v>
      </c>
      <c r="D484" s="42" t="s">
        <v>1689</v>
      </c>
      <c r="E484" s="42" t="s">
        <v>97</v>
      </c>
      <c r="F484" s="11" t="n">
        <v>11.67</v>
      </c>
      <c r="G484" s="33" t="s">
        <v>1955</v>
      </c>
      <c r="H484" s="33" t="s">
        <v>2074</v>
      </c>
    </row>
    <row r="485" customFormat="false" ht="32.8" hidden="false" customHeight="false" outlineLevel="0" collapsed="false">
      <c r="A485" s="41" t="n">
        <v>13642</v>
      </c>
      <c r="B485" s="41" t="s">
        <v>823</v>
      </c>
      <c r="C485" s="41" t="s">
        <v>932</v>
      </c>
      <c r="D485" s="41" t="s">
        <v>1689</v>
      </c>
      <c r="E485" s="41" t="s">
        <v>97</v>
      </c>
      <c r="F485" s="15" t="n">
        <v>11.42</v>
      </c>
      <c r="G485" s="30" t="s">
        <v>1739</v>
      </c>
      <c r="H485" s="30" t="s">
        <v>2114</v>
      </c>
    </row>
    <row r="486" customFormat="false" ht="22.35" hidden="false" customHeight="false" outlineLevel="0" collapsed="false">
      <c r="A486" s="42" t="n">
        <v>13662</v>
      </c>
      <c r="B486" s="42" t="s">
        <v>829</v>
      </c>
      <c r="C486" s="42" t="s">
        <v>1037</v>
      </c>
      <c r="D486" s="42" t="s">
        <v>743</v>
      </c>
      <c r="E486" s="42" t="s">
        <v>97</v>
      </c>
      <c r="F486" s="11" t="n">
        <v>11.27</v>
      </c>
      <c r="G486" s="33" t="s">
        <v>1883</v>
      </c>
      <c r="H486" s="33" t="s">
        <v>1919</v>
      </c>
    </row>
    <row r="487" customFormat="false" ht="22.35" hidden="false" customHeight="false" outlineLevel="0" collapsed="false">
      <c r="A487" s="41" t="n">
        <v>13664</v>
      </c>
      <c r="B487" s="41" t="s">
        <v>823</v>
      </c>
      <c r="C487" s="41" t="s">
        <v>1322</v>
      </c>
      <c r="D487" s="41" t="s">
        <v>1689</v>
      </c>
      <c r="E487" s="41" t="s">
        <v>97</v>
      </c>
      <c r="F487" s="15" t="n">
        <v>11.22</v>
      </c>
      <c r="G487" s="30" t="s">
        <v>1519</v>
      </c>
      <c r="H487" s="30" t="s">
        <v>2075</v>
      </c>
    </row>
    <row r="488" customFormat="false" ht="22.35" hidden="false" customHeight="false" outlineLevel="0" collapsed="false">
      <c r="A488" s="42" t="n">
        <v>13684</v>
      </c>
      <c r="B488" s="42" t="s">
        <v>823</v>
      </c>
      <c r="C488" s="42" t="s">
        <v>1088</v>
      </c>
      <c r="D488" s="42" t="s">
        <v>1689</v>
      </c>
      <c r="E488" s="42" t="s">
        <v>97</v>
      </c>
      <c r="F488" s="11" t="n">
        <v>11</v>
      </c>
      <c r="G488" s="33" t="s">
        <v>1089</v>
      </c>
      <c r="H488" s="33" t="s">
        <v>1840</v>
      </c>
    </row>
    <row r="489" customFormat="false" ht="43.25" hidden="false" customHeight="false" outlineLevel="0" collapsed="false">
      <c r="A489" s="41" t="n">
        <v>13687</v>
      </c>
      <c r="B489" s="41" t="s">
        <v>823</v>
      </c>
      <c r="C489" s="41" t="s">
        <v>1027</v>
      </c>
      <c r="D489" s="41" t="s">
        <v>1689</v>
      </c>
      <c r="E489" s="41" t="s">
        <v>97</v>
      </c>
      <c r="F489" s="15" t="n">
        <v>10.97</v>
      </c>
      <c r="G489" s="30" t="s">
        <v>1857</v>
      </c>
      <c r="H489" s="30" t="s">
        <v>2056</v>
      </c>
    </row>
    <row r="490" customFormat="false" ht="22.35" hidden="false" customHeight="false" outlineLevel="0" collapsed="false">
      <c r="A490" s="42" t="n">
        <v>13702</v>
      </c>
      <c r="B490" s="42" t="s">
        <v>852</v>
      </c>
      <c r="C490" s="42" t="s">
        <v>1524</v>
      </c>
      <c r="D490" s="42" t="s">
        <v>1699</v>
      </c>
      <c r="E490" s="42" t="s">
        <v>97</v>
      </c>
      <c r="F490" s="11" t="n">
        <v>10.66</v>
      </c>
      <c r="G490" s="33" t="s">
        <v>2036</v>
      </c>
      <c r="H490" s="33" t="s">
        <v>2037</v>
      </c>
    </row>
    <row r="491" customFormat="false" ht="22.35" hidden="false" customHeight="false" outlineLevel="0" collapsed="false">
      <c r="A491" s="41" t="n">
        <v>13734</v>
      </c>
      <c r="B491" s="41" t="s">
        <v>877</v>
      </c>
      <c r="C491" s="41" t="s">
        <v>1506</v>
      </c>
      <c r="D491" s="41" t="s">
        <v>748</v>
      </c>
      <c r="E491" s="41" t="s">
        <v>97</v>
      </c>
      <c r="F491" s="15" t="n">
        <v>10.53</v>
      </c>
      <c r="G491" s="30" t="s">
        <v>2053</v>
      </c>
      <c r="H491" s="30" t="s">
        <v>2054</v>
      </c>
    </row>
    <row r="492" customFormat="false" ht="22.35" hidden="false" customHeight="false" outlineLevel="0" collapsed="false">
      <c r="A492" s="42" t="n">
        <v>13736</v>
      </c>
      <c r="B492" s="42" t="s">
        <v>877</v>
      </c>
      <c r="C492" s="42" t="s">
        <v>1125</v>
      </c>
      <c r="D492" s="42" t="s">
        <v>748</v>
      </c>
      <c r="E492" s="42" t="s">
        <v>97</v>
      </c>
      <c r="F492" s="11" t="n">
        <v>10.5</v>
      </c>
      <c r="G492" s="33" t="s">
        <v>1137</v>
      </c>
      <c r="H492" s="33" t="s">
        <v>2115</v>
      </c>
    </row>
    <row r="493" customFormat="false" ht="22.35" hidden="false" customHeight="false" outlineLevel="0" collapsed="false">
      <c r="A493" s="41" t="n">
        <v>13737</v>
      </c>
      <c r="B493" s="41" t="s">
        <v>877</v>
      </c>
      <c r="C493" s="41" t="s">
        <v>1190</v>
      </c>
      <c r="D493" s="41" t="s">
        <v>748</v>
      </c>
      <c r="E493" s="41" t="s">
        <v>97</v>
      </c>
      <c r="F493" s="15" t="n">
        <v>10.5</v>
      </c>
      <c r="G493" s="30" t="s">
        <v>1191</v>
      </c>
      <c r="H493" s="30" t="s">
        <v>2116</v>
      </c>
    </row>
    <row r="494" customFormat="false" ht="22.35" hidden="false" customHeight="false" outlineLevel="0" collapsed="false">
      <c r="A494" s="42" t="n">
        <v>13738</v>
      </c>
      <c r="B494" s="42" t="s">
        <v>852</v>
      </c>
      <c r="C494" s="42" t="s">
        <v>1017</v>
      </c>
      <c r="D494" s="42" t="s">
        <v>1699</v>
      </c>
      <c r="E494" s="42" t="s">
        <v>97</v>
      </c>
      <c r="F494" s="11" t="n">
        <v>10.5</v>
      </c>
      <c r="G494" s="33" t="s">
        <v>1018</v>
      </c>
      <c r="H494" s="33" t="s">
        <v>1953</v>
      </c>
    </row>
    <row r="495" customFormat="false" ht="32.8" hidden="false" customHeight="false" outlineLevel="0" collapsed="false">
      <c r="A495" s="41" t="n">
        <v>13739</v>
      </c>
      <c r="B495" s="41" t="s">
        <v>829</v>
      </c>
      <c r="C495" s="41" t="s">
        <v>939</v>
      </c>
      <c r="D495" s="41" t="s">
        <v>743</v>
      </c>
      <c r="E495" s="41" t="s">
        <v>97</v>
      </c>
      <c r="F495" s="15" t="n">
        <v>10.5</v>
      </c>
      <c r="G495" s="30" t="s">
        <v>1892</v>
      </c>
      <c r="H495" s="30" t="s">
        <v>2104</v>
      </c>
    </row>
    <row r="496" customFormat="false" ht="32.8" hidden="false" customHeight="false" outlineLevel="0" collapsed="false">
      <c r="A496" s="42" t="n">
        <v>13741</v>
      </c>
      <c r="B496" s="42" t="s">
        <v>823</v>
      </c>
      <c r="C496" s="42" t="s">
        <v>1175</v>
      </c>
      <c r="D496" s="42" t="s">
        <v>1689</v>
      </c>
      <c r="E496" s="42" t="s">
        <v>97</v>
      </c>
      <c r="F496" s="11" t="n">
        <v>10.5</v>
      </c>
      <c r="G496" s="33" t="s">
        <v>1812</v>
      </c>
      <c r="H496" s="33" t="s">
        <v>2117</v>
      </c>
    </row>
    <row r="497" customFormat="false" ht="22.35" hidden="false" customHeight="false" outlineLevel="0" collapsed="false">
      <c r="A497" s="41" t="n">
        <v>13742</v>
      </c>
      <c r="B497" s="41" t="s">
        <v>823</v>
      </c>
      <c r="C497" s="41" t="s">
        <v>1293</v>
      </c>
      <c r="D497" s="41" t="s">
        <v>1689</v>
      </c>
      <c r="E497" s="41" t="s">
        <v>97</v>
      </c>
      <c r="F497" s="15" t="n">
        <v>10.5</v>
      </c>
      <c r="G497" s="30" t="s">
        <v>1294</v>
      </c>
      <c r="H497" s="30" t="s">
        <v>2118</v>
      </c>
    </row>
    <row r="498" customFormat="false" ht="32.8" hidden="false" customHeight="false" outlineLevel="0" collapsed="false">
      <c r="A498" s="42" t="n">
        <v>13743</v>
      </c>
      <c r="B498" s="42" t="s">
        <v>823</v>
      </c>
      <c r="C498" s="42" t="s">
        <v>832</v>
      </c>
      <c r="D498" s="42" t="s">
        <v>1689</v>
      </c>
      <c r="E498" s="42" t="s">
        <v>97</v>
      </c>
      <c r="F498" s="11" t="n">
        <v>10.5</v>
      </c>
      <c r="G498" s="33" t="s">
        <v>1697</v>
      </c>
      <c r="H498" s="33" t="s">
        <v>1865</v>
      </c>
    </row>
    <row r="499" customFormat="false" ht="22.35" hidden="false" customHeight="false" outlineLevel="0" collapsed="false">
      <c r="A499" s="41" t="n">
        <v>13756</v>
      </c>
      <c r="B499" s="41" t="s">
        <v>823</v>
      </c>
      <c r="C499" s="41" t="s">
        <v>1524</v>
      </c>
      <c r="D499" s="41" t="s">
        <v>1689</v>
      </c>
      <c r="E499" s="41" t="s">
        <v>97</v>
      </c>
      <c r="F499" s="15" t="n">
        <v>10.33</v>
      </c>
      <c r="G499" s="30" t="s">
        <v>2036</v>
      </c>
      <c r="H499" s="30" t="s">
        <v>2083</v>
      </c>
    </row>
    <row r="500" customFormat="false" ht="22.35" hidden="false" customHeight="false" outlineLevel="0" collapsed="false">
      <c r="A500" s="42" t="n">
        <v>13758</v>
      </c>
      <c r="B500" s="42" t="s">
        <v>823</v>
      </c>
      <c r="C500" s="42" t="s">
        <v>1232</v>
      </c>
      <c r="D500" s="42" t="s">
        <v>1689</v>
      </c>
      <c r="E500" s="42" t="s">
        <v>97</v>
      </c>
      <c r="F500" s="11" t="n">
        <v>10.28</v>
      </c>
      <c r="G500" s="33" t="s">
        <v>1770</v>
      </c>
      <c r="H500" s="33" t="s">
        <v>1773</v>
      </c>
    </row>
    <row r="501" customFormat="false" ht="22.35" hidden="false" customHeight="false" outlineLevel="0" collapsed="false">
      <c r="A501" s="41" t="n">
        <v>13760</v>
      </c>
      <c r="B501" s="41" t="s">
        <v>829</v>
      </c>
      <c r="C501" s="41" t="s">
        <v>1049</v>
      </c>
      <c r="D501" s="41" t="s">
        <v>743</v>
      </c>
      <c r="E501" s="41" t="s">
        <v>97</v>
      </c>
      <c r="F501" s="15" t="n">
        <v>10.26</v>
      </c>
      <c r="G501" s="30" t="s">
        <v>1050</v>
      </c>
      <c r="H501" s="30" t="s">
        <v>1920</v>
      </c>
    </row>
    <row r="502" customFormat="false" ht="22.35" hidden="false" customHeight="false" outlineLevel="0" collapsed="false">
      <c r="A502" s="42" t="n">
        <v>13777</v>
      </c>
      <c r="B502" s="42" t="s">
        <v>823</v>
      </c>
      <c r="C502" s="42" t="s">
        <v>1271</v>
      </c>
      <c r="D502" s="42" t="s">
        <v>1689</v>
      </c>
      <c r="E502" s="42" t="s">
        <v>97</v>
      </c>
      <c r="F502" s="11" t="n">
        <v>10.13</v>
      </c>
      <c r="G502" s="33" t="s">
        <v>1973</v>
      </c>
      <c r="H502" s="33" t="s">
        <v>2096</v>
      </c>
    </row>
    <row r="503" customFormat="false" ht="22.35" hidden="false" customHeight="false" outlineLevel="0" collapsed="false">
      <c r="A503" s="41" t="n">
        <v>13808</v>
      </c>
      <c r="B503" s="41" t="s">
        <v>823</v>
      </c>
      <c r="C503" s="41" t="s">
        <v>1463</v>
      </c>
      <c r="D503" s="41" t="s">
        <v>1689</v>
      </c>
      <c r="E503" s="41" t="s">
        <v>97</v>
      </c>
      <c r="F503" s="15" t="n">
        <v>9.78</v>
      </c>
      <c r="G503" s="30" t="s">
        <v>2043</v>
      </c>
      <c r="H503" s="30" t="s">
        <v>2119</v>
      </c>
    </row>
    <row r="504" customFormat="false" ht="22.35" hidden="false" customHeight="false" outlineLevel="0" collapsed="false">
      <c r="A504" s="42" t="n">
        <v>13814</v>
      </c>
      <c r="B504" s="42" t="s">
        <v>823</v>
      </c>
      <c r="C504" s="42" t="s">
        <v>878</v>
      </c>
      <c r="D504" s="42" t="s">
        <v>1689</v>
      </c>
      <c r="E504" s="42" t="s">
        <v>97</v>
      </c>
      <c r="F504" s="11" t="n">
        <v>9.68</v>
      </c>
      <c r="G504" s="33" t="s">
        <v>1708</v>
      </c>
      <c r="H504" s="33" t="s">
        <v>1935</v>
      </c>
    </row>
    <row r="505" customFormat="false" ht="32.8" hidden="false" customHeight="false" outlineLevel="0" collapsed="false">
      <c r="A505" s="41" t="n">
        <v>13815</v>
      </c>
      <c r="B505" s="41" t="s">
        <v>823</v>
      </c>
      <c r="C505" s="41" t="s">
        <v>1470</v>
      </c>
      <c r="D505" s="41" t="s">
        <v>1689</v>
      </c>
      <c r="E505" s="41" t="s">
        <v>97</v>
      </c>
      <c r="F505" s="15" t="n">
        <v>9.68</v>
      </c>
      <c r="G505" s="30" t="s">
        <v>1966</v>
      </c>
      <c r="H505" s="30" t="s">
        <v>2025</v>
      </c>
    </row>
    <row r="506" customFormat="false" ht="22.35" hidden="false" customHeight="false" outlineLevel="0" collapsed="false">
      <c r="A506" s="42" t="n">
        <v>13819</v>
      </c>
      <c r="B506" s="42" t="s">
        <v>877</v>
      </c>
      <c r="C506" s="42" t="s">
        <v>1322</v>
      </c>
      <c r="D506" s="42" t="s">
        <v>748</v>
      </c>
      <c r="E506" s="42" t="s">
        <v>97</v>
      </c>
      <c r="F506" s="11" t="n">
        <v>9.6</v>
      </c>
      <c r="G506" s="33" t="s">
        <v>1519</v>
      </c>
      <c r="H506" s="33" t="s">
        <v>2008</v>
      </c>
    </row>
    <row r="507" customFormat="false" ht="22.35" hidden="false" customHeight="false" outlineLevel="0" collapsed="false">
      <c r="A507" s="41" t="n">
        <v>13829</v>
      </c>
      <c r="B507" s="41" t="s">
        <v>852</v>
      </c>
      <c r="C507" s="41" t="s">
        <v>1322</v>
      </c>
      <c r="D507" s="41" t="s">
        <v>1699</v>
      </c>
      <c r="E507" s="41" t="s">
        <v>97</v>
      </c>
      <c r="F507" s="15" t="n">
        <v>9.46</v>
      </c>
      <c r="G507" s="30" t="s">
        <v>1519</v>
      </c>
      <c r="H507" s="30" t="s">
        <v>1978</v>
      </c>
    </row>
    <row r="508" customFormat="false" ht="22.35" hidden="false" customHeight="false" outlineLevel="0" collapsed="false">
      <c r="A508" s="42" t="n">
        <v>13830</v>
      </c>
      <c r="B508" s="42" t="s">
        <v>829</v>
      </c>
      <c r="C508" s="42" t="s">
        <v>1531</v>
      </c>
      <c r="D508" s="42" t="s">
        <v>743</v>
      </c>
      <c r="E508" s="42" t="s">
        <v>97</v>
      </c>
      <c r="F508" s="11" t="n">
        <v>9.46</v>
      </c>
      <c r="G508" s="33" t="s">
        <v>1532</v>
      </c>
      <c r="H508" s="33" t="s">
        <v>2050</v>
      </c>
    </row>
    <row r="509" customFormat="false" ht="32.8" hidden="false" customHeight="false" outlineLevel="0" collapsed="false">
      <c r="A509" s="41" t="n">
        <v>13836</v>
      </c>
      <c r="B509" s="41" t="s">
        <v>823</v>
      </c>
      <c r="C509" s="41" t="s">
        <v>1286</v>
      </c>
      <c r="D509" s="41" t="s">
        <v>1689</v>
      </c>
      <c r="E509" s="41" t="s">
        <v>97</v>
      </c>
      <c r="F509" s="15" t="n">
        <v>9.45</v>
      </c>
      <c r="G509" s="30" t="s">
        <v>1806</v>
      </c>
      <c r="H509" s="30" t="s">
        <v>2120</v>
      </c>
    </row>
    <row r="510" customFormat="false" ht="22.35" hidden="false" customHeight="false" outlineLevel="0" collapsed="false">
      <c r="A510" s="42" t="n">
        <v>13837</v>
      </c>
      <c r="B510" s="42" t="s">
        <v>823</v>
      </c>
      <c r="C510" s="42" t="s">
        <v>1259</v>
      </c>
      <c r="D510" s="42" t="s">
        <v>1689</v>
      </c>
      <c r="E510" s="42" t="s">
        <v>97</v>
      </c>
      <c r="F510" s="11" t="n">
        <v>9.45</v>
      </c>
      <c r="G510" s="33" t="s">
        <v>1810</v>
      </c>
      <c r="H510" s="33" t="s">
        <v>2121</v>
      </c>
    </row>
    <row r="511" customFormat="false" ht="22.35" hidden="false" customHeight="false" outlineLevel="0" collapsed="false">
      <c r="A511" s="41" t="n">
        <v>13838</v>
      </c>
      <c r="B511" s="41" t="s">
        <v>823</v>
      </c>
      <c r="C511" s="41" t="s">
        <v>890</v>
      </c>
      <c r="D511" s="41" t="s">
        <v>1689</v>
      </c>
      <c r="E511" s="41" t="s">
        <v>97</v>
      </c>
      <c r="F511" s="15" t="n">
        <v>9.45</v>
      </c>
      <c r="G511" s="30" t="s">
        <v>1714</v>
      </c>
      <c r="H511" s="30" t="s">
        <v>2057</v>
      </c>
    </row>
    <row r="512" customFormat="false" ht="32.8" hidden="false" customHeight="false" outlineLevel="0" collapsed="false">
      <c r="A512" s="42" t="n">
        <v>13839</v>
      </c>
      <c r="B512" s="42" t="s">
        <v>823</v>
      </c>
      <c r="C512" s="42" t="s">
        <v>932</v>
      </c>
      <c r="D512" s="42" t="s">
        <v>1689</v>
      </c>
      <c r="E512" s="42" t="s">
        <v>97</v>
      </c>
      <c r="F512" s="11" t="n">
        <v>9.45</v>
      </c>
      <c r="G512" s="33" t="s">
        <v>1739</v>
      </c>
      <c r="H512" s="33" t="s">
        <v>2114</v>
      </c>
    </row>
    <row r="513" customFormat="false" ht="22.35" hidden="false" customHeight="false" outlineLevel="0" collapsed="false">
      <c r="A513" s="41" t="n">
        <v>13840</v>
      </c>
      <c r="B513" s="41" t="s">
        <v>823</v>
      </c>
      <c r="C513" s="41" t="s">
        <v>1418</v>
      </c>
      <c r="D513" s="41" t="s">
        <v>1689</v>
      </c>
      <c r="E513" s="41" t="s">
        <v>97</v>
      </c>
      <c r="F513" s="15" t="n">
        <v>9.45</v>
      </c>
      <c r="G513" s="30" t="s">
        <v>1419</v>
      </c>
      <c r="H513" s="30" t="s">
        <v>2122</v>
      </c>
    </row>
    <row r="514" customFormat="false" ht="32.8" hidden="false" customHeight="false" outlineLevel="0" collapsed="false">
      <c r="A514" s="42" t="n">
        <v>13841</v>
      </c>
      <c r="B514" s="42" t="s">
        <v>823</v>
      </c>
      <c r="C514" s="42" t="s">
        <v>1340</v>
      </c>
      <c r="D514" s="42" t="s">
        <v>1689</v>
      </c>
      <c r="E514" s="42" t="s">
        <v>97</v>
      </c>
      <c r="F514" s="11" t="n">
        <v>9.45</v>
      </c>
      <c r="G514" s="33" t="s">
        <v>1814</v>
      </c>
      <c r="H514" s="33" t="s">
        <v>2123</v>
      </c>
    </row>
    <row r="515" customFormat="false" ht="32.8" hidden="false" customHeight="false" outlineLevel="0" collapsed="false">
      <c r="A515" s="41" t="n">
        <v>13842</v>
      </c>
      <c r="B515" s="41" t="s">
        <v>823</v>
      </c>
      <c r="C515" s="41" t="s">
        <v>1345</v>
      </c>
      <c r="D515" s="41" t="s">
        <v>1689</v>
      </c>
      <c r="E515" s="41" t="s">
        <v>97</v>
      </c>
      <c r="F515" s="15" t="n">
        <v>9.45</v>
      </c>
      <c r="G515" s="30" t="s">
        <v>1816</v>
      </c>
      <c r="H515" s="30" t="s">
        <v>2124</v>
      </c>
    </row>
    <row r="516" customFormat="false" ht="32.8" hidden="false" customHeight="false" outlineLevel="0" collapsed="false">
      <c r="A516" s="42" t="n">
        <v>13858</v>
      </c>
      <c r="B516" s="42" t="s">
        <v>823</v>
      </c>
      <c r="C516" s="42" t="s">
        <v>1076</v>
      </c>
      <c r="D516" s="42" t="s">
        <v>1689</v>
      </c>
      <c r="E516" s="42" t="s">
        <v>97</v>
      </c>
      <c r="F516" s="11" t="n">
        <v>9.29</v>
      </c>
      <c r="G516" s="33" t="s">
        <v>1871</v>
      </c>
      <c r="H516" s="33" t="s">
        <v>2016</v>
      </c>
    </row>
    <row r="517" customFormat="false" ht="22.35" hidden="false" customHeight="false" outlineLevel="0" collapsed="false">
      <c r="A517" s="41" t="n">
        <v>13860</v>
      </c>
      <c r="B517" s="41" t="s">
        <v>823</v>
      </c>
      <c r="C517" s="41" t="s">
        <v>1088</v>
      </c>
      <c r="D517" s="41" t="s">
        <v>1689</v>
      </c>
      <c r="E517" s="41" t="s">
        <v>97</v>
      </c>
      <c r="F517" s="15" t="n">
        <v>9.28</v>
      </c>
      <c r="G517" s="30" t="s">
        <v>1089</v>
      </c>
      <c r="H517" s="30" t="s">
        <v>1840</v>
      </c>
    </row>
    <row r="518" customFormat="false" ht="22.35" hidden="false" customHeight="false" outlineLevel="0" collapsed="false">
      <c r="A518" s="42" t="n">
        <v>13901</v>
      </c>
      <c r="B518" s="42" t="s">
        <v>919</v>
      </c>
      <c r="C518" s="42" t="s">
        <v>1524</v>
      </c>
      <c r="D518" s="42" t="s">
        <v>1736</v>
      </c>
      <c r="E518" s="42" t="s">
        <v>97</v>
      </c>
      <c r="F518" s="11" t="n">
        <v>9.15</v>
      </c>
      <c r="G518" s="33" t="s">
        <v>2036</v>
      </c>
      <c r="H518" s="33" t="s">
        <v>2071</v>
      </c>
    </row>
    <row r="519" customFormat="false" ht="22.35" hidden="false" customHeight="false" outlineLevel="0" collapsed="false">
      <c r="A519" s="41" t="n">
        <v>13905</v>
      </c>
      <c r="B519" s="41" t="s">
        <v>829</v>
      </c>
      <c r="C519" s="41" t="s">
        <v>1059</v>
      </c>
      <c r="D519" s="41" t="s">
        <v>743</v>
      </c>
      <c r="E519" s="41" t="s">
        <v>97</v>
      </c>
      <c r="F519" s="15" t="n">
        <v>9.1</v>
      </c>
      <c r="G519" s="30" t="s">
        <v>1060</v>
      </c>
      <c r="H519" s="30" t="s">
        <v>1933</v>
      </c>
    </row>
    <row r="520" customFormat="false" ht="32.8" hidden="false" customHeight="false" outlineLevel="0" collapsed="false">
      <c r="A520" s="42" t="n">
        <v>13911</v>
      </c>
      <c r="B520" s="42" t="s">
        <v>823</v>
      </c>
      <c r="C520" s="42" t="s">
        <v>1488</v>
      </c>
      <c r="D520" s="42" t="s">
        <v>1689</v>
      </c>
      <c r="E520" s="42" t="s">
        <v>97</v>
      </c>
      <c r="F520" s="11" t="n">
        <v>9.05</v>
      </c>
      <c r="G520" s="33" t="s">
        <v>2046</v>
      </c>
      <c r="H520" s="33" t="s">
        <v>2125</v>
      </c>
    </row>
    <row r="521" customFormat="false" ht="22.35" hidden="false" customHeight="false" outlineLevel="0" collapsed="false">
      <c r="A521" s="41" t="n">
        <v>13912</v>
      </c>
      <c r="B521" s="41" t="s">
        <v>823</v>
      </c>
      <c r="C521" s="41" t="s">
        <v>1259</v>
      </c>
      <c r="D521" s="41" t="s">
        <v>1689</v>
      </c>
      <c r="E521" s="41" t="s">
        <v>97</v>
      </c>
      <c r="F521" s="15" t="n">
        <v>9.03</v>
      </c>
      <c r="G521" s="30" t="s">
        <v>1810</v>
      </c>
      <c r="H521" s="30" t="s">
        <v>1811</v>
      </c>
    </row>
    <row r="522" customFormat="false" ht="22.35" hidden="false" customHeight="false" outlineLevel="0" collapsed="false">
      <c r="A522" s="42" t="n">
        <v>13915</v>
      </c>
      <c r="B522" s="42" t="s">
        <v>829</v>
      </c>
      <c r="C522" s="42" t="s">
        <v>1054</v>
      </c>
      <c r="D522" s="42" t="s">
        <v>743</v>
      </c>
      <c r="E522" s="42" t="s">
        <v>97</v>
      </c>
      <c r="F522" s="11" t="n">
        <v>9.02</v>
      </c>
      <c r="G522" s="33" t="s">
        <v>1851</v>
      </c>
      <c r="H522" s="33" t="s">
        <v>1946</v>
      </c>
    </row>
    <row r="523" customFormat="false" ht="32.8" hidden="false" customHeight="false" outlineLevel="0" collapsed="false">
      <c r="A523" s="41" t="n">
        <v>13936</v>
      </c>
      <c r="B523" s="41" t="s">
        <v>823</v>
      </c>
      <c r="C523" s="41" t="s">
        <v>1497</v>
      </c>
      <c r="D523" s="41" t="s">
        <v>1689</v>
      </c>
      <c r="E523" s="41" t="s">
        <v>97</v>
      </c>
      <c r="F523" s="15" t="n">
        <v>8.96</v>
      </c>
      <c r="G523" s="30" t="s">
        <v>2048</v>
      </c>
      <c r="H523" s="30" t="s">
        <v>2126</v>
      </c>
    </row>
    <row r="524" customFormat="false" ht="22.35" hidden="false" customHeight="false" outlineLevel="0" collapsed="false">
      <c r="A524" s="42" t="n">
        <v>13943</v>
      </c>
      <c r="B524" s="42" t="s">
        <v>852</v>
      </c>
      <c r="C524" s="42" t="s">
        <v>1017</v>
      </c>
      <c r="D524" s="42" t="s">
        <v>1699</v>
      </c>
      <c r="E524" s="42" t="s">
        <v>97</v>
      </c>
      <c r="F524" s="11" t="n">
        <v>8.9</v>
      </c>
      <c r="G524" s="33" t="s">
        <v>1018</v>
      </c>
      <c r="H524" s="33" t="s">
        <v>1953</v>
      </c>
    </row>
    <row r="525" customFormat="false" ht="32.8" hidden="false" customHeight="false" outlineLevel="0" collapsed="false">
      <c r="A525" s="41" t="n">
        <v>13968</v>
      </c>
      <c r="B525" s="41" t="s">
        <v>823</v>
      </c>
      <c r="C525" s="41" t="s">
        <v>902</v>
      </c>
      <c r="D525" s="41" t="s">
        <v>1689</v>
      </c>
      <c r="E525" s="41" t="s">
        <v>97</v>
      </c>
      <c r="F525" s="15" t="n">
        <v>8.78</v>
      </c>
      <c r="G525" s="30" t="s">
        <v>1728</v>
      </c>
      <c r="H525" s="30" t="s">
        <v>1777</v>
      </c>
    </row>
    <row r="526" customFormat="false" ht="22.35" hidden="false" customHeight="false" outlineLevel="0" collapsed="false">
      <c r="A526" s="42" t="n">
        <v>13986</v>
      </c>
      <c r="B526" s="42" t="s">
        <v>919</v>
      </c>
      <c r="C526" s="42" t="s">
        <v>1446</v>
      </c>
      <c r="D526" s="42" t="s">
        <v>1736</v>
      </c>
      <c r="E526" s="42" t="s">
        <v>97</v>
      </c>
      <c r="F526" s="11" t="n">
        <v>8.57</v>
      </c>
      <c r="G526" s="33" t="s">
        <v>1955</v>
      </c>
      <c r="H526" s="33" t="s">
        <v>1956</v>
      </c>
    </row>
    <row r="527" customFormat="false" ht="22.35" hidden="false" customHeight="false" outlineLevel="0" collapsed="false">
      <c r="A527" s="41" t="n">
        <v>13999</v>
      </c>
      <c r="B527" s="41" t="s">
        <v>877</v>
      </c>
      <c r="C527" s="41" t="s">
        <v>973</v>
      </c>
      <c r="D527" s="41" t="s">
        <v>748</v>
      </c>
      <c r="E527" s="41" t="s">
        <v>97</v>
      </c>
      <c r="F527" s="15" t="n">
        <v>8.4</v>
      </c>
      <c r="G527" s="30" t="s">
        <v>1762</v>
      </c>
      <c r="H527" s="30" t="s">
        <v>2127</v>
      </c>
    </row>
    <row r="528" customFormat="false" ht="22.35" hidden="false" customHeight="false" outlineLevel="0" collapsed="false">
      <c r="A528" s="42" t="n">
        <v>14058</v>
      </c>
      <c r="B528" s="42" t="s">
        <v>823</v>
      </c>
      <c r="C528" s="42" t="s">
        <v>993</v>
      </c>
      <c r="D528" s="42" t="s">
        <v>1689</v>
      </c>
      <c r="E528" s="42" t="s">
        <v>97</v>
      </c>
      <c r="F528" s="11" t="n">
        <v>8.32</v>
      </c>
      <c r="G528" s="33" t="s">
        <v>994</v>
      </c>
      <c r="H528" s="33" t="s">
        <v>2059</v>
      </c>
    </row>
    <row r="529" customFormat="false" ht="22.35" hidden="false" customHeight="false" outlineLevel="0" collapsed="false">
      <c r="A529" s="41" t="n">
        <v>14060</v>
      </c>
      <c r="B529" s="41" t="s">
        <v>823</v>
      </c>
      <c r="C529" s="41" t="s">
        <v>993</v>
      </c>
      <c r="D529" s="41" t="s">
        <v>1689</v>
      </c>
      <c r="E529" s="41" t="s">
        <v>97</v>
      </c>
      <c r="F529" s="15" t="n">
        <v>8.23</v>
      </c>
      <c r="G529" s="30" t="s">
        <v>994</v>
      </c>
      <c r="H529" s="30" t="s">
        <v>2059</v>
      </c>
    </row>
    <row r="530" customFormat="false" ht="22.35" hidden="false" customHeight="false" outlineLevel="0" collapsed="false">
      <c r="A530" s="42" t="n">
        <v>14064</v>
      </c>
      <c r="B530" s="42" t="s">
        <v>829</v>
      </c>
      <c r="C530" s="42" t="s">
        <v>1170</v>
      </c>
      <c r="D530" s="42" t="s">
        <v>743</v>
      </c>
      <c r="E530" s="42" t="s">
        <v>97</v>
      </c>
      <c r="F530" s="11" t="n">
        <v>8.18</v>
      </c>
      <c r="G530" s="33" t="s">
        <v>1912</v>
      </c>
      <c r="H530" s="33" t="s">
        <v>1994</v>
      </c>
    </row>
    <row r="531" customFormat="false" ht="32.8" hidden="false" customHeight="false" outlineLevel="0" collapsed="false">
      <c r="A531" s="41" t="n">
        <v>14068</v>
      </c>
      <c r="B531" s="41" t="s">
        <v>829</v>
      </c>
      <c r="C531" s="41" t="s">
        <v>855</v>
      </c>
      <c r="D531" s="41" t="s">
        <v>743</v>
      </c>
      <c r="E531" s="41" t="s">
        <v>97</v>
      </c>
      <c r="F531" s="15" t="n">
        <v>8.16</v>
      </c>
      <c r="G531" s="30" t="s">
        <v>1705</v>
      </c>
      <c r="H531" s="30" t="s">
        <v>2128</v>
      </c>
    </row>
    <row r="532" customFormat="false" ht="32.8" hidden="false" customHeight="false" outlineLevel="0" collapsed="false">
      <c r="A532" s="42" t="n">
        <v>14070</v>
      </c>
      <c r="B532" s="42" t="s">
        <v>852</v>
      </c>
      <c r="C532" s="42" t="s">
        <v>1488</v>
      </c>
      <c r="D532" s="42" t="s">
        <v>1699</v>
      </c>
      <c r="E532" s="42" t="s">
        <v>97</v>
      </c>
      <c r="F532" s="11" t="n">
        <v>8.15</v>
      </c>
      <c r="G532" s="33" t="s">
        <v>2046</v>
      </c>
      <c r="H532" s="33" t="s">
        <v>2047</v>
      </c>
    </row>
    <row r="533" customFormat="false" ht="32.8" hidden="false" customHeight="false" outlineLevel="0" collapsed="false">
      <c r="A533" s="41" t="n">
        <v>14071</v>
      </c>
      <c r="B533" s="41" t="s">
        <v>823</v>
      </c>
      <c r="C533" s="41" t="s">
        <v>1374</v>
      </c>
      <c r="D533" s="41" t="s">
        <v>1689</v>
      </c>
      <c r="E533" s="41" t="s">
        <v>97</v>
      </c>
      <c r="F533" s="15" t="n">
        <v>8.15</v>
      </c>
      <c r="G533" s="30" t="s">
        <v>1863</v>
      </c>
      <c r="H533" s="30" t="s">
        <v>2129</v>
      </c>
    </row>
    <row r="534" customFormat="false" ht="22.35" hidden="false" customHeight="false" outlineLevel="0" collapsed="false">
      <c r="A534" s="42" t="n">
        <v>14083</v>
      </c>
      <c r="B534" s="42" t="s">
        <v>852</v>
      </c>
      <c r="C534" s="42" t="s">
        <v>1446</v>
      </c>
      <c r="D534" s="42" t="s">
        <v>1699</v>
      </c>
      <c r="E534" s="42" t="s">
        <v>97</v>
      </c>
      <c r="F534" s="11" t="n">
        <v>7.96</v>
      </c>
      <c r="G534" s="33" t="s">
        <v>1955</v>
      </c>
      <c r="H534" s="33" t="s">
        <v>1990</v>
      </c>
    </row>
    <row r="535" customFormat="false" ht="43.25" hidden="false" customHeight="false" outlineLevel="0" collapsed="false">
      <c r="A535" s="41" t="n">
        <v>14084</v>
      </c>
      <c r="B535" s="41" t="s">
        <v>919</v>
      </c>
      <c r="C535" s="41" t="s">
        <v>922</v>
      </c>
      <c r="D535" s="41" t="s">
        <v>1736</v>
      </c>
      <c r="E535" s="41" t="s">
        <v>97</v>
      </c>
      <c r="F535" s="15" t="n">
        <v>7.96</v>
      </c>
      <c r="G535" s="30" t="s">
        <v>1744</v>
      </c>
      <c r="H535" s="30" t="s">
        <v>2130</v>
      </c>
    </row>
    <row r="536" customFormat="false" ht="22.35" hidden="false" customHeight="false" outlineLevel="0" collapsed="false">
      <c r="A536" s="42" t="n">
        <v>14118</v>
      </c>
      <c r="B536" s="42" t="s">
        <v>823</v>
      </c>
      <c r="C536" s="42" t="s">
        <v>1105</v>
      </c>
      <c r="D536" s="42" t="s">
        <v>1689</v>
      </c>
      <c r="E536" s="42" t="s">
        <v>97</v>
      </c>
      <c r="F536" s="11" t="n">
        <v>7.8</v>
      </c>
      <c r="G536" s="33" t="s">
        <v>1106</v>
      </c>
      <c r="H536" s="33" t="s">
        <v>1870</v>
      </c>
    </row>
    <row r="537" customFormat="false" ht="22.35" hidden="false" customHeight="false" outlineLevel="0" collapsed="false">
      <c r="A537" s="41" t="n">
        <v>14124</v>
      </c>
      <c r="B537" s="41" t="s">
        <v>852</v>
      </c>
      <c r="C537" s="41" t="s">
        <v>1120</v>
      </c>
      <c r="D537" s="41" t="s">
        <v>1699</v>
      </c>
      <c r="E537" s="41" t="s">
        <v>97</v>
      </c>
      <c r="F537" s="15" t="n">
        <v>7.72</v>
      </c>
      <c r="G537" s="30" t="s">
        <v>1792</v>
      </c>
      <c r="H537" s="30" t="s">
        <v>1819</v>
      </c>
    </row>
    <row r="538" customFormat="false" ht="22.35" hidden="false" customHeight="false" outlineLevel="0" collapsed="false">
      <c r="A538" s="42" t="n">
        <v>14125</v>
      </c>
      <c r="B538" s="42" t="s">
        <v>823</v>
      </c>
      <c r="C538" s="42" t="s">
        <v>1185</v>
      </c>
      <c r="D538" s="42" t="s">
        <v>1689</v>
      </c>
      <c r="E538" s="42" t="s">
        <v>97</v>
      </c>
      <c r="F538" s="11" t="n">
        <v>7.71</v>
      </c>
      <c r="G538" s="33" t="s">
        <v>1754</v>
      </c>
      <c r="H538" s="33" t="s">
        <v>1779</v>
      </c>
    </row>
    <row r="539" customFormat="false" ht="22.35" hidden="false" customHeight="false" outlineLevel="0" collapsed="false">
      <c r="A539" s="41" t="n">
        <v>14139</v>
      </c>
      <c r="B539" s="41" t="s">
        <v>877</v>
      </c>
      <c r="C539" s="41" t="s">
        <v>1125</v>
      </c>
      <c r="D539" s="41" t="s">
        <v>748</v>
      </c>
      <c r="E539" s="41" t="s">
        <v>97</v>
      </c>
      <c r="F539" s="15" t="n">
        <v>7.6</v>
      </c>
      <c r="G539" s="30" t="s">
        <v>1137</v>
      </c>
      <c r="H539" s="30" t="s">
        <v>1768</v>
      </c>
    </row>
    <row r="540" customFormat="false" ht="22.35" hidden="false" customHeight="false" outlineLevel="0" collapsed="false">
      <c r="A540" s="42" t="n">
        <v>14183</v>
      </c>
      <c r="B540" s="42" t="s">
        <v>877</v>
      </c>
      <c r="C540" s="42" t="s">
        <v>1531</v>
      </c>
      <c r="D540" s="42" t="s">
        <v>748</v>
      </c>
      <c r="E540" s="42" t="s">
        <v>97</v>
      </c>
      <c r="F540" s="11" t="n">
        <v>7.38</v>
      </c>
      <c r="G540" s="33" t="s">
        <v>1532</v>
      </c>
      <c r="H540" s="33" t="s">
        <v>2068</v>
      </c>
    </row>
    <row r="541" customFormat="false" ht="43.25" hidden="false" customHeight="false" outlineLevel="0" collapsed="false">
      <c r="A541" s="41" t="n">
        <v>14186</v>
      </c>
      <c r="B541" s="41" t="s">
        <v>919</v>
      </c>
      <c r="C541" s="41" t="s">
        <v>922</v>
      </c>
      <c r="D541" s="41" t="s">
        <v>1736</v>
      </c>
      <c r="E541" s="41" t="s">
        <v>97</v>
      </c>
      <c r="F541" s="15" t="n">
        <v>7.35</v>
      </c>
      <c r="G541" s="30" t="s">
        <v>1744</v>
      </c>
      <c r="H541" s="30" t="s">
        <v>2130</v>
      </c>
    </row>
    <row r="542" customFormat="false" ht="22.35" hidden="false" customHeight="false" outlineLevel="0" collapsed="false">
      <c r="A542" s="42" t="n">
        <v>14187</v>
      </c>
      <c r="B542" s="42" t="s">
        <v>919</v>
      </c>
      <c r="C542" s="42" t="s">
        <v>1446</v>
      </c>
      <c r="D542" s="42" t="s">
        <v>1736</v>
      </c>
      <c r="E542" s="42" t="s">
        <v>97</v>
      </c>
      <c r="F542" s="11" t="n">
        <v>7.35</v>
      </c>
      <c r="G542" s="33" t="s">
        <v>1955</v>
      </c>
      <c r="H542" s="33" t="s">
        <v>1956</v>
      </c>
    </row>
    <row r="543" customFormat="false" ht="22.35" hidden="false" customHeight="false" outlineLevel="0" collapsed="false">
      <c r="A543" s="41" t="n">
        <v>14191</v>
      </c>
      <c r="B543" s="41" t="s">
        <v>823</v>
      </c>
      <c r="C543" s="41" t="s">
        <v>1423</v>
      </c>
      <c r="D543" s="41" t="s">
        <v>1689</v>
      </c>
      <c r="E543" s="41" t="s">
        <v>97</v>
      </c>
      <c r="F543" s="15" t="n">
        <v>7.35</v>
      </c>
      <c r="G543" s="30" t="s">
        <v>1957</v>
      </c>
      <c r="H543" s="30" t="s">
        <v>2131</v>
      </c>
    </row>
    <row r="544" customFormat="false" ht="32.8" hidden="false" customHeight="false" outlineLevel="0" collapsed="false">
      <c r="A544" s="42" t="n">
        <v>14199</v>
      </c>
      <c r="B544" s="42" t="s">
        <v>823</v>
      </c>
      <c r="C544" s="42" t="s">
        <v>832</v>
      </c>
      <c r="D544" s="42" t="s">
        <v>1689</v>
      </c>
      <c r="E544" s="42" t="s">
        <v>97</v>
      </c>
      <c r="F544" s="11" t="n">
        <v>7.25</v>
      </c>
      <c r="G544" s="33" t="s">
        <v>1697</v>
      </c>
      <c r="H544" s="33" t="s">
        <v>1865</v>
      </c>
    </row>
    <row r="545" customFormat="false" ht="22.35" hidden="false" customHeight="false" outlineLevel="0" collapsed="false">
      <c r="A545" s="41" t="n">
        <v>14205</v>
      </c>
      <c r="B545" s="41" t="s">
        <v>829</v>
      </c>
      <c r="C545" s="41" t="s">
        <v>1446</v>
      </c>
      <c r="D545" s="41" t="s">
        <v>743</v>
      </c>
      <c r="E545" s="41" t="s">
        <v>97</v>
      </c>
      <c r="F545" s="15" t="n">
        <v>7.15</v>
      </c>
      <c r="G545" s="30" t="s">
        <v>1955</v>
      </c>
      <c r="H545" s="30" t="s">
        <v>2014</v>
      </c>
    </row>
    <row r="546" customFormat="false" ht="32.8" hidden="false" customHeight="false" outlineLevel="0" collapsed="false">
      <c r="A546" s="42" t="n">
        <v>14267</v>
      </c>
      <c r="B546" s="42" t="s">
        <v>823</v>
      </c>
      <c r="C546" s="42" t="s">
        <v>1374</v>
      </c>
      <c r="D546" s="42" t="s">
        <v>1689</v>
      </c>
      <c r="E546" s="42" t="s">
        <v>97</v>
      </c>
      <c r="F546" s="11" t="n">
        <v>6.85</v>
      </c>
      <c r="G546" s="33" t="s">
        <v>1863</v>
      </c>
      <c r="H546" s="33" t="s">
        <v>1864</v>
      </c>
    </row>
    <row r="547" customFormat="false" ht="22.35" hidden="false" customHeight="false" outlineLevel="0" collapsed="false">
      <c r="A547" s="41" t="n">
        <v>14271</v>
      </c>
      <c r="B547" s="41" t="s">
        <v>823</v>
      </c>
      <c r="C547" s="41" t="s">
        <v>1271</v>
      </c>
      <c r="D547" s="41" t="s">
        <v>1689</v>
      </c>
      <c r="E547" s="41" t="s">
        <v>97</v>
      </c>
      <c r="F547" s="15" t="n">
        <v>6.75</v>
      </c>
      <c r="G547" s="30" t="s">
        <v>1973</v>
      </c>
      <c r="H547" s="30" t="s">
        <v>2111</v>
      </c>
    </row>
    <row r="548" customFormat="false" ht="22.35" hidden="false" customHeight="false" outlineLevel="0" collapsed="false">
      <c r="A548" s="42" t="n">
        <v>14275</v>
      </c>
      <c r="B548" s="42" t="s">
        <v>852</v>
      </c>
      <c r="C548" s="42" t="s">
        <v>1017</v>
      </c>
      <c r="D548" s="42" t="s">
        <v>1699</v>
      </c>
      <c r="E548" s="42" t="s">
        <v>97</v>
      </c>
      <c r="F548" s="11" t="n">
        <v>6.72</v>
      </c>
      <c r="G548" s="33" t="s">
        <v>1018</v>
      </c>
      <c r="H548" s="33" t="s">
        <v>1836</v>
      </c>
    </row>
    <row r="549" customFormat="false" ht="32.8" hidden="false" customHeight="false" outlineLevel="0" collapsed="false">
      <c r="A549" s="41" t="n">
        <v>14276</v>
      </c>
      <c r="B549" s="41" t="s">
        <v>823</v>
      </c>
      <c r="C549" s="41" t="s">
        <v>897</v>
      </c>
      <c r="D549" s="41" t="s">
        <v>1689</v>
      </c>
      <c r="E549" s="41" t="s">
        <v>97</v>
      </c>
      <c r="F549" s="15" t="n">
        <v>6.71</v>
      </c>
      <c r="G549" s="30" t="s">
        <v>1731</v>
      </c>
      <c r="H549" s="30" t="s">
        <v>2089</v>
      </c>
    </row>
    <row r="550" customFormat="false" ht="22.35" hidden="false" customHeight="false" outlineLevel="0" collapsed="false">
      <c r="A550" s="42" t="n">
        <v>14300</v>
      </c>
      <c r="B550" s="42" t="s">
        <v>829</v>
      </c>
      <c r="C550" s="42" t="s">
        <v>1281</v>
      </c>
      <c r="D550" s="42" t="s">
        <v>743</v>
      </c>
      <c r="E550" s="42" t="s">
        <v>97</v>
      </c>
      <c r="F550" s="11" t="n">
        <v>6.35</v>
      </c>
      <c r="G550" s="33" t="s">
        <v>1282</v>
      </c>
      <c r="H550" s="33" t="s">
        <v>1934</v>
      </c>
    </row>
    <row r="551" customFormat="false" ht="22.35" hidden="false" customHeight="false" outlineLevel="0" collapsed="false">
      <c r="A551" s="41" t="n">
        <v>14307</v>
      </c>
      <c r="B551" s="41" t="s">
        <v>829</v>
      </c>
      <c r="C551" s="41" t="s">
        <v>1083</v>
      </c>
      <c r="D551" s="41" t="s">
        <v>743</v>
      </c>
      <c r="E551" s="41" t="s">
        <v>97</v>
      </c>
      <c r="F551" s="15" t="n">
        <v>6.3</v>
      </c>
      <c r="G551" s="30" t="s">
        <v>1896</v>
      </c>
      <c r="H551" s="30" t="s">
        <v>2132</v>
      </c>
    </row>
    <row r="552" customFormat="false" ht="32.8" hidden="false" customHeight="false" outlineLevel="0" collapsed="false">
      <c r="A552" s="42" t="n">
        <v>14314</v>
      </c>
      <c r="B552" s="42" t="s">
        <v>877</v>
      </c>
      <c r="C552" s="42" t="s">
        <v>1590</v>
      </c>
      <c r="D552" s="42" t="s">
        <v>748</v>
      </c>
      <c r="E552" s="42" t="s">
        <v>97</v>
      </c>
      <c r="F552" s="11" t="n">
        <v>6.26</v>
      </c>
      <c r="G552" s="33" t="s">
        <v>2051</v>
      </c>
      <c r="H552" s="33" t="s">
        <v>2069</v>
      </c>
    </row>
    <row r="553" customFormat="false" ht="22.35" hidden="false" customHeight="false" outlineLevel="0" collapsed="false">
      <c r="A553" s="41" t="n">
        <v>14388</v>
      </c>
      <c r="B553" s="41" t="s">
        <v>877</v>
      </c>
      <c r="C553" s="41" t="s">
        <v>1003</v>
      </c>
      <c r="D553" s="41" t="s">
        <v>748</v>
      </c>
      <c r="E553" s="41" t="s">
        <v>97</v>
      </c>
      <c r="F553" s="15" t="n">
        <v>5.53</v>
      </c>
      <c r="G553" s="30" t="s">
        <v>1004</v>
      </c>
      <c r="H553" s="30" t="s">
        <v>2101</v>
      </c>
    </row>
    <row r="554" customFormat="false" ht="22.35" hidden="false" customHeight="false" outlineLevel="0" collapsed="false">
      <c r="A554" s="42" t="n">
        <v>14393</v>
      </c>
      <c r="B554" s="42" t="s">
        <v>823</v>
      </c>
      <c r="C554" s="42" t="s">
        <v>1293</v>
      </c>
      <c r="D554" s="42" t="s">
        <v>1689</v>
      </c>
      <c r="E554" s="42" t="s">
        <v>97</v>
      </c>
      <c r="F554" s="11" t="n">
        <v>5.5</v>
      </c>
      <c r="G554" s="33" t="s">
        <v>1294</v>
      </c>
      <c r="H554" s="33" t="s">
        <v>1818</v>
      </c>
    </row>
    <row r="555" customFormat="false" ht="32.8" hidden="false" customHeight="false" outlineLevel="0" collapsed="false">
      <c r="A555" s="41" t="n">
        <v>14394</v>
      </c>
      <c r="B555" s="41" t="s">
        <v>852</v>
      </c>
      <c r="C555" s="41" t="s">
        <v>1066</v>
      </c>
      <c r="D555" s="41" t="s">
        <v>1699</v>
      </c>
      <c r="E555" s="41" t="s">
        <v>97</v>
      </c>
      <c r="F555" s="15" t="n">
        <v>5.49</v>
      </c>
      <c r="G555" s="30" t="s">
        <v>1766</v>
      </c>
      <c r="H555" s="30" t="s">
        <v>1991</v>
      </c>
    </row>
    <row r="556" customFormat="false" ht="22.35" hidden="false" customHeight="false" outlineLevel="0" collapsed="false">
      <c r="A556" s="42" t="n">
        <v>14400</v>
      </c>
      <c r="B556" s="42" t="s">
        <v>877</v>
      </c>
      <c r="C556" s="42" t="s">
        <v>1506</v>
      </c>
      <c r="D556" s="42" t="s">
        <v>748</v>
      </c>
      <c r="E556" s="42" t="s">
        <v>97</v>
      </c>
      <c r="F556" s="11" t="n">
        <v>5.42</v>
      </c>
      <c r="G556" s="33" t="s">
        <v>2053</v>
      </c>
      <c r="H556" s="33" t="s">
        <v>2054</v>
      </c>
    </row>
    <row r="557" customFormat="false" ht="22.35" hidden="false" customHeight="false" outlineLevel="0" collapsed="false">
      <c r="A557" s="41" t="n">
        <v>14403</v>
      </c>
      <c r="B557" s="41" t="s">
        <v>829</v>
      </c>
      <c r="C557" s="41" t="s">
        <v>1098</v>
      </c>
      <c r="D557" s="41" t="s">
        <v>743</v>
      </c>
      <c r="E557" s="41" t="s">
        <v>97</v>
      </c>
      <c r="F557" s="15" t="n">
        <v>5.38</v>
      </c>
      <c r="G557" s="30" t="s">
        <v>1099</v>
      </c>
      <c r="H557" s="30" t="s">
        <v>1873</v>
      </c>
    </row>
    <row r="558" customFormat="false" ht="43.25" hidden="false" customHeight="false" outlineLevel="0" collapsed="false">
      <c r="A558" s="42" t="n">
        <v>14412</v>
      </c>
      <c r="B558" s="42" t="s">
        <v>852</v>
      </c>
      <c r="C558" s="42" t="s">
        <v>959</v>
      </c>
      <c r="D558" s="42" t="s">
        <v>1699</v>
      </c>
      <c r="E558" s="42" t="s">
        <v>97</v>
      </c>
      <c r="F558" s="11" t="n">
        <v>5.3</v>
      </c>
      <c r="G558" s="33" t="s">
        <v>1785</v>
      </c>
      <c r="H558" s="33" t="s">
        <v>2061</v>
      </c>
    </row>
    <row r="559" customFormat="false" ht="32.8" hidden="false" customHeight="false" outlineLevel="0" collapsed="false">
      <c r="A559" s="41" t="n">
        <v>14416</v>
      </c>
      <c r="B559" s="41" t="s">
        <v>823</v>
      </c>
      <c r="C559" s="41" t="s">
        <v>855</v>
      </c>
      <c r="D559" s="41" t="s">
        <v>1689</v>
      </c>
      <c r="E559" s="41" t="s">
        <v>97</v>
      </c>
      <c r="F559" s="15" t="n">
        <v>5.28</v>
      </c>
      <c r="G559" s="30" t="s">
        <v>1705</v>
      </c>
      <c r="H559" s="30" t="s">
        <v>2133</v>
      </c>
    </row>
    <row r="560" customFormat="false" ht="22.35" hidden="false" customHeight="false" outlineLevel="0" collapsed="false">
      <c r="A560" s="42" t="n">
        <v>14423</v>
      </c>
      <c r="B560" s="42" t="s">
        <v>852</v>
      </c>
      <c r="C560" s="42" t="s">
        <v>1125</v>
      </c>
      <c r="D560" s="42" t="s">
        <v>1699</v>
      </c>
      <c r="E560" s="42" t="s">
        <v>97</v>
      </c>
      <c r="F560" s="11" t="n">
        <v>5.25</v>
      </c>
      <c r="G560" s="33" t="s">
        <v>1137</v>
      </c>
      <c r="H560" s="33" t="s">
        <v>2134</v>
      </c>
    </row>
    <row r="561" customFormat="false" ht="22.35" hidden="false" customHeight="false" outlineLevel="0" collapsed="false">
      <c r="A561" s="41" t="n">
        <v>14424</v>
      </c>
      <c r="B561" s="41" t="s">
        <v>852</v>
      </c>
      <c r="C561" s="41" t="s">
        <v>1112</v>
      </c>
      <c r="D561" s="41" t="s">
        <v>1699</v>
      </c>
      <c r="E561" s="41" t="s">
        <v>97</v>
      </c>
      <c r="F561" s="15" t="n">
        <v>5.25</v>
      </c>
      <c r="G561" s="30" t="s">
        <v>1113</v>
      </c>
      <c r="H561" s="30" t="s">
        <v>2135</v>
      </c>
    </row>
    <row r="562" customFormat="false" ht="43.25" hidden="false" customHeight="false" outlineLevel="0" collapsed="false">
      <c r="A562" s="42" t="n">
        <v>14425</v>
      </c>
      <c r="B562" s="42" t="s">
        <v>919</v>
      </c>
      <c r="C562" s="42" t="s">
        <v>1381</v>
      </c>
      <c r="D562" s="42" t="s">
        <v>1736</v>
      </c>
      <c r="E562" s="42" t="s">
        <v>97</v>
      </c>
      <c r="F562" s="11" t="n">
        <v>5.25</v>
      </c>
      <c r="G562" s="33" t="s">
        <v>1886</v>
      </c>
      <c r="H562" s="33" t="s">
        <v>2136</v>
      </c>
    </row>
    <row r="563" customFormat="false" ht="22.35" hidden="false" customHeight="false" outlineLevel="0" collapsed="false">
      <c r="A563" s="41" t="n">
        <v>14426</v>
      </c>
      <c r="B563" s="41" t="s">
        <v>829</v>
      </c>
      <c r="C563" s="41" t="s">
        <v>1140</v>
      </c>
      <c r="D563" s="41" t="s">
        <v>743</v>
      </c>
      <c r="E563" s="41" t="s">
        <v>97</v>
      </c>
      <c r="F563" s="15" t="n">
        <v>5.25</v>
      </c>
      <c r="G563" s="30" t="s">
        <v>1141</v>
      </c>
      <c r="H563" s="30" t="s">
        <v>2137</v>
      </c>
    </row>
    <row r="564" customFormat="false" ht="22.35" hidden="false" customHeight="false" outlineLevel="0" collapsed="false">
      <c r="A564" s="42" t="n">
        <v>14427</v>
      </c>
      <c r="B564" s="42" t="s">
        <v>829</v>
      </c>
      <c r="C564" s="42" t="s">
        <v>872</v>
      </c>
      <c r="D564" s="42" t="s">
        <v>743</v>
      </c>
      <c r="E564" s="42" t="s">
        <v>97</v>
      </c>
      <c r="F564" s="11" t="n">
        <v>5.25</v>
      </c>
      <c r="G564" s="33" t="s">
        <v>1710</v>
      </c>
      <c r="H564" s="33" t="s">
        <v>2106</v>
      </c>
    </row>
    <row r="565" customFormat="false" ht="32.8" hidden="false" customHeight="false" outlineLevel="0" collapsed="false">
      <c r="A565" s="41" t="n">
        <v>14428</v>
      </c>
      <c r="B565" s="41" t="s">
        <v>829</v>
      </c>
      <c r="C565" s="41" t="s">
        <v>855</v>
      </c>
      <c r="D565" s="41" t="s">
        <v>743</v>
      </c>
      <c r="E565" s="41" t="s">
        <v>97</v>
      </c>
      <c r="F565" s="15" t="n">
        <v>5.25</v>
      </c>
      <c r="G565" s="30" t="s">
        <v>1705</v>
      </c>
      <c r="H565" s="30" t="s">
        <v>2128</v>
      </c>
    </row>
    <row r="566" customFormat="false" ht="22.35" hidden="false" customHeight="false" outlineLevel="0" collapsed="false">
      <c r="A566" s="42" t="n">
        <v>14429</v>
      </c>
      <c r="B566" s="42" t="s">
        <v>829</v>
      </c>
      <c r="C566" s="42" t="s">
        <v>1105</v>
      </c>
      <c r="D566" s="42" t="s">
        <v>743</v>
      </c>
      <c r="E566" s="42" t="s">
        <v>97</v>
      </c>
      <c r="F566" s="11" t="n">
        <v>5.25</v>
      </c>
      <c r="G566" s="33" t="s">
        <v>1106</v>
      </c>
      <c r="H566" s="33" t="s">
        <v>2138</v>
      </c>
    </row>
    <row r="567" customFormat="false" ht="22.35" hidden="false" customHeight="false" outlineLevel="0" collapsed="false">
      <c r="A567" s="41" t="n">
        <v>14430</v>
      </c>
      <c r="B567" s="41" t="s">
        <v>829</v>
      </c>
      <c r="C567" s="41" t="s">
        <v>1093</v>
      </c>
      <c r="D567" s="41" t="s">
        <v>743</v>
      </c>
      <c r="E567" s="41" t="s">
        <v>97</v>
      </c>
      <c r="F567" s="15" t="n">
        <v>5.25</v>
      </c>
      <c r="G567" s="30" t="s">
        <v>1888</v>
      </c>
      <c r="H567" s="30" t="s">
        <v>2139</v>
      </c>
    </row>
    <row r="568" customFormat="false" ht="32.8" hidden="false" customHeight="false" outlineLevel="0" collapsed="false">
      <c r="A568" s="42" t="n">
        <v>14431</v>
      </c>
      <c r="B568" s="42" t="s">
        <v>829</v>
      </c>
      <c r="C568" s="42" t="s">
        <v>988</v>
      </c>
      <c r="D568" s="42" t="s">
        <v>743</v>
      </c>
      <c r="E568" s="42" t="s">
        <v>97</v>
      </c>
      <c r="F568" s="11" t="n">
        <v>5.25</v>
      </c>
      <c r="G568" s="33" t="s">
        <v>1906</v>
      </c>
      <c r="H568" s="33" t="s">
        <v>2140</v>
      </c>
    </row>
    <row r="569" customFormat="false" ht="22.35" hidden="false" customHeight="false" outlineLevel="0" collapsed="false">
      <c r="A569" s="41" t="n">
        <v>14443</v>
      </c>
      <c r="B569" s="41" t="s">
        <v>823</v>
      </c>
      <c r="C569" s="41" t="s">
        <v>1322</v>
      </c>
      <c r="D569" s="41" t="s">
        <v>1689</v>
      </c>
      <c r="E569" s="41" t="s">
        <v>97</v>
      </c>
      <c r="F569" s="15" t="n">
        <v>5.25</v>
      </c>
      <c r="G569" s="30" t="s">
        <v>1519</v>
      </c>
      <c r="H569" s="30" t="s">
        <v>2141</v>
      </c>
    </row>
    <row r="570" customFormat="false" ht="22.35" hidden="false" customHeight="false" outlineLevel="0" collapsed="false">
      <c r="A570" s="42" t="n">
        <v>14448</v>
      </c>
      <c r="B570" s="42" t="s">
        <v>829</v>
      </c>
      <c r="C570" s="42" t="s">
        <v>1105</v>
      </c>
      <c r="D570" s="42" t="s">
        <v>743</v>
      </c>
      <c r="E570" s="42" t="s">
        <v>97</v>
      </c>
      <c r="F570" s="11" t="n">
        <v>5.2</v>
      </c>
      <c r="G570" s="33" t="s">
        <v>1106</v>
      </c>
      <c r="H570" s="33" t="s">
        <v>1837</v>
      </c>
    </row>
    <row r="571" customFormat="false" ht="22.35" hidden="false" customHeight="false" outlineLevel="0" collapsed="false">
      <c r="A571" s="41" t="n">
        <v>14449</v>
      </c>
      <c r="B571" s="41" t="s">
        <v>829</v>
      </c>
      <c r="C571" s="41" t="s">
        <v>1281</v>
      </c>
      <c r="D571" s="41" t="s">
        <v>743</v>
      </c>
      <c r="E571" s="41" t="s">
        <v>97</v>
      </c>
      <c r="F571" s="15" t="n">
        <v>5.17</v>
      </c>
      <c r="G571" s="30" t="s">
        <v>1282</v>
      </c>
      <c r="H571" s="30" t="s">
        <v>1960</v>
      </c>
    </row>
    <row r="572" customFormat="false" ht="32.8" hidden="false" customHeight="false" outlineLevel="0" collapsed="false">
      <c r="A572" s="42" t="n">
        <v>14450</v>
      </c>
      <c r="B572" s="42" t="s">
        <v>829</v>
      </c>
      <c r="C572" s="42" t="s">
        <v>1590</v>
      </c>
      <c r="D572" s="42" t="s">
        <v>743</v>
      </c>
      <c r="E572" s="42" t="s">
        <v>97</v>
      </c>
      <c r="F572" s="11" t="n">
        <v>5.17</v>
      </c>
      <c r="G572" s="33" t="s">
        <v>2051</v>
      </c>
      <c r="H572" s="33" t="s">
        <v>2052</v>
      </c>
    </row>
    <row r="573" customFormat="false" ht="22.35" hidden="false" customHeight="false" outlineLevel="0" collapsed="false">
      <c r="A573" s="41" t="n">
        <v>14461</v>
      </c>
      <c r="B573" s="41" t="s">
        <v>829</v>
      </c>
      <c r="C573" s="41" t="s">
        <v>847</v>
      </c>
      <c r="D573" s="41" t="s">
        <v>743</v>
      </c>
      <c r="E573" s="41" t="s">
        <v>97</v>
      </c>
      <c r="F573" s="15" t="n">
        <v>5.05</v>
      </c>
      <c r="G573" s="30" t="s">
        <v>1712</v>
      </c>
      <c r="H573" s="30" t="s">
        <v>1713</v>
      </c>
    </row>
    <row r="574" customFormat="false" ht="43.25" hidden="false" customHeight="false" outlineLevel="0" collapsed="false">
      <c r="A574" s="42" t="n">
        <v>14474</v>
      </c>
      <c r="B574" s="42" t="s">
        <v>919</v>
      </c>
      <c r="C574" s="42" t="s">
        <v>1381</v>
      </c>
      <c r="D574" s="42" t="s">
        <v>1736</v>
      </c>
      <c r="E574" s="42" t="s">
        <v>97</v>
      </c>
      <c r="F574" s="11" t="n">
        <v>4.89</v>
      </c>
      <c r="G574" s="33" t="s">
        <v>1886</v>
      </c>
      <c r="H574" s="33" t="s">
        <v>2136</v>
      </c>
    </row>
    <row r="575" customFormat="false" ht="22.35" hidden="false" customHeight="false" outlineLevel="0" collapsed="false">
      <c r="A575" s="41" t="n">
        <v>14488</v>
      </c>
      <c r="B575" s="41" t="s">
        <v>829</v>
      </c>
      <c r="C575" s="41" t="s">
        <v>1093</v>
      </c>
      <c r="D575" s="41" t="s">
        <v>743</v>
      </c>
      <c r="E575" s="41" t="s">
        <v>97</v>
      </c>
      <c r="F575" s="15" t="n">
        <v>4.65</v>
      </c>
      <c r="G575" s="30" t="s">
        <v>1888</v>
      </c>
      <c r="H575" s="30" t="s">
        <v>1889</v>
      </c>
    </row>
    <row r="576" customFormat="false" ht="32.8" hidden="false" customHeight="false" outlineLevel="0" collapsed="false">
      <c r="A576" s="42" t="n">
        <v>14490</v>
      </c>
      <c r="B576" s="42" t="s">
        <v>823</v>
      </c>
      <c r="C576" s="42" t="s">
        <v>897</v>
      </c>
      <c r="D576" s="42" t="s">
        <v>1689</v>
      </c>
      <c r="E576" s="42" t="s">
        <v>97</v>
      </c>
      <c r="F576" s="11" t="n">
        <v>4.62</v>
      </c>
      <c r="G576" s="33" t="s">
        <v>1731</v>
      </c>
      <c r="H576" s="33" t="s">
        <v>2089</v>
      </c>
    </row>
    <row r="577" customFormat="false" ht="22.35" hidden="false" customHeight="false" outlineLevel="0" collapsed="false">
      <c r="A577" s="41" t="n">
        <v>14496</v>
      </c>
      <c r="B577" s="41" t="s">
        <v>829</v>
      </c>
      <c r="C577" s="41" t="s">
        <v>1083</v>
      </c>
      <c r="D577" s="41" t="s">
        <v>743</v>
      </c>
      <c r="E577" s="41" t="s">
        <v>97</v>
      </c>
      <c r="F577" s="15" t="n">
        <v>4.54</v>
      </c>
      <c r="G577" s="30" t="s">
        <v>1896</v>
      </c>
      <c r="H577" s="30" t="s">
        <v>1897</v>
      </c>
    </row>
    <row r="578" customFormat="false" ht="32.8" hidden="false" customHeight="false" outlineLevel="0" collapsed="false">
      <c r="A578" s="42" t="n">
        <v>14500</v>
      </c>
      <c r="B578" s="42" t="s">
        <v>852</v>
      </c>
      <c r="C578" s="42" t="s">
        <v>1071</v>
      </c>
      <c r="D578" s="42" t="s">
        <v>1699</v>
      </c>
      <c r="E578" s="42" t="s">
        <v>97</v>
      </c>
      <c r="F578" s="11" t="n">
        <v>4.51</v>
      </c>
      <c r="G578" s="33" t="s">
        <v>1780</v>
      </c>
      <c r="H578" s="33" t="s">
        <v>2060</v>
      </c>
    </row>
    <row r="579" customFormat="false" ht="22.35" hidden="false" customHeight="false" outlineLevel="0" collapsed="false">
      <c r="A579" s="41" t="n">
        <v>14503</v>
      </c>
      <c r="B579" s="41" t="s">
        <v>829</v>
      </c>
      <c r="C579" s="41" t="s">
        <v>1446</v>
      </c>
      <c r="D579" s="41" t="s">
        <v>743</v>
      </c>
      <c r="E579" s="41" t="s">
        <v>97</v>
      </c>
      <c r="F579" s="15" t="n">
        <v>4.49</v>
      </c>
      <c r="G579" s="30" t="s">
        <v>1955</v>
      </c>
      <c r="H579" s="30" t="s">
        <v>2014</v>
      </c>
    </row>
    <row r="580" customFormat="false" ht="22.35" hidden="false" customHeight="false" outlineLevel="0" collapsed="false">
      <c r="A580" s="42" t="n">
        <v>14505</v>
      </c>
      <c r="B580" s="42" t="s">
        <v>829</v>
      </c>
      <c r="C580" s="42" t="s">
        <v>1098</v>
      </c>
      <c r="D580" s="42" t="s">
        <v>743</v>
      </c>
      <c r="E580" s="42" t="s">
        <v>97</v>
      </c>
      <c r="F580" s="11" t="n">
        <v>4.44</v>
      </c>
      <c r="G580" s="33" t="s">
        <v>1099</v>
      </c>
      <c r="H580" s="33" t="s">
        <v>1925</v>
      </c>
    </row>
    <row r="581" customFormat="false" ht="22.35" hidden="false" customHeight="false" outlineLevel="0" collapsed="false">
      <c r="A581" s="41" t="n">
        <v>14518</v>
      </c>
      <c r="B581" s="41" t="s">
        <v>823</v>
      </c>
      <c r="C581" s="41" t="s">
        <v>878</v>
      </c>
      <c r="D581" s="41" t="s">
        <v>1689</v>
      </c>
      <c r="E581" s="41" t="s">
        <v>97</v>
      </c>
      <c r="F581" s="15" t="n">
        <v>4.4</v>
      </c>
      <c r="G581" s="30" t="s">
        <v>1708</v>
      </c>
      <c r="H581" s="30" t="s">
        <v>2113</v>
      </c>
    </row>
    <row r="582" customFormat="false" ht="43.25" hidden="false" customHeight="false" outlineLevel="0" collapsed="false">
      <c r="A582" s="42" t="n">
        <v>14531</v>
      </c>
      <c r="B582" s="42" t="s">
        <v>919</v>
      </c>
      <c r="C582" s="42" t="s">
        <v>1381</v>
      </c>
      <c r="D582" s="42" t="s">
        <v>1736</v>
      </c>
      <c r="E582" s="42" t="s">
        <v>97</v>
      </c>
      <c r="F582" s="11" t="n">
        <v>4.28</v>
      </c>
      <c r="G582" s="33" t="s">
        <v>1886</v>
      </c>
      <c r="H582" s="33" t="s">
        <v>1887</v>
      </c>
    </row>
    <row r="583" customFormat="false" ht="22.35" hidden="false" customHeight="false" outlineLevel="0" collapsed="false">
      <c r="A583" s="41" t="n">
        <v>14532</v>
      </c>
      <c r="B583" s="41" t="s">
        <v>852</v>
      </c>
      <c r="C583" s="41" t="s">
        <v>1531</v>
      </c>
      <c r="D583" s="41" t="s">
        <v>1699</v>
      </c>
      <c r="E583" s="41" t="s">
        <v>97</v>
      </c>
      <c r="F583" s="15" t="n">
        <v>4.27</v>
      </c>
      <c r="G583" s="30" t="s">
        <v>1532</v>
      </c>
      <c r="H583" s="30" t="s">
        <v>2109</v>
      </c>
    </row>
    <row r="584" customFormat="false" ht="22.35" hidden="false" customHeight="false" outlineLevel="0" collapsed="false">
      <c r="A584" s="42" t="n">
        <v>14534</v>
      </c>
      <c r="B584" s="42" t="s">
        <v>829</v>
      </c>
      <c r="C584" s="42" t="s">
        <v>1083</v>
      </c>
      <c r="D584" s="42" t="s">
        <v>743</v>
      </c>
      <c r="E584" s="42" t="s">
        <v>97</v>
      </c>
      <c r="F584" s="11" t="n">
        <v>4.26</v>
      </c>
      <c r="G584" s="33" t="s">
        <v>1896</v>
      </c>
      <c r="H584" s="33" t="s">
        <v>1915</v>
      </c>
    </row>
    <row r="585" customFormat="false" ht="32.8" hidden="false" customHeight="false" outlineLevel="0" collapsed="false">
      <c r="A585" s="41" t="n">
        <v>14535</v>
      </c>
      <c r="B585" s="41" t="s">
        <v>823</v>
      </c>
      <c r="C585" s="41" t="s">
        <v>1286</v>
      </c>
      <c r="D585" s="41" t="s">
        <v>1689</v>
      </c>
      <c r="E585" s="41" t="s">
        <v>97</v>
      </c>
      <c r="F585" s="15" t="n">
        <v>4.25</v>
      </c>
      <c r="G585" s="30" t="s">
        <v>1806</v>
      </c>
      <c r="H585" s="30" t="s">
        <v>1807</v>
      </c>
    </row>
    <row r="586" customFormat="false" ht="22.35" hidden="false" customHeight="false" outlineLevel="0" collapsed="false">
      <c r="A586" s="42" t="n">
        <v>14537</v>
      </c>
      <c r="B586" s="42" t="s">
        <v>877</v>
      </c>
      <c r="C586" s="42" t="s">
        <v>1352</v>
      </c>
      <c r="D586" s="42" t="s">
        <v>748</v>
      </c>
      <c r="E586" s="42" t="s">
        <v>97</v>
      </c>
      <c r="F586" s="11" t="n">
        <v>4.24</v>
      </c>
      <c r="G586" s="33" t="s">
        <v>1353</v>
      </c>
      <c r="H586" s="33" t="s">
        <v>1803</v>
      </c>
    </row>
    <row r="587" customFormat="false" ht="22.35" hidden="false" customHeight="false" outlineLevel="0" collapsed="false">
      <c r="A587" s="41" t="n">
        <v>14555</v>
      </c>
      <c r="B587" s="41" t="s">
        <v>877</v>
      </c>
      <c r="C587" s="41" t="s">
        <v>878</v>
      </c>
      <c r="D587" s="41" t="s">
        <v>748</v>
      </c>
      <c r="E587" s="41" t="s">
        <v>97</v>
      </c>
      <c r="F587" s="15" t="n">
        <v>4.2</v>
      </c>
      <c r="G587" s="30" t="s">
        <v>1708</v>
      </c>
      <c r="H587" s="30" t="s">
        <v>2105</v>
      </c>
    </row>
    <row r="588" customFormat="false" ht="32.8" hidden="false" customHeight="false" outlineLevel="0" collapsed="false">
      <c r="A588" s="42" t="n">
        <v>14556</v>
      </c>
      <c r="B588" s="42" t="s">
        <v>877</v>
      </c>
      <c r="C588" s="42" t="s">
        <v>966</v>
      </c>
      <c r="D588" s="42" t="s">
        <v>748</v>
      </c>
      <c r="E588" s="42" t="s">
        <v>97</v>
      </c>
      <c r="F588" s="11" t="n">
        <v>4.2</v>
      </c>
      <c r="G588" s="33" t="s">
        <v>1758</v>
      </c>
      <c r="H588" s="33" t="s">
        <v>2142</v>
      </c>
    </row>
    <row r="589" customFormat="false" ht="22.35" hidden="false" customHeight="false" outlineLevel="0" collapsed="false">
      <c r="A589" s="41" t="n">
        <v>14563</v>
      </c>
      <c r="B589" s="41" t="s">
        <v>823</v>
      </c>
      <c r="C589" s="41" t="s">
        <v>1619</v>
      </c>
      <c r="D589" s="41" t="s">
        <v>1689</v>
      </c>
      <c r="E589" s="41" t="s">
        <v>97</v>
      </c>
      <c r="F589" s="15" t="n">
        <v>4.16</v>
      </c>
      <c r="G589" s="30" t="s">
        <v>2041</v>
      </c>
      <c r="H589" s="30" t="s">
        <v>2085</v>
      </c>
    </row>
    <row r="590" customFormat="false" ht="22.35" hidden="false" customHeight="false" outlineLevel="0" collapsed="false">
      <c r="A590" s="42" t="n">
        <v>14597</v>
      </c>
      <c r="B590" s="42" t="s">
        <v>829</v>
      </c>
      <c r="C590" s="42" t="s">
        <v>1093</v>
      </c>
      <c r="D590" s="42" t="s">
        <v>743</v>
      </c>
      <c r="E590" s="42" t="s">
        <v>97</v>
      </c>
      <c r="F590" s="11" t="n">
        <v>3.95</v>
      </c>
      <c r="G590" s="33" t="s">
        <v>1888</v>
      </c>
      <c r="H590" s="33" t="s">
        <v>1924</v>
      </c>
    </row>
    <row r="591" customFormat="false" ht="32.8" hidden="false" customHeight="false" outlineLevel="0" collapsed="false">
      <c r="A591" s="41" t="n">
        <v>14613</v>
      </c>
      <c r="B591" s="41" t="s">
        <v>829</v>
      </c>
      <c r="C591" s="41" t="s">
        <v>1130</v>
      </c>
      <c r="D591" s="41" t="s">
        <v>743</v>
      </c>
      <c r="E591" s="41" t="s">
        <v>97</v>
      </c>
      <c r="F591" s="15" t="n">
        <v>3.86</v>
      </c>
      <c r="G591" s="30" t="s">
        <v>1898</v>
      </c>
      <c r="H591" s="30" t="s">
        <v>1899</v>
      </c>
    </row>
    <row r="592" customFormat="false" ht="22.35" hidden="false" customHeight="false" outlineLevel="0" collapsed="false">
      <c r="A592" s="42" t="n">
        <v>14622</v>
      </c>
      <c r="B592" s="42" t="s">
        <v>823</v>
      </c>
      <c r="C592" s="42" t="s">
        <v>1276</v>
      </c>
      <c r="D592" s="42" t="s">
        <v>1689</v>
      </c>
      <c r="E592" s="42" t="s">
        <v>97</v>
      </c>
      <c r="F592" s="11" t="n">
        <v>3.81</v>
      </c>
      <c r="G592" s="33" t="s">
        <v>1842</v>
      </c>
      <c r="H592" s="33" t="s">
        <v>1843</v>
      </c>
    </row>
    <row r="593" customFormat="false" ht="22.35" hidden="false" customHeight="false" outlineLevel="0" collapsed="false">
      <c r="A593" s="41" t="n">
        <v>14624</v>
      </c>
      <c r="B593" s="41" t="s">
        <v>877</v>
      </c>
      <c r="C593" s="41" t="s">
        <v>1044</v>
      </c>
      <c r="D593" s="41" t="s">
        <v>748</v>
      </c>
      <c r="E593" s="41" t="s">
        <v>97</v>
      </c>
      <c r="F593" s="15" t="n">
        <v>3.79</v>
      </c>
      <c r="G593" s="30" t="s">
        <v>1788</v>
      </c>
      <c r="H593" s="30" t="s">
        <v>2092</v>
      </c>
    </row>
    <row r="594" customFormat="false" ht="22.35" hidden="false" customHeight="false" outlineLevel="0" collapsed="false">
      <c r="A594" s="42" t="n">
        <v>14625</v>
      </c>
      <c r="B594" s="42" t="s">
        <v>877</v>
      </c>
      <c r="C594" s="42" t="s">
        <v>973</v>
      </c>
      <c r="D594" s="42" t="s">
        <v>748</v>
      </c>
      <c r="E594" s="42" t="s">
        <v>97</v>
      </c>
      <c r="F594" s="11" t="n">
        <v>3.79</v>
      </c>
      <c r="G594" s="33" t="s">
        <v>1762</v>
      </c>
      <c r="H594" s="33" t="s">
        <v>2127</v>
      </c>
    </row>
    <row r="595" customFormat="false" ht="32.8" hidden="false" customHeight="false" outlineLevel="0" collapsed="false">
      <c r="A595" s="41" t="n">
        <v>14635</v>
      </c>
      <c r="B595" s="41" t="s">
        <v>829</v>
      </c>
      <c r="C595" s="41" t="s">
        <v>1150</v>
      </c>
      <c r="D595" s="41" t="s">
        <v>743</v>
      </c>
      <c r="E595" s="41" t="s">
        <v>97</v>
      </c>
      <c r="F595" s="15" t="n">
        <v>3.71</v>
      </c>
      <c r="G595" s="30" t="s">
        <v>1874</v>
      </c>
      <c r="H595" s="30" t="s">
        <v>1875</v>
      </c>
    </row>
    <row r="596" customFormat="false" ht="32.8" hidden="false" customHeight="false" outlineLevel="0" collapsed="false">
      <c r="A596" s="42" t="n">
        <v>14636</v>
      </c>
      <c r="B596" s="42" t="s">
        <v>829</v>
      </c>
      <c r="C596" s="42" t="s">
        <v>1130</v>
      </c>
      <c r="D596" s="42" t="s">
        <v>743</v>
      </c>
      <c r="E596" s="42" t="s">
        <v>97</v>
      </c>
      <c r="F596" s="11" t="n">
        <v>3.71</v>
      </c>
      <c r="G596" s="33" t="s">
        <v>1898</v>
      </c>
      <c r="H596" s="33" t="s">
        <v>1911</v>
      </c>
    </row>
    <row r="597" customFormat="false" ht="22.35" hidden="false" customHeight="false" outlineLevel="0" collapsed="false">
      <c r="A597" s="41" t="n">
        <v>14641</v>
      </c>
      <c r="B597" s="41" t="s">
        <v>823</v>
      </c>
      <c r="C597" s="41" t="s">
        <v>1105</v>
      </c>
      <c r="D597" s="41" t="s">
        <v>1689</v>
      </c>
      <c r="E597" s="41" t="s">
        <v>97</v>
      </c>
      <c r="F597" s="15" t="n">
        <v>3.67</v>
      </c>
      <c r="G597" s="30" t="s">
        <v>1106</v>
      </c>
      <c r="H597" s="30" t="s">
        <v>1993</v>
      </c>
    </row>
    <row r="598" customFormat="false" ht="22.35" hidden="false" customHeight="false" outlineLevel="0" collapsed="false">
      <c r="A598" s="42" t="n">
        <v>14661</v>
      </c>
      <c r="B598" s="42" t="s">
        <v>877</v>
      </c>
      <c r="C598" s="42" t="s">
        <v>1232</v>
      </c>
      <c r="D598" s="42" t="s">
        <v>748</v>
      </c>
      <c r="E598" s="42" t="s">
        <v>97</v>
      </c>
      <c r="F598" s="11" t="n">
        <v>3.59</v>
      </c>
      <c r="G598" s="33" t="s">
        <v>1770</v>
      </c>
      <c r="H598" s="33" t="s">
        <v>1771</v>
      </c>
    </row>
    <row r="599" customFormat="false" ht="22.35" hidden="false" customHeight="false" outlineLevel="0" collapsed="false">
      <c r="A599" s="41" t="n">
        <v>14673</v>
      </c>
      <c r="B599" s="41" t="s">
        <v>852</v>
      </c>
      <c r="C599" s="41" t="s">
        <v>1446</v>
      </c>
      <c r="D599" s="41" t="s">
        <v>1699</v>
      </c>
      <c r="E599" s="41" t="s">
        <v>97</v>
      </c>
      <c r="F599" s="15" t="n">
        <v>3.47</v>
      </c>
      <c r="G599" s="30" t="s">
        <v>1955</v>
      </c>
      <c r="H599" s="30" t="s">
        <v>1990</v>
      </c>
    </row>
    <row r="600" customFormat="false" ht="22.35" hidden="false" customHeight="false" outlineLevel="0" collapsed="false">
      <c r="A600" s="42" t="n">
        <v>14699</v>
      </c>
      <c r="B600" s="42" t="s">
        <v>829</v>
      </c>
      <c r="C600" s="42" t="s">
        <v>847</v>
      </c>
      <c r="D600" s="42" t="s">
        <v>743</v>
      </c>
      <c r="E600" s="42" t="s">
        <v>97</v>
      </c>
      <c r="F600" s="11" t="n">
        <v>3.33</v>
      </c>
      <c r="G600" s="33" t="s">
        <v>1712</v>
      </c>
      <c r="H600" s="33" t="s">
        <v>1727</v>
      </c>
    </row>
    <row r="601" customFormat="false" ht="22.35" hidden="false" customHeight="false" outlineLevel="0" collapsed="false">
      <c r="A601" s="41" t="n">
        <v>14703</v>
      </c>
      <c r="B601" s="41" t="s">
        <v>852</v>
      </c>
      <c r="C601" s="41" t="s">
        <v>1112</v>
      </c>
      <c r="D601" s="41" t="s">
        <v>1699</v>
      </c>
      <c r="E601" s="41" t="s">
        <v>97</v>
      </c>
      <c r="F601" s="15" t="n">
        <v>3.28</v>
      </c>
      <c r="G601" s="30" t="s">
        <v>1113</v>
      </c>
      <c r="H601" s="30" t="s">
        <v>1850</v>
      </c>
    </row>
    <row r="602" customFormat="false" ht="22.35" hidden="false" customHeight="false" outlineLevel="0" collapsed="false">
      <c r="A602" s="42" t="n">
        <v>14705</v>
      </c>
      <c r="B602" s="42" t="s">
        <v>823</v>
      </c>
      <c r="C602" s="42" t="s">
        <v>907</v>
      </c>
      <c r="D602" s="42" t="s">
        <v>1689</v>
      </c>
      <c r="E602" s="42" t="s">
        <v>97</v>
      </c>
      <c r="F602" s="11" t="n">
        <v>3.28</v>
      </c>
      <c r="G602" s="33" t="s">
        <v>1725</v>
      </c>
      <c r="H602" s="33" t="s">
        <v>2143</v>
      </c>
    </row>
    <row r="603" customFormat="false" ht="22.35" hidden="false" customHeight="false" outlineLevel="0" collapsed="false">
      <c r="A603" s="41" t="n">
        <v>14709</v>
      </c>
      <c r="B603" s="41" t="s">
        <v>919</v>
      </c>
      <c r="C603" s="41" t="s">
        <v>1185</v>
      </c>
      <c r="D603" s="41" t="s">
        <v>1736</v>
      </c>
      <c r="E603" s="41" t="s">
        <v>97</v>
      </c>
      <c r="F603" s="15" t="n">
        <v>3.26</v>
      </c>
      <c r="G603" s="30" t="s">
        <v>1754</v>
      </c>
      <c r="H603" s="30" t="s">
        <v>1755</v>
      </c>
    </row>
    <row r="604" customFormat="false" ht="22.35" hidden="false" customHeight="false" outlineLevel="0" collapsed="false">
      <c r="A604" s="42" t="n">
        <v>14711</v>
      </c>
      <c r="B604" s="42" t="s">
        <v>823</v>
      </c>
      <c r="C604" s="42" t="s">
        <v>1088</v>
      </c>
      <c r="D604" s="42" t="s">
        <v>1689</v>
      </c>
      <c r="E604" s="42" t="s">
        <v>97</v>
      </c>
      <c r="F604" s="11" t="n">
        <v>3.26</v>
      </c>
      <c r="G604" s="33" t="s">
        <v>1089</v>
      </c>
      <c r="H604" s="33" t="s">
        <v>1840</v>
      </c>
    </row>
    <row r="605" customFormat="false" ht="22.35" hidden="false" customHeight="false" outlineLevel="0" collapsed="false">
      <c r="A605" s="41" t="n">
        <v>14714</v>
      </c>
      <c r="B605" s="41" t="s">
        <v>852</v>
      </c>
      <c r="C605" s="41" t="s">
        <v>1619</v>
      </c>
      <c r="D605" s="41" t="s">
        <v>1699</v>
      </c>
      <c r="E605" s="41" t="s">
        <v>97</v>
      </c>
      <c r="F605" s="15" t="n">
        <v>3.23</v>
      </c>
      <c r="G605" s="30" t="s">
        <v>2041</v>
      </c>
      <c r="H605" s="30" t="s">
        <v>2042</v>
      </c>
    </row>
    <row r="606" customFormat="false" ht="22.35" hidden="false" customHeight="false" outlineLevel="0" collapsed="false">
      <c r="A606" s="42" t="n">
        <v>14734</v>
      </c>
      <c r="B606" s="42" t="s">
        <v>823</v>
      </c>
      <c r="C606" s="42" t="s">
        <v>1227</v>
      </c>
      <c r="D606" s="42" t="s">
        <v>1689</v>
      </c>
      <c r="E606" s="42" t="s">
        <v>97</v>
      </c>
      <c r="F606" s="11" t="n">
        <v>3.15</v>
      </c>
      <c r="G606" s="33" t="s">
        <v>1228</v>
      </c>
      <c r="H606" s="33" t="s">
        <v>2144</v>
      </c>
    </row>
    <row r="607" customFormat="false" ht="22.35" hidden="false" customHeight="false" outlineLevel="0" collapsed="false">
      <c r="A607" s="41" t="n">
        <v>14738</v>
      </c>
      <c r="B607" s="41" t="s">
        <v>877</v>
      </c>
      <c r="C607" s="41" t="s">
        <v>1619</v>
      </c>
      <c r="D607" s="41" t="s">
        <v>748</v>
      </c>
      <c r="E607" s="41" t="s">
        <v>97</v>
      </c>
      <c r="F607" s="15" t="n">
        <v>3.13</v>
      </c>
      <c r="G607" s="30" t="s">
        <v>2041</v>
      </c>
      <c r="H607" s="30" t="s">
        <v>2067</v>
      </c>
    </row>
    <row r="608" customFormat="false" ht="22.35" hidden="false" customHeight="false" outlineLevel="0" collapsed="false">
      <c r="A608" s="42" t="n">
        <v>14743</v>
      </c>
      <c r="B608" s="42" t="s">
        <v>877</v>
      </c>
      <c r="C608" s="42" t="s">
        <v>1418</v>
      </c>
      <c r="D608" s="42" t="s">
        <v>748</v>
      </c>
      <c r="E608" s="42" t="s">
        <v>97</v>
      </c>
      <c r="F608" s="11" t="n">
        <v>3.07</v>
      </c>
      <c r="G608" s="33" t="s">
        <v>1419</v>
      </c>
      <c r="H608" s="33" t="s">
        <v>2006</v>
      </c>
    </row>
    <row r="609" customFormat="false" ht="22.35" hidden="false" customHeight="false" outlineLevel="0" collapsed="false">
      <c r="A609" s="41" t="n">
        <v>14752</v>
      </c>
      <c r="B609" s="41" t="s">
        <v>823</v>
      </c>
      <c r="C609" s="41" t="s">
        <v>1145</v>
      </c>
      <c r="D609" s="41" t="s">
        <v>1689</v>
      </c>
      <c r="E609" s="41" t="s">
        <v>97</v>
      </c>
      <c r="F609" s="15" t="n">
        <v>3.02</v>
      </c>
      <c r="G609" s="30" t="s">
        <v>1822</v>
      </c>
      <c r="H609" s="30" t="s">
        <v>2102</v>
      </c>
    </row>
    <row r="610" customFormat="false" ht="22.35" hidden="false" customHeight="false" outlineLevel="0" collapsed="false">
      <c r="A610" s="42" t="n">
        <v>14799</v>
      </c>
      <c r="B610" s="42" t="s">
        <v>852</v>
      </c>
      <c r="C610" s="42" t="s">
        <v>1120</v>
      </c>
      <c r="D610" s="42" t="s">
        <v>1699</v>
      </c>
      <c r="E610" s="42" t="s">
        <v>97</v>
      </c>
      <c r="F610" s="11" t="n">
        <v>2.91</v>
      </c>
      <c r="G610" s="33" t="s">
        <v>1792</v>
      </c>
      <c r="H610" s="33" t="s">
        <v>2055</v>
      </c>
    </row>
    <row r="611" customFormat="false" ht="22.35" hidden="false" customHeight="false" outlineLevel="0" collapsed="false">
      <c r="A611" s="41" t="n">
        <v>14815</v>
      </c>
      <c r="B611" s="41" t="s">
        <v>852</v>
      </c>
      <c r="C611" s="41" t="s">
        <v>1017</v>
      </c>
      <c r="D611" s="41" t="s">
        <v>1699</v>
      </c>
      <c r="E611" s="41" t="s">
        <v>97</v>
      </c>
      <c r="F611" s="15" t="n">
        <v>2.84</v>
      </c>
      <c r="G611" s="30" t="s">
        <v>1018</v>
      </c>
      <c r="H611" s="30" t="s">
        <v>1953</v>
      </c>
    </row>
    <row r="612" customFormat="false" ht="32.8" hidden="false" customHeight="false" outlineLevel="0" collapsed="false">
      <c r="A612" s="42" t="n">
        <v>14817</v>
      </c>
      <c r="B612" s="42" t="s">
        <v>829</v>
      </c>
      <c r="C612" s="42" t="s">
        <v>1150</v>
      </c>
      <c r="D612" s="42" t="s">
        <v>743</v>
      </c>
      <c r="E612" s="42" t="s">
        <v>97</v>
      </c>
      <c r="F612" s="11" t="n">
        <v>2.84</v>
      </c>
      <c r="G612" s="33" t="s">
        <v>1874</v>
      </c>
      <c r="H612" s="33" t="s">
        <v>1939</v>
      </c>
    </row>
    <row r="613" customFormat="false" ht="32.8" hidden="false" customHeight="false" outlineLevel="0" collapsed="false">
      <c r="A613" s="41" t="n">
        <v>14825</v>
      </c>
      <c r="B613" s="41" t="s">
        <v>852</v>
      </c>
      <c r="C613" s="41" t="s">
        <v>1590</v>
      </c>
      <c r="D613" s="41" t="s">
        <v>1699</v>
      </c>
      <c r="E613" s="41" t="s">
        <v>97</v>
      </c>
      <c r="F613" s="15" t="n">
        <v>2.79</v>
      </c>
      <c r="G613" s="30" t="s">
        <v>2051</v>
      </c>
      <c r="H613" s="30" t="s">
        <v>2110</v>
      </c>
    </row>
    <row r="614" customFormat="false" ht="32.8" hidden="false" customHeight="false" outlineLevel="0" collapsed="false">
      <c r="A614" s="42" t="n">
        <v>14862</v>
      </c>
      <c r="B614" s="42" t="s">
        <v>823</v>
      </c>
      <c r="C614" s="42" t="s">
        <v>1330</v>
      </c>
      <c r="D614" s="42" t="s">
        <v>1689</v>
      </c>
      <c r="E614" s="42" t="s">
        <v>97</v>
      </c>
      <c r="F614" s="11" t="n">
        <v>2.65</v>
      </c>
      <c r="G614" s="33" t="s">
        <v>1833</v>
      </c>
      <c r="H614" s="33" t="s">
        <v>1834</v>
      </c>
    </row>
    <row r="615" customFormat="false" ht="22.35" hidden="false" customHeight="false" outlineLevel="0" collapsed="false">
      <c r="A615" s="41" t="n">
        <v>14872</v>
      </c>
      <c r="B615" s="41" t="s">
        <v>823</v>
      </c>
      <c r="C615" s="41" t="s">
        <v>1088</v>
      </c>
      <c r="D615" s="41" t="s">
        <v>1689</v>
      </c>
      <c r="E615" s="41" t="s">
        <v>97</v>
      </c>
      <c r="F615" s="15" t="n">
        <v>2.64</v>
      </c>
      <c r="G615" s="30" t="s">
        <v>1089</v>
      </c>
      <c r="H615" s="30" t="s">
        <v>2095</v>
      </c>
    </row>
    <row r="616" customFormat="false" ht="22.35" hidden="false" customHeight="false" outlineLevel="0" collapsed="false">
      <c r="A616" s="42" t="n">
        <v>14876</v>
      </c>
      <c r="B616" s="42" t="s">
        <v>829</v>
      </c>
      <c r="C616" s="42" t="s">
        <v>1105</v>
      </c>
      <c r="D616" s="42" t="s">
        <v>743</v>
      </c>
      <c r="E616" s="42" t="s">
        <v>97</v>
      </c>
      <c r="F616" s="11" t="n">
        <v>2.58</v>
      </c>
      <c r="G616" s="33" t="s">
        <v>1106</v>
      </c>
      <c r="H616" s="33" t="s">
        <v>1992</v>
      </c>
    </row>
    <row r="617" customFormat="false" ht="22.35" hidden="false" customHeight="false" outlineLevel="0" collapsed="false">
      <c r="A617" s="41" t="n">
        <v>14944</v>
      </c>
      <c r="B617" s="41" t="s">
        <v>823</v>
      </c>
      <c r="C617" s="41" t="s">
        <v>1463</v>
      </c>
      <c r="D617" s="41" t="s">
        <v>1689</v>
      </c>
      <c r="E617" s="41" t="s">
        <v>97</v>
      </c>
      <c r="F617" s="15" t="n">
        <v>2.35</v>
      </c>
      <c r="G617" s="30" t="s">
        <v>2043</v>
      </c>
      <c r="H617" s="30" t="s">
        <v>2078</v>
      </c>
    </row>
    <row r="618" customFormat="false" ht="32.8" hidden="false" customHeight="false" outlineLevel="0" collapsed="false">
      <c r="A618" s="42" t="n">
        <v>14951</v>
      </c>
      <c r="B618" s="42" t="s">
        <v>823</v>
      </c>
      <c r="C618" s="42" t="s">
        <v>983</v>
      </c>
      <c r="D618" s="42" t="s">
        <v>1689</v>
      </c>
      <c r="E618" s="42" t="s">
        <v>97</v>
      </c>
      <c r="F618" s="11" t="n">
        <v>2.31</v>
      </c>
      <c r="G618" s="33" t="s">
        <v>1748</v>
      </c>
      <c r="H618" s="33" t="s">
        <v>1787</v>
      </c>
    </row>
    <row r="619" customFormat="false" ht="22.35" hidden="false" customHeight="false" outlineLevel="0" collapsed="false">
      <c r="A619" s="41" t="n">
        <v>14963</v>
      </c>
      <c r="B619" s="41" t="s">
        <v>823</v>
      </c>
      <c r="C619" s="41" t="s">
        <v>1088</v>
      </c>
      <c r="D619" s="41" t="s">
        <v>1689</v>
      </c>
      <c r="E619" s="41" t="s">
        <v>97</v>
      </c>
      <c r="F619" s="15" t="n">
        <v>2.23</v>
      </c>
      <c r="G619" s="30" t="s">
        <v>1089</v>
      </c>
      <c r="H619" s="30" t="s">
        <v>2095</v>
      </c>
    </row>
    <row r="620" customFormat="false" ht="32.8" hidden="false" customHeight="false" outlineLevel="0" collapsed="false">
      <c r="A620" s="42" t="n">
        <v>14969</v>
      </c>
      <c r="B620" s="42" t="s">
        <v>823</v>
      </c>
      <c r="C620" s="42" t="s">
        <v>1252</v>
      </c>
      <c r="D620" s="42" t="s">
        <v>1689</v>
      </c>
      <c r="E620" s="42" t="s">
        <v>97</v>
      </c>
      <c r="F620" s="11" t="n">
        <v>2.15</v>
      </c>
      <c r="G620" s="33" t="s">
        <v>1760</v>
      </c>
      <c r="H620" s="33" t="s">
        <v>1784</v>
      </c>
    </row>
    <row r="621" customFormat="false" ht="22.35" hidden="false" customHeight="false" outlineLevel="0" collapsed="false">
      <c r="A621" s="41" t="n">
        <v>14970</v>
      </c>
      <c r="B621" s="41" t="s">
        <v>823</v>
      </c>
      <c r="C621" s="41" t="s">
        <v>1322</v>
      </c>
      <c r="D621" s="41" t="s">
        <v>1689</v>
      </c>
      <c r="E621" s="41" t="s">
        <v>97</v>
      </c>
      <c r="F621" s="15" t="n">
        <v>2.14</v>
      </c>
      <c r="G621" s="30" t="s">
        <v>1519</v>
      </c>
      <c r="H621" s="30" t="s">
        <v>2141</v>
      </c>
    </row>
    <row r="622" customFormat="false" ht="32.8" hidden="false" customHeight="false" outlineLevel="0" collapsed="false">
      <c r="A622" s="42" t="n">
        <v>14977</v>
      </c>
      <c r="B622" s="42" t="s">
        <v>823</v>
      </c>
      <c r="C622" s="42" t="s">
        <v>983</v>
      </c>
      <c r="D622" s="42" t="s">
        <v>1689</v>
      </c>
      <c r="E622" s="42" t="s">
        <v>97</v>
      </c>
      <c r="F622" s="11" t="n">
        <v>2.1</v>
      </c>
      <c r="G622" s="33" t="s">
        <v>1748</v>
      </c>
      <c r="H622" s="33" t="s">
        <v>2145</v>
      </c>
    </row>
    <row r="623" customFormat="false" ht="22.35" hidden="false" customHeight="false" outlineLevel="0" collapsed="false">
      <c r="A623" s="41" t="n">
        <v>14978</v>
      </c>
      <c r="B623" s="41" t="s">
        <v>823</v>
      </c>
      <c r="C623" s="41" t="s">
        <v>907</v>
      </c>
      <c r="D623" s="41" t="s">
        <v>1689</v>
      </c>
      <c r="E623" s="41" t="s">
        <v>97</v>
      </c>
      <c r="F623" s="15" t="n">
        <v>2.1</v>
      </c>
      <c r="G623" s="30" t="s">
        <v>1725</v>
      </c>
      <c r="H623" s="30" t="s">
        <v>2143</v>
      </c>
    </row>
    <row r="624" customFormat="false" ht="22.35" hidden="false" customHeight="false" outlineLevel="0" collapsed="false">
      <c r="A624" s="42" t="n">
        <v>14989</v>
      </c>
      <c r="B624" s="42" t="s">
        <v>877</v>
      </c>
      <c r="C624" s="42" t="s">
        <v>1217</v>
      </c>
      <c r="D624" s="42" t="s">
        <v>748</v>
      </c>
      <c r="E624" s="42" t="s">
        <v>97</v>
      </c>
      <c r="F624" s="11" t="n">
        <v>2.05</v>
      </c>
      <c r="G624" s="33" t="s">
        <v>1218</v>
      </c>
      <c r="H624" s="33" t="s">
        <v>1757</v>
      </c>
    </row>
    <row r="625" customFormat="false" ht="32.8" hidden="false" customHeight="false" outlineLevel="0" collapsed="false">
      <c r="A625" s="41" t="n">
        <v>14990</v>
      </c>
      <c r="B625" s="41" t="s">
        <v>919</v>
      </c>
      <c r="C625" s="41" t="s">
        <v>983</v>
      </c>
      <c r="D625" s="41" t="s">
        <v>1736</v>
      </c>
      <c r="E625" s="41" t="s">
        <v>97</v>
      </c>
      <c r="F625" s="15" t="n">
        <v>2.05</v>
      </c>
      <c r="G625" s="30" t="s">
        <v>1748</v>
      </c>
      <c r="H625" s="30" t="s">
        <v>1749</v>
      </c>
    </row>
    <row r="626" customFormat="false" ht="32.8" hidden="false" customHeight="false" outlineLevel="0" collapsed="false">
      <c r="A626" s="42" t="n">
        <v>14991</v>
      </c>
      <c r="B626" s="42" t="s">
        <v>829</v>
      </c>
      <c r="C626" s="42" t="s">
        <v>988</v>
      </c>
      <c r="D626" s="42" t="s">
        <v>743</v>
      </c>
      <c r="E626" s="42" t="s">
        <v>97</v>
      </c>
      <c r="F626" s="11" t="n">
        <v>2.05</v>
      </c>
      <c r="G626" s="33" t="s">
        <v>1906</v>
      </c>
      <c r="H626" s="33" t="s">
        <v>2140</v>
      </c>
    </row>
    <row r="627" customFormat="false" ht="22.35" hidden="false" customHeight="false" outlineLevel="0" collapsed="false">
      <c r="A627" s="41" t="n">
        <v>14993</v>
      </c>
      <c r="B627" s="41" t="s">
        <v>852</v>
      </c>
      <c r="C627" s="41" t="s">
        <v>1112</v>
      </c>
      <c r="D627" s="41" t="s">
        <v>1699</v>
      </c>
      <c r="E627" s="41" t="s">
        <v>97</v>
      </c>
      <c r="F627" s="15" t="n">
        <v>2.04</v>
      </c>
      <c r="G627" s="30" t="s">
        <v>1113</v>
      </c>
      <c r="H627" s="30" t="s">
        <v>1952</v>
      </c>
    </row>
    <row r="628" customFormat="false" ht="22.35" hidden="false" customHeight="false" outlineLevel="0" collapsed="false">
      <c r="A628" s="42" t="n">
        <v>14995</v>
      </c>
      <c r="B628" s="42" t="s">
        <v>852</v>
      </c>
      <c r="C628" s="42" t="s">
        <v>1463</v>
      </c>
      <c r="D628" s="42" t="s">
        <v>1699</v>
      </c>
      <c r="E628" s="42" t="s">
        <v>97</v>
      </c>
      <c r="F628" s="11" t="n">
        <v>2.01</v>
      </c>
      <c r="G628" s="33" t="s">
        <v>2043</v>
      </c>
      <c r="H628" s="33" t="s">
        <v>2044</v>
      </c>
    </row>
    <row r="629" customFormat="false" ht="22.35" hidden="false" customHeight="false" outlineLevel="0" collapsed="false">
      <c r="A629" s="41" t="n">
        <v>15007</v>
      </c>
      <c r="B629" s="41" t="s">
        <v>877</v>
      </c>
      <c r="C629" s="41" t="s">
        <v>1232</v>
      </c>
      <c r="D629" s="41" t="s">
        <v>748</v>
      </c>
      <c r="E629" s="41" t="s">
        <v>97</v>
      </c>
      <c r="F629" s="15" t="n">
        <v>1.86</v>
      </c>
      <c r="G629" s="30" t="s">
        <v>1770</v>
      </c>
      <c r="H629" s="30" t="s">
        <v>1776</v>
      </c>
    </row>
    <row r="630" customFormat="false" ht="22.35" hidden="false" customHeight="false" outlineLevel="0" collapsed="false">
      <c r="A630" s="42" t="n">
        <v>15008</v>
      </c>
      <c r="B630" s="42" t="s">
        <v>919</v>
      </c>
      <c r="C630" s="42" t="s">
        <v>1463</v>
      </c>
      <c r="D630" s="42" t="s">
        <v>1736</v>
      </c>
      <c r="E630" s="42" t="s">
        <v>97</v>
      </c>
      <c r="F630" s="11" t="n">
        <v>1.86</v>
      </c>
      <c r="G630" s="33" t="s">
        <v>2043</v>
      </c>
      <c r="H630" s="33" t="s">
        <v>2072</v>
      </c>
    </row>
    <row r="631" customFormat="false" ht="32.8" hidden="false" customHeight="false" outlineLevel="0" collapsed="false">
      <c r="A631" s="41" t="n">
        <v>15011</v>
      </c>
      <c r="B631" s="41" t="s">
        <v>823</v>
      </c>
      <c r="C631" s="41" t="s">
        <v>1175</v>
      </c>
      <c r="D631" s="41" t="s">
        <v>1689</v>
      </c>
      <c r="E631" s="41" t="s">
        <v>97</v>
      </c>
      <c r="F631" s="15" t="n">
        <v>1.85</v>
      </c>
      <c r="G631" s="30" t="s">
        <v>1812</v>
      </c>
      <c r="H631" s="30" t="s">
        <v>2117</v>
      </c>
    </row>
    <row r="632" customFormat="false" ht="22.35" hidden="false" customHeight="false" outlineLevel="0" collapsed="false">
      <c r="A632" s="42" t="n">
        <v>15026</v>
      </c>
      <c r="B632" s="42" t="s">
        <v>852</v>
      </c>
      <c r="C632" s="42" t="s">
        <v>1536</v>
      </c>
      <c r="D632" s="42" t="s">
        <v>1699</v>
      </c>
      <c r="E632" s="42" t="s">
        <v>97</v>
      </c>
      <c r="F632" s="11" t="n">
        <v>1.74</v>
      </c>
      <c r="G632" s="33" t="s">
        <v>1537</v>
      </c>
      <c r="H632" s="33" t="s">
        <v>1965</v>
      </c>
    </row>
    <row r="633" customFormat="false" ht="22.35" hidden="false" customHeight="false" outlineLevel="0" collapsed="false">
      <c r="A633" s="41" t="n">
        <v>15028</v>
      </c>
      <c r="B633" s="41" t="s">
        <v>823</v>
      </c>
      <c r="C633" s="41" t="s">
        <v>1536</v>
      </c>
      <c r="D633" s="41" t="s">
        <v>1689</v>
      </c>
      <c r="E633" s="41" t="s">
        <v>97</v>
      </c>
      <c r="F633" s="15" t="n">
        <v>1.72</v>
      </c>
      <c r="G633" s="30" t="s">
        <v>1537</v>
      </c>
      <c r="H633" s="30" t="s">
        <v>2023</v>
      </c>
    </row>
    <row r="634" customFormat="false" ht="22.35" hidden="false" customHeight="false" outlineLevel="0" collapsed="false">
      <c r="A634" s="42" t="n">
        <v>15029</v>
      </c>
      <c r="B634" s="42" t="s">
        <v>829</v>
      </c>
      <c r="C634" s="42" t="s">
        <v>1585</v>
      </c>
      <c r="D634" s="42" t="s">
        <v>743</v>
      </c>
      <c r="E634" s="42" t="s">
        <v>97</v>
      </c>
      <c r="F634" s="11" t="n">
        <v>1.71</v>
      </c>
      <c r="G634" s="33" t="s">
        <v>1790</v>
      </c>
      <c r="H634" s="33" t="s">
        <v>1791</v>
      </c>
    </row>
    <row r="635" customFormat="false" ht="22.35" hidden="false" customHeight="false" outlineLevel="0" collapsed="false">
      <c r="A635" s="41" t="n">
        <v>15064</v>
      </c>
      <c r="B635" s="41" t="s">
        <v>852</v>
      </c>
      <c r="C635" s="41" t="s">
        <v>1423</v>
      </c>
      <c r="D635" s="41" t="s">
        <v>1699</v>
      </c>
      <c r="E635" s="41" t="s">
        <v>97</v>
      </c>
      <c r="F635" s="15" t="n">
        <v>1.64</v>
      </c>
      <c r="G635" s="30" t="s">
        <v>1957</v>
      </c>
      <c r="H635" s="30" t="s">
        <v>1958</v>
      </c>
    </row>
    <row r="636" customFormat="false" ht="22.35" hidden="false" customHeight="false" outlineLevel="0" collapsed="false">
      <c r="A636" s="42" t="n">
        <v>15074</v>
      </c>
      <c r="B636" s="42" t="s">
        <v>877</v>
      </c>
      <c r="C636" s="42" t="s">
        <v>1536</v>
      </c>
      <c r="D636" s="42" t="s">
        <v>748</v>
      </c>
      <c r="E636" s="42" t="s">
        <v>97</v>
      </c>
      <c r="F636" s="11" t="n">
        <v>1.57</v>
      </c>
      <c r="G636" s="33" t="s">
        <v>1537</v>
      </c>
      <c r="H636" s="33" t="s">
        <v>1999</v>
      </c>
    </row>
    <row r="637" customFormat="false" ht="32.8" hidden="false" customHeight="false" outlineLevel="0" collapsed="false">
      <c r="A637" s="41" t="n">
        <v>15078</v>
      </c>
      <c r="B637" s="41" t="s">
        <v>877</v>
      </c>
      <c r="C637" s="41" t="s">
        <v>966</v>
      </c>
      <c r="D637" s="41" t="s">
        <v>748</v>
      </c>
      <c r="E637" s="41" t="s">
        <v>97</v>
      </c>
      <c r="F637" s="15" t="n">
        <v>1.53</v>
      </c>
      <c r="G637" s="30" t="s">
        <v>1758</v>
      </c>
      <c r="H637" s="30" t="s">
        <v>2142</v>
      </c>
    </row>
    <row r="638" customFormat="false" ht="22.35" hidden="false" customHeight="false" outlineLevel="0" collapsed="false">
      <c r="A638" s="42" t="n">
        <v>15086</v>
      </c>
      <c r="B638" s="42" t="s">
        <v>852</v>
      </c>
      <c r="C638" s="42" t="s">
        <v>1463</v>
      </c>
      <c r="D638" s="42" t="s">
        <v>1699</v>
      </c>
      <c r="E638" s="42" t="s">
        <v>97</v>
      </c>
      <c r="F638" s="11" t="n">
        <v>1.51</v>
      </c>
      <c r="G638" s="33" t="s">
        <v>2043</v>
      </c>
      <c r="H638" s="33" t="s">
        <v>2044</v>
      </c>
    </row>
    <row r="639" customFormat="false" ht="22.35" hidden="false" customHeight="false" outlineLevel="0" collapsed="false">
      <c r="A639" s="41" t="n">
        <v>15097</v>
      </c>
      <c r="B639" s="41" t="s">
        <v>919</v>
      </c>
      <c r="C639" s="41" t="s">
        <v>1423</v>
      </c>
      <c r="D639" s="41" t="s">
        <v>1736</v>
      </c>
      <c r="E639" s="41" t="s">
        <v>97</v>
      </c>
      <c r="F639" s="15" t="n">
        <v>1.43</v>
      </c>
      <c r="G639" s="30" t="s">
        <v>1957</v>
      </c>
      <c r="H639" s="30" t="s">
        <v>1988</v>
      </c>
    </row>
    <row r="640" customFormat="false" ht="22.35" hidden="false" customHeight="false" outlineLevel="0" collapsed="false">
      <c r="A640" s="42" t="n">
        <v>15114</v>
      </c>
      <c r="B640" s="42" t="s">
        <v>829</v>
      </c>
      <c r="C640" s="42" t="s">
        <v>1083</v>
      </c>
      <c r="D640" s="42" t="s">
        <v>743</v>
      </c>
      <c r="E640" s="42" t="s">
        <v>97</v>
      </c>
      <c r="F640" s="11" t="n">
        <v>1.38</v>
      </c>
      <c r="G640" s="33" t="s">
        <v>1896</v>
      </c>
      <c r="H640" s="33" t="s">
        <v>2132</v>
      </c>
    </row>
    <row r="641" customFormat="false" ht="22.35" hidden="false" customHeight="false" outlineLevel="0" collapsed="false">
      <c r="A641" s="41" t="n">
        <v>15120</v>
      </c>
      <c r="B641" s="41" t="s">
        <v>823</v>
      </c>
      <c r="C641" s="41" t="s">
        <v>1463</v>
      </c>
      <c r="D641" s="41" t="s">
        <v>1689</v>
      </c>
      <c r="E641" s="41" t="s">
        <v>97</v>
      </c>
      <c r="F641" s="15" t="n">
        <v>1.37</v>
      </c>
      <c r="G641" s="30" t="s">
        <v>2043</v>
      </c>
      <c r="H641" s="30" t="s">
        <v>2112</v>
      </c>
    </row>
    <row r="642" customFormat="false" ht="22.35" hidden="false" customHeight="false" outlineLevel="0" collapsed="false">
      <c r="A642" s="42" t="n">
        <v>15140</v>
      </c>
      <c r="B642" s="42" t="s">
        <v>823</v>
      </c>
      <c r="C642" s="42" t="s">
        <v>1217</v>
      </c>
      <c r="D642" s="42" t="s">
        <v>1689</v>
      </c>
      <c r="E642" s="42" t="s">
        <v>97</v>
      </c>
      <c r="F642" s="11" t="n">
        <v>1.28</v>
      </c>
      <c r="G642" s="33" t="s">
        <v>1218</v>
      </c>
      <c r="H642" s="33" t="s">
        <v>1796</v>
      </c>
    </row>
    <row r="643" customFormat="false" ht="22.35" hidden="false" customHeight="false" outlineLevel="0" collapsed="false">
      <c r="A643" s="41" t="n">
        <v>15153</v>
      </c>
      <c r="B643" s="41" t="s">
        <v>852</v>
      </c>
      <c r="C643" s="41" t="s">
        <v>1125</v>
      </c>
      <c r="D643" s="41" t="s">
        <v>1699</v>
      </c>
      <c r="E643" s="41" t="s">
        <v>97</v>
      </c>
      <c r="F643" s="15" t="n">
        <v>1.23</v>
      </c>
      <c r="G643" s="30" t="s">
        <v>1137</v>
      </c>
      <c r="H643" s="30" t="s">
        <v>2134</v>
      </c>
    </row>
    <row r="644" customFormat="false" ht="22.35" hidden="false" customHeight="false" outlineLevel="0" collapsed="false">
      <c r="A644" s="42" t="n">
        <v>15195</v>
      </c>
      <c r="B644" s="42" t="s">
        <v>829</v>
      </c>
      <c r="C644" s="42" t="s">
        <v>1160</v>
      </c>
      <c r="D644" s="42" t="s">
        <v>743</v>
      </c>
      <c r="E644" s="42" t="s">
        <v>97</v>
      </c>
      <c r="F644" s="11" t="n">
        <v>1.14</v>
      </c>
      <c r="G644" s="33" t="s">
        <v>1866</v>
      </c>
      <c r="H644" s="33" t="s">
        <v>1867</v>
      </c>
    </row>
    <row r="645" customFormat="false" ht="22.35" hidden="false" customHeight="false" outlineLevel="0" collapsed="false">
      <c r="A645" s="41" t="n">
        <v>15210</v>
      </c>
      <c r="B645" s="41" t="s">
        <v>919</v>
      </c>
      <c r="C645" s="41" t="s">
        <v>1647</v>
      </c>
      <c r="D645" s="41" t="s">
        <v>1736</v>
      </c>
      <c r="E645" s="41" t="s">
        <v>97</v>
      </c>
      <c r="F645" s="15" t="n">
        <v>1.09</v>
      </c>
      <c r="G645" s="30" t="s">
        <v>1648</v>
      </c>
      <c r="H645" s="30" t="s">
        <v>2073</v>
      </c>
    </row>
    <row r="646" customFormat="false" ht="22.35" hidden="false" customHeight="false" outlineLevel="0" collapsed="false">
      <c r="A646" s="42" t="n">
        <v>15211</v>
      </c>
      <c r="B646" s="42" t="s">
        <v>823</v>
      </c>
      <c r="C646" s="42" t="s">
        <v>1276</v>
      </c>
      <c r="D646" s="42" t="s">
        <v>1689</v>
      </c>
      <c r="E646" s="42" t="s">
        <v>97</v>
      </c>
      <c r="F646" s="11" t="n">
        <v>1.09</v>
      </c>
      <c r="G646" s="33" t="s">
        <v>1842</v>
      </c>
      <c r="H646" s="33" t="s">
        <v>2081</v>
      </c>
    </row>
    <row r="647" customFormat="false" ht="22.35" hidden="false" customHeight="false" outlineLevel="0" collapsed="false">
      <c r="A647" s="41" t="n">
        <v>15216</v>
      </c>
      <c r="B647" s="41" t="s">
        <v>852</v>
      </c>
      <c r="C647" s="41" t="s">
        <v>1271</v>
      </c>
      <c r="D647" s="41" t="s">
        <v>1699</v>
      </c>
      <c r="E647" s="41" t="s">
        <v>97</v>
      </c>
      <c r="F647" s="15" t="n">
        <v>1.08</v>
      </c>
      <c r="G647" s="30" t="s">
        <v>1973</v>
      </c>
      <c r="H647" s="30" t="s">
        <v>1974</v>
      </c>
    </row>
    <row r="648" customFormat="false" ht="22.35" hidden="false" customHeight="false" outlineLevel="0" collapsed="false">
      <c r="A648" s="42" t="n">
        <v>15220</v>
      </c>
      <c r="B648" s="42" t="s">
        <v>823</v>
      </c>
      <c r="C648" s="42" t="s">
        <v>993</v>
      </c>
      <c r="D648" s="42" t="s">
        <v>1689</v>
      </c>
      <c r="E648" s="42" t="s">
        <v>97</v>
      </c>
      <c r="F648" s="11" t="n">
        <v>1.07</v>
      </c>
      <c r="G648" s="33" t="s">
        <v>994</v>
      </c>
      <c r="H648" s="33" t="s">
        <v>1859</v>
      </c>
    </row>
    <row r="649" customFormat="false" ht="22.35" hidden="false" customHeight="false" outlineLevel="0" collapsed="false">
      <c r="A649" s="41" t="n">
        <v>15229</v>
      </c>
      <c r="B649" s="41" t="s">
        <v>877</v>
      </c>
      <c r="C649" s="41" t="s">
        <v>998</v>
      </c>
      <c r="D649" s="41" t="s">
        <v>748</v>
      </c>
      <c r="E649" s="41" t="s">
        <v>97</v>
      </c>
      <c r="F649" s="15" t="n">
        <v>1.05</v>
      </c>
      <c r="G649" s="30" t="s">
        <v>1752</v>
      </c>
      <c r="H649" s="30" t="s">
        <v>2146</v>
      </c>
    </row>
    <row r="650" customFormat="false" ht="22.35" hidden="false" customHeight="false" outlineLevel="0" collapsed="false">
      <c r="A650" s="42" t="n">
        <v>15239</v>
      </c>
      <c r="B650" s="42" t="s">
        <v>823</v>
      </c>
      <c r="C650" s="42" t="s">
        <v>1463</v>
      </c>
      <c r="D650" s="42" t="s">
        <v>1689</v>
      </c>
      <c r="E650" s="42" t="s">
        <v>97</v>
      </c>
      <c r="F650" s="11" t="n">
        <v>1.05</v>
      </c>
      <c r="G650" s="33" t="s">
        <v>2043</v>
      </c>
      <c r="H650" s="33" t="s">
        <v>2119</v>
      </c>
    </row>
    <row r="651" customFormat="false" ht="43.25" hidden="false" customHeight="false" outlineLevel="0" collapsed="false">
      <c r="A651" s="41" t="n">
        <v>15240</v>
      </c>
      <c r="B651" s="41" t="s">
        <v>823</v>
      </c>
      <c r="C651" s="41" t="s">
        <v>1369</v>
      </c>
      <c r="D651" s="41" t="s">
        <v>1689</v>
      </c>
      <c r="E651" s="41" t="s">
        <v>97</v>
      </c>
      <c r="F651" s="15" t="n">
        <v>1.05</v>
      </c>
      <c r="G651" s="30" t="s">
        <v>1916</v>
      </c>
      <c r="H651" s="30" t="s">
        <v>1951</v>
      </c>
    </row>
    <row r="652" customFormat="false" ht="22.35" hidden="false" customHeight="false" outlineLevel="0" collapsed="false">
      <c r="A652" s="42" t="n">
        <v>15246</v>
      </c>
      <c r="B652" s="42" t="s">
        <v>829</v>
      </c>
      <c r="C652" s="42" t="s">
        <v>1585</v>
      </c>
      <c r="D652" s="42" t="s">
        <v>743</v>
      </c>
      <c r="E652" s="42" t="s">
        <v>97</v>
      </c>
      <c r="F652" s="11" t="n">
        <v>1.03</v>
      </c>
      <c r="G652" s="33" t="s">
        <v>1790</v>
      </c>
      <c r="H652" s="33" t="s">
        <v>1928</v>
      </c>
    </row>
    <row r="653" customFormat="false" ht="22.35" hidden="false" customHeight="false" outlineLevel="0" collapsed="false">
      <c r="A653" s="41" t="n">
        <v>15249</v>
      </c>
      <c r="B653" s="41" t="s">
        <v>852</v>
      </c>
      <c r="C653" s="41" t="s">
        <v>1640</v>
      </c>
      <c r="D653" s="41" t="s">
        <v>1699</v>
      </c>
      <c r="E653" s="41" t="s">
        <v>97</v>
      </c>
      <c r="F653" s="15" t="n">
        <v>1.02</v>
      </c>
      <c r="G653" s="30" t="s">
        <v>2038</v>
      </c>
      <c r="H653" s="30" t="s">
        <v>2039</v>
      </c>
    </row>
    <row r="654" customFormat="false" ht="22.35" hidden="false" customHeight="false" outlineLevel="0" collapsed="false">
      <c r="A654" s="42" t="n">
        <v>15251</v>
      </c>
      <c r="B654" s="42" t="s">
        <v>829</v>
      </c>
      <c r="C654" s="42" t="s">
        <v>1423</v>
      </c>
      <c r="D654" s="42" t="s">
        <v>743</v>
      </c>
      <c r="E654" s="42" t="s">
        <v>97</v>
      </c>
      <c r="F654" s="11" t="n">
        <v>1.02</v>
      </c>
      <c r="G654" s="33" t="s">
        <v>1957</v>
      </c>
      <c r="H654" s="33" t="s">
        <v>2033</v>
      </c>
    </row>
    <row r="655" customFormat="false" ht="22.35" hidden="false" customHeight="false" outlineLevel="0" collapsed="false">
      <c r="A655" s="41" t="n">
        <v>15253</v>
      </c>
      <c r="B655" s="41" t="s">
        <v>823</v>
      </c>
      <c r="C655" s="41" t="s">
        <v>1259</v>
      </c>
      <c r="D655" s="41" t="s">
        <v>1689</v>
      </c>
      <c r="E655" s="41" t="s">
        <v>97</v>
      </c>
      <c r="F655" s="15" t="n">
        <v>1.02</v>
      </c>
      <c r="G655" s="30" t="s">
        <v>1810</v>
      </c>
      <c r="H655" s="30" t="s">
        <v>2121</v>
      </c>
    </row>
    <row r="656" customFormat="false" ht="22.35" hidden="false" customHeight="false" outlineLevel="0" collapsed="false">
      <c r="A656" s="42" t="n">
        <v>15255</v>
      </c>
      <c r="B656" s="42" t="s">
        <v>829</v>
      </c>
      <c r="C656" s="42" t="s">
        <v>1585</v>
      </c>
      <c r="D656" s="42" t="s">
        <v>743</v>
      </c>
      <c r="E656" s="42" t="s">
        <v>97</v>
      </c>
      <c r="F656" s="11" t="n">
        <v>1.01</v>
      </c>
      <c r="G656" s="33" t="s">
        <v>1790</v>
      </c>
      <c r="H656" s="33" t="s">
        <v>1880</v>
      </c>
    </row>
    <row r="657" customFormat="false" ht="22.35" hidden="false" customHeight="false" outlineLevel="0" collapsed="false">
      <c r="A657" s="41" t="n">
        <v>15256</v>
      </c>
      <c r="B657" s="41" t="s">
        <v>829</v>
      </c>
      <c r="C657" s="41" t="s">
        <v>1585</v>
      </c>
      <c r="D657" s="41" t="s">
        <v>743</v>
      </c>
      <c r="E657" s="41" t="s">
        <v>97</v>
      </c>
      <c r="F657" s="15" t="n">
        <v>1.01</v>
      </c>
      <c r="G657" s="30" t="s">
        <v>1790</v>
      </c>
      <c r="H657" s="30" t="s">
        <v>1868</v>
      </c>
    </row>
    <row r="658" customFormat="false" ht="22.35" hidden="false" customHeight="false" outlineLevel="0" collapsed="false">
      <c r="A658" s="42" t="n">
        <v>15257</v>
      </c>
      <c r="B658" s="42" t="s">
        <v>829</v>
      </c>
      <c r="C658" s="42" t="s">
        <v>1585</v>
      </c>
      <c r="D658" s="42" t="s">
        <v>743</v>
      </c>
      <c r="E658" s="42" t="s">
        <v>97</v>
      </c>
      <c r="F658" s="11" t="n">
        <v>1.01</v>
      </c>
      <c r="G658" s="33" t="s">
        <v>1790</v>
      </c>
      <c r="H658" s="33" t="s">
        <v>1881</v>
      </c>
    </row>
    <row r="659" customFormat="false" ht="32.8" hidden="false" customHeight="false" outlineLevel="0" collapsed="false">
      <c r="A659" s="41" t="n">
        <v>15259</v>
      </c>
      <c r="B659" s="41" t="s">
        <v>823</v>
      </c>
      <c r="C659" s="41" t="s">
        <v>1303</v>
      </c>
      <c r="D659" s="41" t="s">
        <v>1689</v>
      </c>
      <c r="E659" s="41" t="s">
        <v>97</v>
      </c>
      <c r="F659" s="15" t="n">
        <v>1</v>
      </c>
      <c r="G659" s="30" t="s">
        <v>1838</v>
      </c>
      <c r="H659" s="30" t="s">
        <v>1839</v>
      </c>
    </row>
    <row r="660" customFormat="false" ht="22.35" hidden="false" customHeight="false" outlineLevel="0" collapsed="false">
      <c r="A660" s="42" t="n">
        <v>15264</v>
      </c>
      <c r="B660" s="42" t="s">
        <v>852</v>
      </c>
      <c r="C660" s="42" t="s">
        <v>1212</v>
      </c>
      <c r="D660" s="42" t="s">
        <v>1699</v>
      </c>
      <c r="E660" s="42" t="s">
        <v>97</v>
      </c>
      <c r="F660" s="11" t="n">
        <v>0.99</v>
      </c>
      <c r="G660" s="33" t="s">
        <v>1794</v>
      </c>
      <c r="H660" s="33" t="s">
        <v>1800</v>
      </c>
    </row>
    <row r="661" customFormat="false" ht="22.35" hidden="false" customHeight="false" outlineLevel="0" collapsed="false">
      <c r="A661" s="41" t="n">
        <v>15265</v>
      </c>
      <c r="B661" s="41" t="s">
        <v>877</v>
      </c>
      <c r="C661" s="41" t="s">
        <v>1125</v>
      </c>
      <c r="D661" s="41" t="s">
        <v>748</v>
      </c>
      <c r="E661" s="41" t="s">
        <v>97</v>
      </c>
      <c r="F661" s="15" t="n">
        <v>0.98</v>
      </c>
      <c r="G661" s="30" t="s">
        <v>1137</v>
      </c>
      <c r="H661" s="30" t="s">
        <v>2115</v>
      </c>
    </row>
    <row r="662" customFormat="false" ht="22.35" hidden="false" customHeight="false" outlineLevel="0" collapsed="false">
      <c r="A662" s="42" t="n">
        <v>15273</v>
      </c>
      <c r="B662" s="42" t="s">
        <v>829</v>
      </c>
      <c r="C662" s="42" t="s">
        <v>1222</v>
      </c>
      <c r="D662" s="42" t="s">
        <v>743</v>
      </c>
      <c r="E662" s="42" t="s">
        <v>97</v>
      </c>
      <c r="F662" s="11" t="n">
        <v>0.94</v>
      </c>
      <c r="G662" s="33" t="s">
        <v>1876</v>
      </c>
      <c r="H662" s="33" t="s">
        <v>1877</v>
      </c>
    </row>
    <row r="663" customFormat="false" ht="22.35" hidden="false" customHeight="false" outlineLevel="0" collapsed="false">
      <c r="A663" s="41" t="n">
        <v>15286</v>
      </c>
      <c r="B663" s="41" t="s">
        <v>877</v>
      </c>
      <c r="C663" s="41" t="s">
        <v>1506</v>
      </c>
      <c r="D663" s="41" t="s">
        <v>748</v>
      </c>
      <c r="E663" s="41" t="s">
        <v>97</v>
      </c>
      <c r="F663" s="15" t="n">
        <v>0.91</v>
      </c>
      <c r="G663" s="30" t="s">
        <v>2053</v>
      </c>
      <c r="H663" s="30" t="s">
        <v>2054</v>
      </c>
    </row>
    <row r="664" customFormat="false" ht="22.35" hidden="false" customHeight="false" outlineLevel="0" collapsed="false">
      <c r="A664" s="42" t="n">
        <v>15288</v>
      </c>
      <c r="B664" s="42" t="s">
        <v>829</v>
      </c>
      <c r="C664" s="42" t="s">
        <v>1160</v>
      </c>
      <c r="D664" s="42" t="s">
        <v>743</v>
      </c>
      <c r="E664" s="42" t="s">
        <v>97</v>
      </c>
      <c r="F664" s="11" t="n">
        <v>0.91</v>
      </c>
      <c r="G664" s="33" t="s">
        <v>1866</v>
      </c>
      <c r="H664" s="33" t="s">
        <v>1923</v>
      </c>
    </row>
    <row r="665" customFormat="false" ht="22.35" hidden="false" customHeight="false" outlineLevel="0" collapsed="false">
      <c r="A665" s="41" t="n">
        <v>15289</v>
      </c>
      <c r="B665" s="41" t="s">
        <v>829</v>
      </c>
      <c r="C665" s="41" t="s">
        <v>1585</v>
      </c>
      <c r="D665" s="41" t="s">
        <v>743</v>
      </c>
      <c r="E665" s="41" t="s">
        <v>97</v>
      </c>
      <c r="F665" s="15" t="n">
        <v>0.91</v>
      </c>
      <c r="G665" s="30" t="s">
        <v>1790</v>
      </c>
      <c r="H665" s="30" t="s">
        <v>1945</v>
      </c>
    </row>
    <row r="666" customFormat="false" ht="22.35" hidden="false" customHeight="false" outlineLevel="0" collapsed="false">
      <c r="A666" s="42" t="n">
        <v>15298</v>
      </c>
      <c r="B666" s="42" t="s">
        <v>829</v>
      </c>
      <c r="C666" s="42" t="s">
        <v>1585</v>
      </c>
      <c r="D666" s="42" t="s">
        <v>743</v>
      </c>
      <c r="E666" s="42" t="s">
        <v>97</v>
      </c>
      <c r="F666" s="11" t="n">
        <v>0.89</v>
      </c>
      <c r="G666" s="33" t="s">
        <v>1790</v>
      </c>
      <c r="H666" s="33" t="s">
        <v>1943</v>
      </c>
    </row>
    <row r="667" customFormat="false" ht="32.8" hidden="false" customHeight="false" outlineLevel="0" collapsed="false">
      <c r="A667" s="41" t="n">
        <v>15300</v>
      </c>
      <c r="B667" s="41" t="s">
        <v>823</v>
      </c>
      <c r="C667" s="41" t="s">
        <v>983</v>
      </c>
      <c r="D667" s="41" t="s">
        <v>1689</v>
      </c>
      <c r="E667" s="41" t="s">
        <v>97</v>
      </c>
      <c r="F667" s="15" t="n">
        <v>0.89</v>
      </c>
      <c r="G667" s="30" t="s">
        <v>1748</v>
      </c>
      <c r="H667" s="30" t="s">
        <v>2145</v>
      </c>
    </row>
    <row r="668" customFormat="false" ht="22.35" hidden="false" customHeight="false" outlineLevel="0" collapsed="false">
      <c r="A668" s="42" t="n">
        <v>15313</v>
      </c>
      <c r="B668" s="42" t="s">
        <v>823</v>
      </c>
      <c r="C668" s="42" t="s">
        <v>1550</v>
      </c>
      <c r="D668" s="42" t="s">
        <v>1689</v>
      </c>
      <c r="E668" s="42" t="s">
        <v>97</v>
      </c>
      <c r="F668" s="11" t="n">
        <v>0.86</v>
      </c>
      <c r="G668" s="33" t="s">
        <v>1963</v>
      </c>
      <c r="H668" s="33" t="s">
        <v>2022</v>
      </c>
    </row>
    <row r="669" customFormat="false" ht="22.35" hidden="false" customHeight="false" outlineLevel="0" collapsed="false">
      <c r="A669" s="41" t="n">
        <v>15320</v>
      </c>
      <c r="B669" s="41" t="s">
        <v>829</v>
      </c>
      <c r="C669" s="41" t="s">
        <v>1585</v>
      </c>
      <c r="D669" s="41" t="s">
        <v>743</v>
      </c>
      <c r="E669" s="41" t="s">
        <v>97</v>
      </c>
      <c r="F669" s="15" t="n">
        <v>0.85</v>
      </c>
      <c r="G669" s="30" t="s">
        <v>1790</v>
      </c>
      <c r="H669" s="30" t="s">
        <v>1921</v>
      </c>
    </row>
    <row r="670" customFormat="false" ht="22.35" hidden="false" customHeight="false" outlineLevel="0" collapsed="false">
      <c r="A670" s="42" t="n">
        <v>15325</v>
      </c>
      <c r="B670" s="42" t="s">
        <v>829</v>
      </c>
      <c r="C670" s="42" t="s">
        <v>1585</v>
      </c>
      <c r="D670" s="42" t="s">
        <v>743</v>
      </c>
      <c r="E670" s="42" t="s">
        <v>97</v>
      </c>
      <c r="F670" s="11" t="n">
        <v>0.84</v>
      </c>
      <c r="G670" s="33" t="s">
        <v>1790</v>
      </c>
      <c r="H670" s="33" t="s">
        <v>1927</v>
      </c>
    </row>
    <row r="671" customFormat="false" ht="32.8" hidden="false" customHeight="false" outlineLevel="0" collapsed="false">
      <c r="A671" s="41" t="n">
        <v>15327</v>
      </c>
      <c r="B671" s="41" t="s">
        <v>823</v>
      </c>
      <c r="C671" s="41" t="s">
        <v>1374</v>
      </c>
      <c r="D671" s="41" t="s">
        <v>1689</v>
      </c>
      <c r="E671" s="41" t="s">
        <v>97</v>
      </c>
      <c r="F671" s="15" t="n">
        <v>0.84</v>
      </c>
      <c r="G671" s="30" t="s">
        <v>1863</v>
      </c>
      <c r="H671" s="30" t="s">
        <v>2129</v>
      </c>
    </row>
    <row r="672" customFormat="false" ht="22.35" hidden="false" customHeight="false" outlineLevel="0" collapsed="false">
      <c r="A672" s="42" t="n">
        <v>15328</v>
      </c>
      <c r="B672" s="42" t="s">
        <v>823</v>
      </c>
      <c r="C672" s="42" t="s">
        <v>1423</v>
      </c>
      <c r="D672" s="42" t="s">
        <v>1689</v>
      </c>
      <c r="E672" s="42" t="s">
        <v>97</v>
      </c>
      <c r="F672" s="11" t="n">
        <v>0.84</v>
      </c>
      <c r="G672" s="33" t="s">
        <v>1957</v>
      </c>
      <c r="H672" s="33" t="s">
        <v>2076</v>
      </c>
    </row>
    <row r="673" customFormat="false" ht="22.35" hidden="false" customHeight="false" outlineLevel="0" collapsed="false">
      <c r="A673" s="41" t="n">
        <v>15357</v>
      </c>
      <c r="B673" s="41" t="s">
        <v>877</v>
      </c>
      <c r="C673" s="41" t="s">
        <v>1352</v>
      </c>
      <c r="D673" s="41" t="s">
        <v>748</v>
      </c>
      <c r="E673" s="41" t="s">
        <v>97</v>
      </c>
      <c r="F673" s="15" t="n">
        <v>0.82</v>
      </c>
      <c r="G673" s="30" t="s">
        <v>1353</v>
      </c>
      <c r="H673" s="30" t="s">
        <v>2147</v>
      </c>
    </row>
    <row r="674" customFormat="false" ht="32.8" hidden="false" customHeight="false" outlineLevel="0" collapsed="false">
      <c r="A674" s="42" t="n">
        <v>15358</v>
      </c>
      <c r="B674" s="42" t="s">
        <v>877</v>
      </c>
      <c r="C674" s="42" t="s">
        <v>1266</v>
      </c>
      <c r="D674" s="42" t="s">
        <v>748</v>
      </c>
      <c r="E674" s="42" t="s">
        <v>97</v>
      </c>
      <c r="F674" s="11" t="n">
        <v>0.82</v>
      </c>
      <c r="G674" s="33" t="s">
        <v>1804</v>
      </c>
      <c r="H674" s="33" t="s">
        <v>2148</v>
      </c>
    </row>
    <row r="675" customFormat="false" ht="22.35" hidden="false" customHeight="false" outlineLevel="0" collapsed="false">
      <c r="A675" s="41" t="n">
        <v>15372</v>
      </c>
      <c r="B675" s="41" t="s">
        <v>823</v>
      </c>
      <c r="C675" s="41" t="s">
        <v>1088</v>
      </c>
      <c r="D675" s="41" t="s">
        <v>1689</v>
      </c>
      <c r="E675" s="41" t="s">
        <v>97</v>
      </c>
      <c r="F675" s="15" t="n">
        <v>0.78</v>
      </c>
      <c r="G675" s="30" t="s">
        <v>1089</v>
      </c>
      <c r="H675" s="30" t="s">
        <v>2095</v>
      </c>
    </row>
    <row r="676" customFormat="false" ht="22.35" hidden="false" customHeight="false" outlineLevel="0" collapsed="false">
      <c r="A676" s="42" t="n">
        <v>15376</v>
      </c>
      <c r="B676" s="42" t="s">
        <v>877</v>
      </c>
      <c r="C676" s="42" t="s">
        <v>1640</v>
      </c>
      <c r="D676" s="42" t="s">
        <v>748</v>
      </c>
      <c r="E676" s="42" t="s">
        <v>97</v>
      </c>
      <c r="F676" s="11" t="n">
        <v>0.77</v>
      </c>
      <c r="G676" s="33" t="s">
        <v>2038</v>
      </c>
      <c r="H676" s="33" t="s">
        <v>2065</v>
      </c>
    </row>
    <row r="677" customFormat="false" ht="22.35" hidden="false" customHeight="false" outlineLevel="0" collapsed="false">
      <c r="A677" s="41" t="n">
        <v>15466</v>
      </c>
      <c r="B677" s="41" t="s">
        <v>823</v>
      </c>
      <c r="C677" s="41" t="s">
        <v>1545</v>
      </c>
      <c r="D677" s="41" t="s">
        <v>1689</v>
      </c>
      <c r="E677" s="41" t="s">
        <v>97</v>
      </c>
      <c r="F677" s="15" t="n">
        <v>0.71</v>
      </c>
      <c r="G677" s="30" t="s">
        <v>1971</v>
      </c>
      <c r="H677" s="30" t="s">
        <v>2027</v>
      </c>
    </row>
    <row r="678" customFormat="false" ht="22.35" hidden="false" customHeight="false" outlineLevel="0" collapsed="false">
      <c r="A678" s="42" t="n">
        <v>15469</v>
      </c>
      <c r="B678" s="42" t="s">
        <v>829</v>
      </c>
      <c r="C678" s="42" t="s">
        <v>1222</v>
      </c>
      <c r="D678" s="42" t="s">
        <v>743</v>
      </c>
      <c r="E678" s="42" t="s">
        <v>97</v>
      </c>
      <c r="F678" s="11" t="n">
        <v>0.7</v>
      </c>
      <c r="G678" s="33" t="s">
        <v>1876</v>
      </c>
      <c r="H678" s="33" t="s">
        <v>1940</v>
      </c>
    </row>
    <row r="679" customFormat="false" ht="22.35" hidden="false" customHeight="false" outlineLevel="0" collapsed="false">
      <c r="A679" s="41" t="n">
        <v>15471</v>
      </c>
      <c r="B679" s="41" t="s">
        <v>877</v>
      </c>
      <c r="C679" s="41" t="s">
        <v>1232</v>
      </c>
      <c r="D679" s="41" t="s">
        <v>748</v>
      </c>
      <c r="E679" s="41" t="s">
        <v>97</v>
      </c>
      <c r="F679" s="15" t="n">
        <v>0.69</v>
      </c>
      <c r="G679" s="30" t="s">
        <v>1770</v>
      </c>
      <c r="H679" s="30" t="s">
        <v>2098</v>
      </c>
    </row>
    <row r="680" customFormat="false" ht="32.8" hidden="false" customHeight="false" outlineLevel="0" collapsed="false">
      <c r="A680" s="42" t="n">
        <v>15472</v>
      </c>
      <c r="B680" s="42" t="s">
        <v>829</v>
      </c>
      <c r="C680" s="42" t="s">
        <v>1155</v>
      </c>
      <c r="D680" s="42" t="s">
        <v>743</v>
      </c>
      <c r="E680" s="42" t="s">
        <v>97</v>
      </c>
      <c r="F680" s="11" t="n">
        <v>0.69</v>
      </c>
      <c r="G680" s="33" t="s">
        <v>1860</v>
      </c>
      <c r="H680" s="33" t="s">
        <v>1861</v>
      </c>
    </row>
    <row r="681" customFormat="false" ht="22.35" hidden="false" customHeight="false" outlineLevel="0" collapsed="false">
      <c r="A681" s="41" t="n">
        <v>15474</v>
      </c>
      <c r="B681" s="41" t="s">
        <v>823</v>
      </c>
      <c r="C681" s="41" t="s">
        <v>1293</v>
      </c>
      <c r="D681" s="41" t="s">
        <v>1689</v>
      </c>
      <c r="E681" s="41" t="s">
        <v>97</v>
      </c>
      <c r="F681" s="15" t="n">
        <v>0.69</v>
      </c>
      <c r="G681" s="30" t="s">
        <v>1294</v>
      </c>
      <c r="H681" s="30" t="s">
        <v>2118</v>
      </c>
    </row>
    <row r="682" customFormat="false" ht="22.35" hidden="false" customHeight="false" outlineLevel="0" collapsed="false">
      <c r="A682" s="42" t="n">
        <v>15503</v>
      </c>
      <c r="B682" s="42" t="s">
        <v>852</v>
      </c>
      <c r="C682" s="42" t="s">
        <v>1545</v>
      </c>
      <c r="D682" s="42" t="s">
        <v>1699</v>
      </c>
      <c r="E682" s="42" t="s">
        <v>97</v>
      </c>
      <c r="F682" s="11" t="n">
        <v>0.62</v>
      </c>
      <c r="G682" s="33" t="s">
        <v>1971</v>
      </c>
      <c r="H682" s="33" t="s">
        <v>1972</v>
      </c>
    </row>
    <row r="683" customFormat="false" ht="32.8" hidden="false" customHeight="false" outlineLevel="0" collapsed="false">
      <c r="A683" s="41" t="n">
        <v>15507</v>
      </c>
      <c r="B683" s="41" t="s">
        <v>919</v>
      </c>
      <c r="C683" s="41" t="s">
        <v>1252</v>
      </c>
      <c r="D683" s="41" t="s">
        <v>1736</v>
      </c>
      <c r="E683" s="41" t="s">
        <v>97</v>
      </c>
      <c r="F683" s="15" t="n">
        <v>0.61</v>
      </c>
      <c r="G683" s="30" t="s">
        <v>1760</v>
      </c>
      <c r="H683" s="30" t="s">
        <v>1761</v>
      </c>
    </row>
    <row r="684" customFormat="false" ht="22.35" hidden="false" customHeight="false" outlineLevel="0" collapsed="false">
      <c r="A684" s="42" t="n">
        <v>15516</v>
      </c>
      <c r="B684" s="42" t="s">
        <v>877</v>
      </c>
      <c r="C684" s="42" t="s">
        <v>1545</v>
      </c>
      <c r="D684" s="42" t="s">
        <v>748</v>
      </c>
      <c r="E684" s="42" t="s">
        <v>97</v>
      </c>
      <c r="F684" s="11" t="n">
        <v>0.59</v>
      </c>
      <c r="G684" s="33" t="s">
        <v>1971</v>
      </c>
      <c r="H684" s="33" t="s">
        <v>2003</v>
      </c>
    </row>
    <row r="685" customFormat="false" ht="22.35" hidden="false" customHeight="false" outlineLevel="0" collapsed="false">
      <c r="A685" s="41" t="n">
        <v>15527</v>
      </c>
      <c r="B685" s="41" t="s">
        <v>877</v>
      </c>
      <c r="C685" s="41" t="s">
        <v>1271</v>
      </c>
      <c r="D685" s="41" t="s">
        <v>748</v>
      </c>
      <c r="E685" s="41" t="s">
        <v>97</v>
      </c>
      <c r="F685" s="15" t="n">
        <v>0.57</v>
      </c>
      <c r="G685" s="30" t="s">
        <v>1973</v>
      </c>
      <c r="H685" s="30" t="s">
        <v>2004</v>
      </c>
    </row>
    <row r="686" customFormat="false" ht="32.8" hidden="false" customHeight="false" outlineLevel="0" collapsed="false">
      <c r="A686" s="42" t="n">
        <v>15534</v>
      </c>
      <c r="B686" s="42" t="s">
        <v>823</v>
      </c>
      <c r="C686" s="42" t="s">
        <v>1330</v>
      </c>
      <c r="D686" s="42" t="s">
        <v>1689</v>
      </c>
      <c r="E686" s="42" t="s">
        <v>97</v>
      </c>
      <c r="F686" s="11" t="n">
        <v>0.55</v>
      </c>
      <c r="G686" s="33" t="s">
        <v>1833</v>
      </c>
      <c r="H686" s="33" t="s">
        <v>2100</v>
      </c>
    </row>
    <row r="687" customFormat="false" ht="32.8" hidden="false" customHeight="false" outlineLevel="0" collapsed="false">
      <c r="A687" s="41" t="n">
        <v>15535</v>
      </c>
      <c r="B687" s="41" t="s">
        <v>829</v>
      </c>
      <c r="C687" s="41" t="s">
        <v>1155</v>
      </c>
      <c r="D687" s="41" t="s">
        <v>743</v>
      </c>
      <c r="E687" s="41" t="s">
        <v>97</v>
      </c>
      <c r="F687" s="15" t="n">
        <v>0.54</v>
      </c>
      <c r="G687" s="30" t="s">
        <v>1860</v>
      </c>
      <c r="H687" s="30" t="s">
        <v>1926</v>
      </c>
    </row>
    <row r="688" customFormat="false" ht="22.35" hidden="false" customHeight="false" outlineLevel="0" collapsed="false">
      <c r="A688" s="42" t="n">
        <v>15544</v>
      </c>
      <c r="B688" s="42" t="s">
        <v>852</v>
      </c>
      <c r="C688" s="42" t="s">
        <v>1418</v>
      </c>
      <c r="D688" s="42" t="s">
        <v>1699</v>
      </c>
      <c r="E688" s="42" t="s">
        <v>97</v>
      </c>
      <c r="F688" s="11" t="n">
        <v>0.52</v>
      </c>
      <c r="G688" s="33" t="s">
        <v>1419</v>
      </c>
      <c r="H688" s="33" t="s">
        <v>2088</v>
      </c>
    </row>
    <row r="689" customFormat="false" ht="22.35" hidden="false" customHeight="false" outlineLevel="0" collapsed="false">
      <c r="A689" s="41" t="n">
        <v>15551</v>
      </c>
      <c r="B689" s="41" t="s">
        <v>877</v>
      </c>
      <c r="C689" s="41" t="s">
        <v>1550</v>
      </c>
      <c r="D689" s="41" t="s">
        <v>748</v>
      </c>
      <c r="E689" s="41" t="s">
        <v>97</v>
      </c>
      <c r="F689" s="15" t="n">
        <v>0.51</v>
      </c>
      <c r="G689" s="30" t="s">
        <v>1963</v>
      </c>
      <c r="H689" s="30" t="s">
        <v>1998</v>
      </c>
    </row>
    <row r="690" customFormat="false" ht="22.35" hidden="false" customHeight="false" outlineLevel="0" collapsed="false">
      <c r="A690" s="42" t="n">
        <v>15561</v>
      </c>
      <c r="B690" s="42" t="s">
        <v>852</v>
      </c>
      <c r="C690" s="42" t="s">
        <v>1271</v>
      </c>
      <c r="D690" s="42" t="s">
        <v>1699</v>
      </c>
      <c r="E690" s="42" t="s">
        <v>97</v>
      </c>
      <c r="F690" s="11" t="n">
        <v>0.49</v>
      </c>
      <c r="G690" s="33" t="s">
        <v>1973</v>
      </c>
      <c r="H690" s="33" t="s">
        <v>1974</v>
      </c>
    </row>
    <row r="691" customFormat="false" ht="22.35" hidden="false" customHeight="false" outlineLevel="0" collapsed="false">
      <c r="A691" s="41" t="n">
        <v>15563</v>
      </c>
      <c r="B691" s="41" t="s">
        <v>823</v>
      </c>
      <c r="C691" s="41" t="s">
        <v>1212</v>
      </c>
      <c r="D691" s="41" t="s">
        <v>1689</v>
      </c>
      <c r="E691" s="41" t="s">
        <v>97</v>
      </c>
      <c r="F691" s="15" t="n">
        <v>0.48</v>
      </c>
      <c r="G691" s="30" t="s">
        <v>1794</v>
      </c>
      <c r="H691" s="30" t="s">
        <v>1835</v>
      </c>
    </row>
    <row r="692" customFormat="false" ht="22.35" hidden="false" customHeight="false" outlineLevel="0" collapsed="false">
      <c r="A692" s="42" t="n">
        <v>15564</v>
      </c>
      <c r="B692" s="42" t="s">
        <v>823</v>
      </c>
      <c r="C692" s="42" t="s">
        <v>993</v>
      </c>
      <c r="D692" s="42" t="s">
        <v>1689</v>
      </c>
      <c r="E692" s="42" t="s">
        <v>97</v>
      </c>
      <c r="F692" s="11" t="n">
        <v>0.48</v>
      </c>
      <c r="G692" s="33" t="s">
        <v>994</v>
      </c>
      <c r="H692" s="33" t="s">
        <v>2059</v>
      </c>
    </row>
    <row r="693" customFormat="false" ht="22.35" hidden="false" customHeight="false" outlineLevel="0" collapsed="false">
      <c r="A693" s="41" t="n">
        <v>15571</v>
      </c>
      <c r="B693" s="41" t="s">
        <v>823</v>
      </c>
      <c r="C693" s="41" t="s">
        <v>1647</v>
      </c>
      <c r="D693" s="41" t="s">
        <v>1689</v>
      </c>
      <c r="E693" s="41" t="s">
        <v>97</v>
      </c>
      <c r="F693" s="15" t="n">
        <v>0.47</v>
      </c>
      <c r="G693" s="30" t="s">
        <v>1648</v>
      </c>
      <c r="H693" s="30" t="s">
        <v>2086</v>
      </c>
    </row>
    <row r="694" customFormat="false" ht="22.35" hidden="false" customHeight="false" outlineLevel="0" collapsed="false">
      <c r="A694" s="42" t="n">
        <v>15581</v>
      </c>
      <c r="B694" s="42" t="s">
        <v>877</v>
      </c>
      <c r="C694" s="42" t="s">
        <v>998</v>
      </c>
      <c r="D694" s="42" t="s">
        <v>748</v>
      </c>
      <c r="E694" s="42" t="s">
        <v>97</v>
      </c>
      <c r="F694" s="11" t="n">
        <v>0.45</v>
      </c>
      <c r="G694" s="33" t="s">
        <v>1752</v>
      </c>
      <c r="H694" s="33" t="s">
        <v>2146</v>
      </c>
    </row>
    <row r="695" customFormat="false" ht="32.8" hidden="false" customHeight="false" outlineLevel="0" collapsed="false">
      <c r="A695" s="41" t="n">
        <v>15583</v>
      </c>
      <c r="B695" s="41" t="s">
        <v>823</v>
      </c>
      <c r="C695" s="41" t="s">
        <v>1286</v>
      </c>
      <c r="D695" s="41" t="s">
        <v>1689</v>
      </c>
      <c r="E695" s="41" t="s">
        <v>97</v>
      </c>
      <c r="F695" s="15" t="n">
        <v>0.45</v>
      </c>
      <c r="G695" s="30" t="s">
        <v>1806</v>
      </c>
      <c r="H695" s="30" t="s">
        <v>2120</v>
      </c>
    </row>
    <row r="696" customFormat="false" ht="22.35" hidden="false" customHeight="false" outlineLevel="0" collapsed="false">
      <c r="A696" s="42" t="n">
        <v>15592</v>
      </c>
      <c r="B696" s="42" t="s">
        <v>823</v>
      </c>
      <c r="C696" s="42" t="s">
        <v>1125</v>
      </c>
      <c r="D696" s="42" t="s">
        <v>1689</v>
      </c>
      <c r="E696" s="42" t="s">
        <v>97</v>
      </c>
      <c r="F696" s="11" t="n">
        <v>0.43</v>
      </c>
      <c r="G696" s="33" t="s">
        <v>1137</v>
      </c>
      <c r="H696" s="33" t="s">
        <v>1774</v>
      </c>
    </row>
    <row r="697" customFormat="false" ht="22.35" hidden="false" customHeight="false" outlineLevel="0" collapsed="false">
      <c r="A697" s="41" t="n">
        <v>15593</v>
      </c>
      <c r="B697" s="41" t="s">
        <v>823</v>
      </c>
      <c r="C697" s="41" t="s">
        <v>1190</v>
      </c>
      <c r="D697" s="41" t="s">
        <v>1689</v>
      </c>
      <c r="E697" s="41" t="s">
        <v>97</v>
      </c>
      <c r="F697" s="15" t="n">
        <v>0.43</v>
      </c>
      <c r="G697" s="30" t="s">
        <v>1191</v>
      </c>
      <c r="H697" s="30" t="s">
        <v>1778</v>
      </c>
    </row>
    <row r="698" customFormat="false" ht="22.35" hidden="false" customHeight="false" outlineLevel="0" collapsed="false">
      <c r="A698" s="42" t="n">
        <v>15594</v>
      </c>
      <c r="B698" s="42" t="s">
        <v>823</v>
      </c>
      <c r="C698" s="42" t="s">
        <v>1212</v>
      </c>
      <c r="D698" s="42" t="s">
        <v>1689</v>
      </c>
      <c r="E698" s="42" t="s">
        <v>97</v>
      </c>
      <c r="F698" s="11" t="n">
        <v>0.43</v>
      </c>
      <c r="G698" s="33" t="s">
        <v>1794</v>
      </c>
      <c r="H698" s="33" t="s">
        <v>1795</v>
      </c>
    </row>
    <row r="699" customFormat="false" ht="22.35" hidden="false" customHeight="false" outlineLevel="0" collapsed="false">
      <c r="A699" s="41" t="n">
        <v>15598</v>
      </c>
      <c r="B699" s="41" t="s">
        <v>823</v>
      </c>
      <c r="C699" s="41" t="s">
        <v>1227</v>
      </c>
      <c r="D699" s="41" t="s">
        <v>1689</v>
      </c>
      <c r="E699" s="41" t="s">
        <v>97</v>
      </c>
      <c r="F699" s="15" t="n">
        <v>0.42</v>
      </c>
      <c r="G699" s="30" t="s">
        <v>1228</v>
      </c>
      <c r="H699" s="30" t="s">
        <v>1798</v>
      </c>
    </row>
    <row r="700" customFormat="false" ht="22.35" hidden="false" customHeight="false" outlineLevel="0" collapsed="false">
      <c r="A700" s="42" t="n">
        <v>15605</v>
      </c>
      <c r="B700" s="42" t="s">
        <v>919</v>
      </c>
      <c r="C700" s="42" t="s">
        <v>1227</v>
      </c>
      <c r="D700" s="42" t="s">
        <v>1736</v>
      </c>
      <c r="E700" s="42" t="s">
        <v>97</v>
      </c>
      <c r="F700" s="11" t="n">
        <v>0.41</v>
      </c>
      <c r="G700" s="33" t="s">
        <v>1228</v>
      </c>
      <c r="H700" s="33" t="s">
        <v>1756</v>
      </c>
    </row>
    <row r="701" customFormat="false" ht="22.35" hidden="false" customHeight="false" outlineLevel="0" collapsed="false">
      <c r="A701" s="41" t="n">
        <v>15606</v>
      </c>
      <c r="B701" s="41" t="s">
        <v>829</v>
      </c>
      <c r="C701" s="41" t="s">
        <v>1105</v>
      </c>
      <c r="D701" s="41" t="s">
        <v>743</v>
      </c>
      <c r="E701" s="41" t="s">
        <v>97</v>
      </c>
      <c r="F701" s="15" t="n">
        <v>0.41</v>
      </c>
      <c r="G701" s="30" t="s">
        <v>1106</v>
      </c>
      <c r="H701" s="30" t="s">
        <v>2138</v>
      </c>
    </row>
    <row r="702" customFormat="false" ht="22.35" hidden="false" customHeight="false" outlineLevel="0" collapsed="false">
      <c r="A702" s="42" t="n">
        <v>15607</v>
      </c>
      <c r="B702" s="42" t="s">
        <v>829</v>
      </c>
      <c r="C702" s="42" t="s">
        <v>1093</v>
      </c>
      <c r="D702" s="42" t="s">
        <v>743</v>
      </c>
      <c r="E702" s="42" t="s">
        <v>97</v>
      </c>
      <c r="F702" s="11" t="n">
        <v>0.41</v>
      </c>
      <c r="G702" s="33" t="s">
        <v>1888</v>
      </c>
      <c r="H702" s="33" t="s">
        <v>2139</v>
      </c>
    </row>
    <row r="703" customFormat="false" ht="22.35" hidden="false" customHeight="false" outlineLevel="0" collapsed="false">
      <c r="A703" s="41" t="n">
        <v>15636</v>
      </c>
      <c r="B703" s="41" t="s">
        <v>823</v>
      </c>
      <c r="C703" s="41" t="s">
        <v>1315</v>
      </c>
      <c r="D703" s="41" t="s">
        <v>1689</v>
      </c>
      <c r="E703" s="41" t="s">
        <v>97</v>
      </c>
      <c r="F703" s="15" t="n">
        <v>0.35</v>
      </c>
      <c r="G703" s="30" t="s">
        <v>1316</v>
      </c>
      <c r="H703" s="30" t="s">
        <v>1824</v>
      </c>
    </row>
    <row r="704" customFormat="false" ht="43.25" hidden="false" customHeight="false" outlineLevel="0" collapsed="false">
      <c r="A704" s="42" t="n">
        <v>15663</v>
      </c>
      <c r="B704" s="42" t="s">
        <v>823</v>
      </c>
      <c r="C704" s="42" t="s">
        <v>1381</v>
      </c>
      <c r="D704" s="42" t="s">
        <v>1689</v>
      </c>
      <c r="E704" s="42" t="s">
        <v>97</v>
      </c>
      <c r="F704" s="11" t="n">
        <v>0.31</v>
      </c>
      <c r="G704" s="33" t="s">
        <v>1886</v>
      </c>
      <c r="H704" s="33" t="s">
        <v>1922</v>
      </c>
    </row>
    <row r="705" customFormat="false" ht="22.35" hidden="false" customHeight="false" outlineLevel="0" collapsed="false">
      <c r="A705" s="41" t="n">
        <v>15697</v>
      </c>
      <c r="B705" s="41" t="s">
        <v>852</v>
      </c>
      <c r="C705" s="41" t="s">
        <v>1647</v>
      </c>
      <c r="D705" s="41" t="s">
        <v>1699</v>
      </c>
      <c r="E705" s="41" t="s">
        <v>97</v>
      </c>
      <c r="F705" s="15" t="n">
        <v>0.29</v>
      </c>
      <c r="G705" s="30" t="s">
        <v>1648</v>
      </c>
      <c r="H705" s="30" t="s">
        <v>2045</v>
      </c>
    </row>
    <row r="706" customFormat="false" ht="32.8" hidden="false" customHeight="false" outlineLevel="0" collapsed="false">
      <c r="A706" s="42" t="n">
        <v>15719</v>
      </c>
      <c r="B706" s="42" t="s">
        <v>823</v>
      </c>
      <c r="C706" s="42" t="s">
        <v>1303</v>
      </c>
      <c r="D706" s="42" t="s">
        <v>1689</v>
      </c>
      <c r="E706" s="42" t="s">
        <v>97</v>
      </c>
      <c r="F706" s="11" t="n">
        <v>0.28</v>
      </c>
      <c r="G706" s="33" t="s">
        <v>1838</v>
      </c>
      <c r="H706" s="33" t="s">
        <v>2080</v>
      </c>
    </row>
    <row r="707" customFormat="false" ht="22.35" hidden="false" customHeight="false" outlineLevel="0" collapsed="false">
      <c r="A707" s="41" t="n">
        <v>15751</v>
      </c>
      <c r="B707" s="41" t="s">
        <v>852</v>
      </c>
      <c r="C707" s="41" t="s">
        <v>1550</v>
      </c>
      <c r="D707" s="41" t="s">
        <v>1699</v>
      </c>
      <c r="E707" s="41" t="s">
        <v>97</v>
      </c>
      <c r="F707" s="15" t="n">
        <v>0.24</v>
      </c>
      <c r="G707" s="30" t="s">
        <v>1963</v>
      </c>
      <c r="H707" s="30" t="s">
        <v>1964</v>
      </c>
    </row>
    <row r="708" customFormat="false" ht="22.35" hidden="false" customHeight="false" outlineLevel="0" collapsed="false">
      <c r="A708" s="42" t="n">
        <v>15752</v>
      </c>
      <c r="B708" s="42" t="s">
        <v>852</v>
      </c>
      <c r="C708" s="42" t="s">
        <v>1212</v>
      </c>
      <c r="D708" s="42" t="s">
        <v>1699</v>
      </c>
      <c r="E708" s="42" t="s">
        <v>97</v>
      </c>
      <c r="F708" s="11" t="n">
        <v>0.24</v>
      </c>
      <c r="G708" s="33" t="s">
        <v>1794</v>
      </c>
      <c r="H708" s="33" t="s">
        <v>2093</v>
      </c>
    </row>
    <row r="709" customFormat="false" ht="22.35" hidden="false" customHeight="false" outlineLevel="0" collapsed="false">
      <c r="A709" s="41" t="n">
        <v>15764</v>
      </c>
      <c r="B709" s="41" t="s">
        <v>823</v>
      </c>
      <c r="C709" s="41" t="s">
        <v>1423</v>
      </c>
      <c r="D709" s="41" t="s">
        <v>1689</v>
      </c>
      <c r="E709" s="41" t="s">
        <v>97</v>
      </c>
      <c r="F709" s="15" t="n">
        <v>0.23</v>
      </c>
      <c r="G709" s="30" t="s">
        <v>1957</v>
      </c>
      <c r="H709" s="30" t="s">
        <v>2131</v>
      </c>
    </row>
    <row r="710" customFormat="false" ht="22.35" hidden="false" customHeight="false" outlineLevel="0" collapsed="false">
      <c r="A710" s="42" t="n">
        <v>15769</v>
      </c>
      <c r="B710" s="42" t="s">
        <v>823</v>
      </c>
      <c r="C710" s="42" t="s">
        <v>1423</v>
      </c>
      <c r="D710" s="42" t="s">
        <v>1689</v>
      </c>
      <c r="E710" s="42" t="s">
        <v>97</v>
      </c>
      <c r="F710" s="11" t="n">
        <v>0.22</v>
      </c>
      <c r="G710" s="33" t="s">
        <v>1957</v>
      </c>
      <c r="H710" s="33" t="s">
        <v>2058</v>
      </c>
    </row>
    <row r="711" customFormat="false" ht="22.35" hidden="false" customHeight="false" outlineLevel="0" collapsed="false">
      <c r="A711" s="41" t="n">
        <v>15778</v>
      </c>
      <c r="B711" s="41" t="s">
        <v>852</v>
      </c>
      <c r="C711" s="41" t="s">
        <v>1112</v>
      </c>
      <c r="D711" s="41" t="s">
        <v>1699</v>
      </c>
      <c r="E711" s="41" t="s">
        <v>97</v>
      </c>
      <c r="F711" s="15" t="n">
        <v>0.2</v>
      </c>
      <c r="G711" s="30" t="s">
        <v>1113</v>
      </c>
      <c r="H711" s="30" t="s">
        <v>2135</v>
      </c>
    </row>
    <row r="712" customFormat="false" ht="32.8" hidden="false" customHeight="false" outlineLevel="0" collapsed="false">
      <c r="A712" s="42" t="n">
        <v>15801</v>
      </c>
      <c r="B712" s="42" t="s">
        <v>877</v>
      </c>
      <c r="C712" s="42" t="s">
        <v>1266</v>
      </c>
      <c r="D712" s="42" t="s">
        <v>748</v>
      </c>
      <c r="E712" s="42" t="s">
        <v>97</v>
      </c>
      <c r="F712" s="11" t="n">
        <v>0.16</v>
      </c>
      <c r="G712" s="33" t="s">
        <v>1804</v>
      </c>
      <c r="H712" s="33" t="s">
        <v>2148</v>
      </c>
    </row>
    <row r="713" customFormat="false" ht="22.35" hidden="false" customHeight="false" outlineLevel="0" collapsed="false">
      <c r="A713" s="41" t="n">
        <v>15802</v>
      </c>
      <c r="B713" s="41" t="s">
        <v>823</v>
      </c>
      <c r="C713" s="41" t="s">
        <v>1212</v>
      </c>
      <c r="D713" s="41" t="s">
        <v>1689</v>
      </c>
      <c r="E713" s="41" t="s">
        <v>97</v>
      </c>
      <c r="F713" s="15" t="n">
        <v>0.16</v>
      </c>
      <c r="G713" s="30" t="s">
        <v>1794</v>
      </c>
      <c r="H713" s="30" t="s">
        <v>2087</v>
      </c>
    </row>
    <row r="714" customFormat="false" ht="22.35" hidden="false" customHeight="false" outlineLevel="0" collapsed="false">
      <c r="A714" s="42" t="n">
        <v>15874</v>
      </c>
      <c r="B714" s="42" t="s">
        <v>823</v>
      </c>
      <c r="C714" s="42" t="s">
        <v>1418</v>
      </c>
      <c r="D714" s="42" t="s">
        <v>1689</v>
      </c>
      <c r="E714" s="42" t="s">
        <v>97</v>
      </c>
      <c r="F714" s="11" t="n">
        <v>0.13</v>
      </c>
      <c r="G714" s="33" t="s">
        <v>1419</v>
      </c>
      <c r="H714" s="33" t="s">
        <v>2122</v>
      </c>
    </row>
    <row r="715" customFormat="false" ht="22.35" hidden="false" customHeight="false" outlineLevel="0" collapsed="false">
      <c r="A715" s="41" t="n">
        <v>15875</v>
      </c>
      <c r="B715" s="41" t="s">
        <v>823</v>
      </c>
      <c r="C715" s="41" t="s">
        <v>1565</v>
      </c>
      <c r="D715" s="41" t="s">
        <v>1689</v>
      </c>
      <c r="E715" s="41" t="s">
        <v>97</v>
      </c>
      <c r="F715" s="15" t="n">
        <v>0.13</v>
      </c>
      <c r="G715" s="30" t="s">
        <v>1566</v>
      </c>
      <c r="H715" s="30" t="s">
        <v>2029</v>
      </c>
    </row>
    <row r="716" customFormat="false" ht="32.8" hidden="false" customHeight="false" outlineLevel="0" collapsed="false">
      <c r="A716" s="42" t="n">
        <v>15881</v>
      </c>
      <c r="B716" s="42" t="s">
        <v>829</v>
      </c>
      <c r="C716" s="42" t="s">
        <v>1202</v>
      </c>
      <c r="D716" s="42" t="s">
        <v>743</v>
      </c>
      <c r="E716" s="42" t="s">
        <v>97</v>
      </c>
      <c r="F716" s="11" t="n">
        <v>0.11</v>
      </c>
      <c r="G716" s="33" t="s">
        <v>1890</v>
      </c>
      <c r="H716" s="33" t="s">
        <v>1891</v>
      </c>
    </row>
    <row r="717" customFormat="false" ht="32.8" hidden="false" customHeight="false" outlineLevel="0" collapsed="false">
      <c r="A717" s="41" t="n">
        <v>15883</v>
      </c>
      <c r="B717" s="41" t="s">
        <v>829</v>
      </c>
      <c r="C717" s="41" t="s">
        <v>1202</v>
      </c>
      <c r="D717" s="41" t="s">
        <v>743</v>
      </c>
      <c r="E717" s="41" t="s">
        <v>97</v>
      </c>
      <c r="F717" s="15" t="n">
        <v>0.1</v>
      </c>
      <c r="G717" s="30" t="s">
        <v>1890</v>
      </c>
      <c r="H717" s="30" t="s">
        <v>1914</v>
      </c>
    </row>
    <row r="718" customFormat="false" ht="22.35" hidden="false" customHeight="false" outlineLevel="0" collapsed="false">
      <c r="A718" s="42" t="n">
        <v>15884</v>
      </c>
      <c r="B718" s="42" t="s">
        <v>829</v>
      </c>
      <c r="C718" s="42" t="s">
        <v>1180</v>
      </c>
      <c r="D718" s="42" t="s">
        <v>743</v>
      </c>
      <c r="E718" s="42" t="s">
        <v>97</v>
      </c>
      <c r="F718" s="11" t="n">
        <v>0.1</v>
      </c>
      <c r="G718" s="33" t="s">
        <v>1894</v>
      </c>
      <c r="H718" s="33" t="s">
        <v>1908</v>
      </c>
    </row>
    <row r="719" customFormat="false" ht="22.35" hidden="false" customHeight="false" outlineLevel="0" collapsed="false">
      <c r="A719" s="41" t="n">
        <v>15885</v>
      </c>
      <c r="B719" s="41" t="s">
        <v>829</v>
      </c>
      <c r="C719" s="41" t="s">
        <v>1180</v>
      </c>
      <c r="D719" s="41" t="s">
        <v>743</v>
      </c>
      <c r="E719" s="41" t="s">
        <v>97</v>
      </c>
      <c r="F719" s="15" t="n">
        <v>0.1</v>
      </c>
      <c r="G719" s="30" t="s">
        <v>1894</v>
      </c>
      <c r="H719" s="30" t="s">
        <v>1895</v>
      </c>
    </row>
    <row r="720" customFormat="false" ht="43.25" hidden="false" customHeight="false" outlineLevel="0" collapsed="false">
      <c r="A720" s="42" t="n">
        <v>15887</v>
      </c>
      <c r="B720" s="42" t="s">
        <v>823</v>
      </c>
      <c r="C720" s="42" t="s">
        <v>1381</v>
      </c>
      <c r="D720" s="42" t="s">
        <v>1689</v>
      </c>
      <c r="E720" s="42" t="s">
        <v>97</v>
      </c>
      <c r="F720" s="11" t="n">
        <v>0.1</v>
      </c>
      <c r="G720" s="33" t="s">
        <v>1886</v>
      </c>
      <c r="H720" s="33" t="s">
        <v>2091</v>
      </c>
    </row>
    <row r="721" customFormat="false" ht="22.35" hidden="false" customHeight="false" outlineLevel="0" collapsed="false">
      <c r="A721" s="41" t="n">
        <v>15905</v>
      </c>
      <c r="B721" s="41" t="s">
        <v>823</v>
      </c>
      <c r="C721" s="41" t="s">
        <v>1315</v>
      </c>
      <c r="D721" s="41" t="s">
        <v>1689</v>
      </c>
      <c r="E721" s="41" t="s">
        <v>97</v>
      </c>
      <c r="F721" s="15" t="n">
        <v>0.07</v>
      </c>
      <c r="G721" s="30" t="s">
        <v>1316</v>
      </c>
      <c r="H721" s="30" t="s">
        <v>2099</v>
      </c>
    </row>
    <row r="722" customFormat="false" ht="22.35" hidden="false" customHeight="false" outlineLevel="0" collapsed="false">
      <c r="A722" s="42" t="n">
        <v>15918</v>
      </c>
      <c r="B722" s="42" t="s">
        <v>877</v>
      </c>
      <c r="C722" s="42" t="s">
        <v>1352</v>
      </c>
      <c r="D722" s="42" t="s">
        <v>748</v>
      </c>
      <c r="E722" s="42" t="s">
        <v>97</v>
      </c>
      <c r="F722" s="11" t="n">
        <v>0.05</v>
      </c>
      <c r="G722" s="33" t="s">
        <v>1353</v>
      </c>
      <c r="H722" s="33" t="s">
        <v>2147</v>
      </c>
    </row>
    <row r="723" customFormat="false" ht="32.8" hidden="false" customHeight="false" outlineLevel="0" collapsed="false">
      <c r="A723" s="41" t="n">
        <v>15921</v>
      </c>
      <c r="B723" s="41" t="s">
        <v>823</v>
      </c>
      <c r="C723" s="41" t="s">
        <v>983</v>
      </c>
      <c r="D723" s="41" t="s">
        <v>1689</v>
      </c>
      <c r="E723" s="41" t="s">
        <v>97</v>
      </c>
      <c r="F723" s="15" t="n">
        <v>0.05</v>
      </c>
      <c r="G723" s="30" t="s">
        <v>1748</v>
      </c>
      <c r="H723" s="30" t="s">
        <v>2145</v>
      </c>
    </row>
    <row r="724" customFormat="false" ht="22.35" hidden="false" customHeight="false" outlineLevel="0" collapsed="false">
      <c r="A724" s="42" t="n">
        <v>15927</v>
      </c>
      <c r="B724" s="42" t="s">
        <v>823</v>
      </c>
      <c r="C724" s="42" t="s">
        <v>1418</v>
      </c>
      <c r="D724" s="42" t="s">
        <v>1689</v>
      </c>
      <c r="E724" s="42" t="s">
        <v>97</v>
      </c>
      <c r="F724" s="11" t="n">
        <v>0.03</v>
      </c>
      <c r="G724" s="33" t="s">
        <v>1419</v>
      </c>
      <c r="H724" s="33" t="s">
        <v>2090</v>
      </c>
    </row>
    <row r="725" customFormat="false" ht="22.35" hidden="false" customHeight="false" outlineLevel="0" collapsed="false">
      <c r="A725" s="41" t="n">
        <v>15938</v>
      </c>
      <c r="B725" s="41" t="s">
        <v>823</v>
      </c>
      <c r="C725" s="41" t="s">
        <v>1418</v>
      </c>
      <c r="D725" s="41" t="s">
        <v>1689</v>
      </c>
      <c r="E725" s="41" t="s">
        <v>97</v>
      </c>
      <c r="F725" s="15" t="n">
        <v>0.01</v>
      </c>
      <c r="G725" s="30" t="s">
        <v>1419</v>
      </c>
      <c r="H725" s="30" t="s">
        <v>2019</v>
      </c>
    </row>
    <row r="726" customFormat="false" ht="22.35" hidden="false" customHeight="false" outlineLevel="0" collapsed="false">
      <c r="A726" s="42" t="n">
        <v>15939</v>
      </c>
      <c r="B726" s="42" t="s">
        <v>823</v>
      </c>
      <c r="C726" s="42" t="s">
        <v>1227</v>
      </c>
      <c r="D726" s="42" t="s">
        <v>1689</v>
      </c>
      <c r="E726" s="42" t="s">
        <v>97</v>
      </c>
      <c r="F726" s="11" t="n">
        <v>0.01</v>
      </c>
      <c r="G726" s="33" t="s">
        <v>1228</v>
      </c>
      <c r="H726" s="33" t="s">
        <v>2144</v>
      </c>
    </row>
    <row r="727" customFormat="false" ht="22.35" hidden="false" customHeight="false" outlineLevel="0" collapsed="false">
      <c r="A727" s="41" t="n">
        <v>18934</v>
      </c>
      <c r="B727" s="41" t="s">
        <v>823</v>
      </c>
      <c r="C727" s="41" t="s">
        <v>1212</v>
      </c>
      <c r="D727" s="41" t="s">
        <v>1689</v>
      </c>
      <c r="E727" s="41" t="s">
        <v>97</v>
      </c>
      <c r="F727" s="15" t="n">
        <v>-0.81</v>
      </c>
      <c r="G727" s="30" t="s">
        <v>1794</v>
      </c>
      <c r="H727" s="30" t="s">
        <v>2087</v>
      </c>
    </row>
    <row r="728" customFormat="false" ht="22.35" hidden="false" customHeight="false" outlineLevel="0" collapsed="false">
      <c r="A728" s="42" t="n">
        <v>19051</v>
      </c>
      <c r="B728" s="42" t="s">
        <v>823</v>
      </c>
      <c r="C728" s="42" t="s">
        <v>1212</v>
      </c>
      <c r="D728" s="42" t="s">
        <v>1689</v>
      </c>
      <c r="E728" s="42" t="s">
        <v>97</v>
      </c>
      <c r="F728" s="11" t="n">
        <v>-2.42</v>
      </c>
      <c r="G728" s="33" t="s">
        <v>1794</v>
      </c>
      <c r="H728" s="33" t="s">
        <v>1835</v>
      </c>
    </row>
    <row r="729" customFormat="false" ht="22.35" hidden="false" customHeight="false" outlineLevel="0" collapsed="false">
      <c r="A729" s="41" t="n">
        <v>19150</v>
      </c>
      <c r="B729" s="41" t="s">
        <v>829</v>
      </c>
      <c r="C729" s="41" t="s">
        <v>1585</v>
      </c>
      <c r="D729" s="41" t="s">
        <v>743</v>
      </c>
      <c r="E729" s="41" t="s">
        <v>97</v>
      </c>
      <c r="F729" s="15" t="n">
        <v>-8.38</v>
      </c>
      <c r="G729" s="30" t="s">
        <v>1790</v>
      </c>
      <c r="H729" s="30" t="s">
        <v>1921</v>
      </c>
    </row>
    <row r="730" customFormat="false" ht="22.35" hidden="false" customHeight="false" outlineLevel="0" collapsed="false">
      <c r="A730" s="42" t="n">
        <v>19155</v>
      </c>
      <c r="B730" s="42" t="s">
        <v>829</v>
      </c>
      <c r="C730" s="42" t="s">
        <v>1585</v>
      </c>
      <c r="D730" s="42" t="s">
        <v>743</v>
      </c>
      <c r="E730" s="42" t="s">
        <v>97</v>
      </c>
      <c r="F730" s="11" t="n">
        <v>-8.71</v>
      </c>
      <c r="G730" s="33" t="s">
        <v>1790</v>
      </c>
      <c r="H730" s="33" t="s">
        <v>1945</v>
      </c>
    </row>
    <row r="731" customFormat="false" ht="22.35" hidden="false" customHeight="false" outlineLevel="0" collapsed="false">
      <c r="A731" s="41" t="n">
        <v>19156</v>
      </c>
      <c r="B731" s="41" t="s">
        <v>829</v>
      </c>
      <c r="C731" s="41" t="s">
        <v>1585</v>
      </c>
      <c r="D731" s="41" t="s">
        <v>743</v>
      </c>
      <c r="E731" s="41" t="s">
        <v>97</v>
      </c>
      <c r="F731" s="15" t="n">
        <v>-8.82</v>
      </c>
      <c r="G731" s="30" t="s">
        <v>1790</v>
      </c>
      <c r="H731" s="30" t="s">
        <v>1943</v>
      </c>
    </row>
    <row r="732" customFormat="false" ht="22.35" hidden="false" customHeight="false" outlineLevel="0" collapsed="false">
      <c r="A732" s="42" t="n">
        <v>19164</v>
      </c>
      <c r="B732" s="42" t="s">
        <v>829</v>
      </c>
      <c r="C732" s="42" t="s">
        <v>1585</v>
      </c>
      <c r="D732" s="42" t="s">
        <v>743</v>
      </c>
      <c r="E732" s="42" t="s">
        <v>97</v>
      </c>
      <c r="F732" s="11" t="n">
        <v>-9.83</v>
      </c>
      <c r="G732" s="33" t="s">
        <v>1790</v>
      </c>
      <c r="H732" s="33" t="s">
        <v>1928</v>
      </c>
    </row>
    <row r="733" customFormat="false" ht="22.35" hidden="false" customHeight="false" outlineLevel="0" collapsed="false">
      <c r="A733" s="41" t="n">
        <v>19166</v>
      </c>
      <c r="B733" s="41" t="s">
        <v>829</v>
      </c>
      <c r="C733" s="41" t="s">
        <v>1585</v>
      </c>
      <c r="D733" s="41" t="s">
        <v>743</v>
      </c>
      <c r="E733" s="41" t="s">
        <v>97</v>
      </c>
      <c r="F733" s="15" t="n">
        <v>-9.97</v>
      </c>
      <c r="G733" s="30" t="s">
        <v>1790</v>
      </c>
      <c r="H733" s="30" t="s">
        <v>1880</v>
      </c>
    </row>
    <row r="734" customFormat="false" ht="22.35" hidden="false" customHeight="false" outlineLevel="0" collapsed="false">
      <c r="A734" s="42" t="n">
        <v>19167</v>
      </c>
      <c r="B734" s="42" t="s">
        <v>829</v>
      </c>
      <c r="C734" s="42" t="s">
        <v>1585</v>
      </c>
      <c r="D734" s="42" t="s">
        <v>743</v>
      </c>
      <c r="E734" s="42" t="s">
        <v>97</v>
      </c>
      <c r="F734" s="11" t="n">
        <v>-10.02</v>
      </c>
      <c r="G734" s="33" t="s">
        <v>1790</v>
      </c>
      <c r="H734" s="33" t="s">
        <v>1868</v>
      </c>
    </row>
    <row r="735" customFormat="false" ht="22.35" hidden="false" customHeight="false" outlineLevel="0" collapsed="false">
      <c r="A735" s="41" t="n">
        <v>19182</v>
      </c>
      <c r="B735" s="41" t="s">
        <v>877</v>
      </c>
      <c r="C735" s="41" t="s">
        <v>1232</v>
      </c>
      <c r="D735" s="41" t="s">
        <v>748</v>
      </c>
      <c r="E735" s="41" t="s">
        <v>97</v>
      </c>
      <c r="F735" s="15" t="n">
        <v>-12.54</v>
      </c>
      <c r="G735" s="30" t="s">
        <v>1770</v>
      </c>
      <c r="H735" s="30" t="s">
        <v>1776</v>
      </c>
    </row>
    <row r="736" customFormat="false" ht="22.35" hidden="false" customHeight="false" outlineLevel="0" collapsed="false">
      <c r="A736" s="42" t="n">
        <v>19258</v>
      </c>
      <c r="B736" s="42" t="s">
        <v>829</v>
      </c>
      <c r="C736" s="42" t="s">
        <v>1585</v>
      </c>
      <c r="D736" s="42" t="s">
        <v>743</v>
      </c>
      <c r="E736" s="42" t="s">
        <v>97</v>
      </c>
      <c r="F736" s="11" t="n">
        <v>-18.42</v>
      </c>
      <c r="G736" s="33" t="s">
        <v>1790</v>
      </c>
      <c r="H736" s="33" t="s">
        <v>1791</v>
      </c>
    </row>
    <row r="737" customFormat="false" ht="22.35" hidden="false" customHeight="false" outlineLevel="0" collapsed="false">
      <c r="A737" s="41" t="n">
        <v>19264</v>
      </c>
      <c r="B737" s="41" t="s">
        <v>823</v>
      </c>
      <c r="C737" s="41" t="s">
        <v>1212</v>
      </c>
      <c r="D737" s="41" t="s">
        <v>1689</v>
      </c>
      <c r="E737" s="41" t="s">
        <v>97</v>
      </c>
      <c r="F737" s="15" t="n">
        <v>-20.25</v>
      </c>
      <c r="G737" s="30" t="s">
        <v>1794</v>
      </c>
      <c r="H737" s="30" t="s">
        <v>2087</v>
      </c>
    </row>
    <row r="738" customFormat="false" ht="32.8" hidden="false" customHeight="false" outlineLevel="0" collapsed="false">
      <c r="A738" s="42" t="n">
        <v>19370</v>
      </c>
      <c r="B738" s="42" t="s">
        <v>829</v>
      </c>
      <c r="C738" s="42" t="s">
        <v>855</v>
      </c>
      <c r="D738" s="42" t="s">
        <v>743</v>
      </c>
      <c r="E738" s="42" t="s">
        <v>97</v>
      </c>
      <c r="F738" s="11" t="n">
        <v>-35.7</v>
      </c>
      <c r="G738" s="33" t="s">
        <v>1705</v>
      </c>
      <c r="H738" s="33" t="s">
        <v>1954</v>
      </c>
    </row>
    <row r="739" customFormat="false" ht="22.35" hidden="false" customHeight="false" outlineLevel="0" collapsed="false">
      <c r="A739" s="41" t="n">
        <v>19372</v>
      </c>
      <c r="B739" s="41" t="s">
        <v>829</v>
      </c>
      <c r="C739" s="41" t="s">
        <v>1585</v>
      </c>
      <c r="D739" s="41" t="s">
        <v>743</v>
      </c>
      <c r="E739" s="41" t="s">
        <v>97</v>
      </c>
      <c r="F739" s="15" t="n">
        <v>-36.97</v>
      </c>
      <c r="G739" s="30" t="s">
        <v>1790</v>
      </c>
      <c r="H739" s="30" t="s">
        <v>1945</v>
      </c>
    </row>
    <row r="740" customFormat="false" ht="22.35" hidden="false" customHeight="false" outlineLevel="0" collapsed="false">
      <c r="A740" s="42" t="n">
        <v>19373</v>
      </c>
      <c r="B740" s="42" t="s">
        <v>829</v>
      </c>
      <c r="C740" s="42" t="s">
        <v>1585</v>
      </c>
      <c r="D740" s="42" t="s">
        <v>743</v>
      </c>
      <c r="E740" s="42" t="s">
        <v>97</v>
      </c>
      <c r="F740" s="11" t="n">
        <v>-37.85</v>
      </c>
      <c r="G740" s="33" t="s">
        <v>1790</v>
      </c>
      <c r="H740" s="33" t="s">
        <v>1943</v>
      </c>
    </row>
    <row r="741" customFormat="false" ht="22.35" hidden="false" customHeight="false" outlineLevel="0" collapsed="false">
      <c r="A741" s="41" t="n">
        <v>19374</v>
      </c>
      <c r="B741" s="41" t="s">
        <v>829</v>
      </c>
      <c r="C741" s="41" t="s">
        <v>1585</v>
      </c>
      <c r="D741" s="41" t="s">
        <v>743</v>
      </c>
      <c r="E741" s="41" t="s">
        <v>97</v>
      </c>
      <c r="F741" s="15" t="n">
        <v>-42.25</v>
      </c>
      <c r="G741" s="30" t="s">
        <v>1790</v>
      </c>
      <c r="H741" s="30" t="s">
        <v>1928</v>
      </c>
    </row>
    <row r="742" customFormat="false" ht="22.35" hidden="false" customHeight="false" outlineLevel="0" collapsed="false">
      <c r="A742" s="42" t="n">
        <v>19375</v>
      </c>
      <c r="B742" s="42" t="s">
        <v>829</v>
      </c>
      <c r="C742" s="42" t="s">
        <v>1585</v>
      </c>
      <c r="D742" s="42" t="s">
        <v>743</v>
      </c>
      <c r="E742" s="42" t="s">
        <v>97</v>
      </c>
      <c r="F742" s="11" t="n">
        <v>-44.1</v>
      </c>
      <c r="G742" s="33" t="s">
        <v>1790</v>
      </c>
      <c r="H742" s="33" t="s">
        <v>1921</v>
      </c>
    </row>
    <row r="743" customFormat="false" ht="22.35" hidden="false" customHeight="false" outlineLevel="0" collapsed="false">
      <c r="A743" s="41" t="n">
        <v>19380</v>
      </c>
      <c r="B743" s="41" t="s">
        <v>829</v>
      </c>
      <c r="C743" s="41" t="s">
        <v>1585</v>
      </c>
      <c r="D743" s="41" t="s">
        <v>743</v>
      </c>
      <c r="E743" s="41" t="s">
        <v>97</v>
      </c>
      <c r="F743" s="15" t="n">
        <v>-52.5</v>
      </c>
      <c r="G743" s="30" t="s">
        <v>1790</v>
      </c>
      <c r="H743" s="30" t="s">
        <v>1880</v>
      </c>
    </row>
    <row r="744" customFormat="false" ht="22.35" hidden="false" customHeight="false" outlineLevel="0" collapsed="false">
      <c r="A744" s="42" t="n">
        <v>19381</v>
      </c>
      <c r="B744" s="42" t="s">
        <v>829</v>
      </c>
      <c r="C744" s="42" t="s">
        <v>1585</v>
      </c>
      <c r="D744" s="42" t="s">
        <v>743</v>
      </c>
      <c r="E744" s="42" t="s">
        <v>97</v>
      </c>
      <c r="F744" s="11" t="n">
        <v>-53.55</v>
      </c>
      <c r="G744" s="33" t="s">
        <v>1790</v>
      </c>
      <c r="H744" s="33" t="s">
        <v>1868</v>
      </c>
    </row>
    <row r="745" customFormat="false" ht="22.35" hidden="false" customHeight="false" outlineLevel="0" collapsed="false">
      <c r="A745" s="41" t="n">
        <v>19387</v>
      </c>
      <c r="B745" s="41" t="s">
        <v>823</v>
      </c>
      <c r="C745" s="41" t="s">
        <v>1212</v>
      </c>
      <c r="D745" s="41" t="s">
        <v>1689</v>
      </c>
      <c r="E745" s="41" t="s">
        <v>97</v>
      </c>
      <c r="F745" s="15" t="n">
        <v>-61.62</v>
      </c>
      <c r="G745" s="30" t="s">
        <v>1794</v>
      </c>
      <c r="H745" s="30" t="s">
        <v>1835</v>
      </c>
    </row>
    <row r="746" customFormat="false" ht="32.8" hidden="false" customHeight="false" outlineLevel="0" collapsed="false">
      <c r="A746" s="42" t="n">
        <v>20564</v>
      </c>
      <c r="B746" s="42" t="s">
        <v>829</v>
      </c>
      <c r="C746" s="42" t="s">
        <v>855</v>
      </c>
      <c r="D746" s="42" t="s">
        <v>743</v>
      </c>
      <c r="E746" s="42" t="s">
        <v>97</v>
      </c>
      <c r="F746" s="11" t="n">
        <v>-66.15</v>
      </c>
      <c r="G746" s="33" t="s">
        <v>1705</v>
      </c>
      <c r="H746" s="33" t="s">
        <v>1821</v>
      </c>
    </row>
    <row r="747" customFormat="false" ht="22.35" hidden="false" customHeight="false" outlineLevel="0" collapsed="false">
      <c r="A747" s="41" t="n">
        <v>20578</v>
      </c>
      <c r="B747" s="41" t="s">
        <v>829</v>
      </c>
      <c r="C747" s="41" t="s">
        <v>1585</v>
      </c>
      <c r="D747" s="41" t="s">
        <v>743</v>
      </c>
      <c r="E747" s="41" t="s">
        <v>97</v>
      </c>
      <c r="F747" s="15" t="n">
        <v>-79.22</v>
      </c>
      <c r="G747" s="30" t="s">
        <v>1790</v>
      </c>
      <c r="H747" s="30" t="s">
        <v>1791</v>
      </c>
    </row>
    <row r="748" customFormat="false" ht="22.35" hidden="false" customHeight="false" outlineLevel="0" collapsed="false">
      <c r="A748" s="42" t="n">
        <v>21137</v>
      </c>
      <c r="B748" s="42" t="s">
        <v>877</v>
      </c>
      <c r="C748" s="42" t="s">
        <v>1232</v>
      </c>
      <c r="D748" s="42" t="s">
        <v>748</v>
      </c>
      <c r="E748" s="42" t="s">
        <v>97</v>
      </c>
      <c r="F748" s="11" t="n">
        <v>-80.85</v>
      </c>
      <c r="G748" s="33" t="s">
        <v>1770</v>
      </c>
      <c r="H748" s="33" t="s">
        <v>1776</v>
      </c>
    </row>
    <row r="749" customFormat="false" ht="32.8" hidden="false" customHeight="false" outlineLevel="0" collapsed="false">
      <c r="A749" s="41" t="n">
        <v>21146</v>
      </c>
      <c r="B749" s="41" t="s">
        <v>829</v>
      </c>
      <c r="C749" s="41" t="s">
        <v>855</v>
      </c>
      <c r="D749" s="41" t="s">
        <v>743</v>
      </c>
      <c r="E749" s="41" t="s">
        <v>97</v>
      </c>
      <c r="F749" s="15" t="n">
        <v>-104.36</v>
      </c>
      <c r="G749" s="30" t="s">
        <v>1705</v>
      </c>
      <c r="H749" s="30" t="s">
        <v>1954</v>
      </c>
    </row>
    <row r="750" customFormat="false" ht="32.8" hidden="false" customHeight="false" outlineLevel="0" collapsed="false">
      <c r="A750" s="42" t="n">
        <v>21154</v>
      </c>
      <c r="B750" s="42" t="s">
        <v>829</v>
      </c>
      <c r="C750" s="42" t="s">
        <v>855</v>
      </c>
      <c r="D750" s="42" t="s">
        <v>743</v>
      </c>
      <c r="E750" s="42" t="s">
        <v>97</v>
      </c>
      <c r="F750" s="11" t="n">
        <v>-196.49</v>
      </c>
      <c r="G750" s="33" t="s">
        <v>1705</v>
      </c>
      <c r="H750" s="33" t="s">
        <v>1821</v>
      </c>
    </row>
    <row r="751" customFormat="false" ht="15" hidden="false" customHeight="false" outlineLevel="0" collapsed="false">
      <c r="A751" s="21"/>
      <c r="B751" s="21"/>
      <c r="C751" s="21"/>
      <c r="D751" s="21"/>
      <c r="E751" s="19" t="s">
        <v>21</v>
      </c>
      <c r="F751" s="45" t="n">
        <f aca="false">SUM(F5:F750)</f>
        <v>27621.35</v>
      </c>
      <c r="G751" s="21"/>
      <c r="H751" s="21"/>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2026-08-18T00:09:54Z</dcterms:created>
  <dc:creator>openpyxl</dc:creator>
  <dc:description/>
  <dc:language>en-US</dc:language>
  <cp:lastModifiedBy/>
  <dcterms:modified xsi:type="dcterms:W3CDTF">2026-08-18T00:09:56Z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